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F12D58A6-C030-4A80-B415-100B5985C269}" xr6:coauthVersionLast="47" xr6:coauthVersionMax="47" xr10:uidLastSave="{00000000-0000-0000-0000-000000000000}"/>
  <bookViews>
    <workbookView minimized="1" xWindow="4245" yWindow="4590" windowWidth="21600" windowHeight="11505" activeTab="2" xr2:uid="{24243547-B52D-4C79-92E3-EFF9E04EA732}"/>
  </bookViews>
  <sheets>
    <sheet name="Digits" sheetId="5" r:id="rId1"/>
    <sheet name="Cancer" sheetId="4" r:id="rId2"/>
    <sheet name="Iris" sheetId="6" r:id="rId3"/>
    <sheet name="Wine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3" i="5" l="1"/>
  <c r="AE3" i="5"/>
  <c r="AF3" i="5"/>
  <c r="AG3" i="5"/>
  <c r="AH3" i="5"/>
  <c r="AI3" i="5"/>
  <c r="AJ3" i="5"/>
  <c r="AD4" i="5"/>
  <c r="AE4" i="5"/>
  <c r="AF4" i="5"/>
  <c r="AG4" i="5"/>
  <c r="AH4" i="5"/>
  <c r="AI4" i="5"/>
  <c r="AJ4" i="5"/>
  <c r="AD5" i="5"/>
  <c r="AE5" i="5"/>
  <c r="AF5" i="5"/>
  <c r="AG5" i="5"/>
  <c r="AH5" i="5"/>
  <c r="AI5" i="5"/>
  <c r="AJ5" i="5"/>
  <c r="AD6" i="5"/>
  <c r="AE6" i="5"/>
  <c r="AF6" i="5"/>
  <c r="AG6" i="5"/>
  <c r="AH6" i="5"/>
  <c r="AI6" i="5"/>
  <c r="AJ6" i="5"/>
  <c r="AD7" i="5"/>
  <c r="AE7" i="5"/>
  <c r="AF7" i="5"/>
  <c r="AG7" i="5"/>
  <c r="AH7" i="5"/>
  <c r="AI7" i="5"/>
  <c r="AJ7" i="5"/>
  <c r="AD8" i="5"/>
  <c r="AE8" i="5"/>
  <c r="AF8" i="5"/>
  <c r="AG8" i="5"/>
  <c r="AH8" i="5"/>
  <c r="AI8" i="5"/>
  <c r="AJ8" i="5"/>
  <c r="AD9" i="5"/>
  <c r="AE9" i="5"/>
  <c r="AF9" i="5"/>
  <c r="AG9" i="5"/>
  <c r="AH9" i="5"/>
  <c r="AI9" i="5"/>
  <c r="AJ9" i="5"/>
  <c r="AD10" i="5"/>
  <c r="AE10" i="5"/>
  <c r="AF10" i="5"/>
  <c r="AG10" i="5"/>
  <c r="AH10" i="5"/>
  <c r="AI10" i="5"/>
  <c r="AJ10" i="5"/>
  <c r="AD11" i="5"/>
  <c r="AE11" i="5"/>
  <c r="AF11" i="5"/>
  <c r="AG11" i="5"/>
  <c r="AH11" i="5"/>
  <c r="AI11" i="5"/>
  <c r="AJ11" i="5"/>
  <c r="AD12" i="5"/>
  <c r="AE12" i="5"/>
  <c r="AF12" i="5"/>
  <c r="AG12" i="5"/>
  <c r="AH12" i="5"/>
  <c r="AI12" i="5"/>
  <c r="AJ12" i="5"/>
  <c r="AD13" i="5"/>
  <c r="AE13" i="5"/>
  <c r="AF13" i="5"/>
  <c r="AG13" i="5"/>
  <c r="AH13" i="5"/>
  <c r="AI13" i="5"/>
  <c r="AJ13" i="5"/>
  <c r="AD14" i="5"/>
  <c r="AE14" i="5"/>
  <c r="AF14" i="5"/>
  <c r="AG14" i="5"/>
  <c r="AH14" i="5"/>
  <c r="AI14" i="5"/>
  <c r="AJ14" i="5"/>
  <c r="AD15" i="5"/>
  <c r="AE15" i="5"/>
  <c r="AF15" i="5"/>
  <c r="AG15" i="5"/>
  <c r="AH15" i="5"/>
  <c r="AI15" i="5"/>
  <c r="AJ15" i="5"/>
  <c r="AD16" i="5"/>
  <c r="AE16" i="5"/>
  <c r="AF16" i="5"/>
  <c r="AG16" i="5"/>
  <c r="AH16" i="5"/>
  <c r="AI16" i="5"/>
  <c r="AJ16" i="5"/>
  <c r="AD17" i="5"/>
  <c r="AE17" i="5"/>
  <c r="AF17" i="5"/>
  <c r="AG17" i="5"/>
  <c r="AH17" i="5"/>
  <c r="AI17" i="5"/>
  <c r="AJ17" i="5"/>
  <c r="AD18" i="5"/>
  <c r="AE18" i="5"/>
  <c r="AF18" i="5"/>
  <c r="AG18" i="5"/>
  <c r="AH18" i="5"/>
  <c r="AI18" i="5"/>
  <c r="AJ18" i="5"/>
  <c r="AD19" i="5"/>
  <c r="AE19" i="5"/>
  <c r="AF19" i="5"/>
  <c r="AG19" i="5"/>
  <c r="AH19" i="5"/>
  <c r="AI19" i="5"/>
  <c r="AJ19" i="5"/>
  <c r="AD20" i="5"/>
  <c r="AE20" i="5"/>
  <c r="AF20" i="5"/>
  <c r="AG20" i="5"/>
  <c r="AH20" i="5"/>
  <c r="AI20" i="5"/>
  <c r="AJ20" i="5"/>
  <c r="AD21" i="5"/>
  <c r="AE21" i="5"/>
  <c r="AF21" i="5"/>
  <c r="AG21" i="5"/>
  <c r="AH21" i="5"/>
  <c r="AI21" i="5"/>
  <c r="AJ21" i="5"/>
  <c r="AD22" i="5"/>
  <c r="AE22" i="5"/>
  <c r="AF22" i="5"/>
  <c r="AG22" i="5"/>
  <c r="AH22" i="5"/>
  <c r="AI22" i="5"/>
  <c r="AJ22" i="5"/>
  <c r="AD23" i="5"/>
  <c r="AE23" i="5"/>
  <c r="AF23" i="5"/>
  <c r="AG23" i="5"/>
  <c r="AH23" i="5"/>
  <c r="AI23" i="5"/>
  <c r="AJ23" i="5"/>
  <c r="AD24" i="5"/>
  <c r="AE24" i="5"/>
  <c r="AF24" i="5"/>
  <c r="AG24" i="5"/>
  <c r="AH24" i="5"/>
  <c r="AI24" i="5"/>
  <c r="AJ24" i="5"/>
  <c r="AD25" i="5"/>
  <c r="AE25" i="5"/>
  <c r="AF25" i="5"/>
  <c r="AG25" i="5"/>
  <c r="AH25" i="5"/>
  <c r="AI25" i="5"/>
  <c r="AJ25" i="5"/>
  <c r="AD26" i="5"/>
  <c r="AE26" i="5"/>
  <c r="AF26" i="5"/>
  <c r="AG26" i="5"/>
  <c r="AH26" i="5"/>
  <c r="AI26" i="5"/>
  <c r="AJ26" i="5"/>
  <c r="AD27" i="5"/>
  <c r="AE27" i="5"/>
  <c r="AF27" i="5"/>
  <c r="AG27" i="5"/>
  <c r="AH27" i="5"/>
  <c r="AI27" i="5"/>
  <c r="AJ27" i="5"/>
  <c r="AD28" i="5"/>
  <c r="AE28" i="5"/>
  <c r="AF28" i="5"/>
  <c r="AG28" i="5"/>
  <c r="AH28" i="5"/>
  <c r="AI28" i="5"/>
  <c r="AJ28" i="5"/>
  <c r="AD29" i="5"/>
  <c r="AE29" i="5"/>
  <c r="AF29" i="5"/>
  <c r="AG29" i="5"/>
  <c r="AH29" i="5"/>
  <c r="AI29" i="5"/>
  <c r="AJ29" i="5"/>
  <c r="AD30" i="5"/>
  <c r="AE30" i="5"/>
  <c r="AF30" i="5"/>
  <c r="AG30" i="5"/>
  <c r="AH30" i="5"/>
  <c r="AI30" i="5"/>
  <c r="AJ30" i="5"/>
  <c r="AD31" i="5"/>
  <c r="AE31" i="5"/>
  <c r="AF31" i="5"/>
  <c r="AG31" i="5"/>
  <c r="AH31" i="5"/>
  <c r="AI31" i="5"/>
  <c r="AJ31" i="5"/>
  <c r="AD32" i="5"/>
  <c r="AE32" i="5"/>
  <c r="AF32" i="5"/>
  <c r="AG32" i="5"/>
  <c r="AH32" i="5"/>
  <c r="AI32" i="5"/>
  <c r="AJ32" i="5"/>
  <c r="AD33" i="5"/>
  <c r="AE33" i="5"/>
  <c r="AF33" i="5"/>
  <c r="AG33" i="5"/>
  <c r="AH33" i="5"/>
  <c r="AI33" i="5"/>
  <c r="AJ33" i="5"/>
  <c r="AD34" i="5"/>
  <c r="AE34" i="5"/>
  <c r="AF34" i="5"/>
  <c r="AG34" i="5"/>
  <c r="AH34" i="5"/>
  <c r="AI34" i="5"/>
  <c r="AJ34" i="5"/>
  <c r="AD35" i="5"/>
  <c r="AE35" i="5"/>
  <c r="AF35" i="5"/>
  <c r="AG35" i="5"/>
  <c r="AH35" i="5"/>
  <c r="AI35" i="5"/>
  <c r="AJ35" i="5"/>
  <c r="AD36" i="5"/>
  <c r="AE36" i="5"/>
  <c r="AF36" i="5"/>
  <c r="AG36" i="5"/>
  <c r="AH36" i="5"/>
  <c r="AI36" i="5"/>
  <c r="AJ36" i="5"/>
  <c r="AD37" i="5"/>
  <c r="AE37" i="5"/>
  <c r="AF37" i="5"/>
  <c r="AG37" i="5"/>
  <c r="AH37" i="5"/>
  <c r="AI37" i="5"/>
  <c r="AJ37" i="5"/>
  <c r="AD38" i="5"/>
  <c r="AE38" i="5"/>
  <c r="AF38" i="5"/>
  <c r="AG38" i="5"/>
  <c r="AH38" i="5"/>
  <c r="AI38" i="5"/>
  <c r="AJ38" i="5"/>
  <c r="AD39" i="5"/>
  <c r="AE39" i="5"/>
  <c r="AF39" i="5"/>
  <c r="AG39" i="5"/>
  <c r="AH39" i="5"/>
  <c r="AI39" i="5"/>
  <c r="AJ39" i="5"/>
  <c r="AD40" i="5"/>
  <c r="AE40" i="5"/>
  <c r="AF40" i="5"/>
  <c r="AG40" i="5"/>
  <c r="AH40" i="5"/>
  <c r="AI40" i="5"/>
  <c r="AJ40" i="5"/>
  <c r="AD41" i="5"/>
  <c r="AE41" i="5"/>
  <c r="AF41" i="5"/>
  <c r="AG41" i="5"/>
  <c r="AH41" i="5"/>
  <c r="AI41" i="5"/>
  <c r="AJ41" i="5"/>
  <c r="AD42" i="5"/>
  <c r="AE42" i="5"/>
  <c r="AF42" i="5"/>
  <c r="AG42" i="5"/>
  <c r="AH42" i="5"/>
  <c r="AI42" i="5"/>
  <c r="AJ42" i="5"/>
  <c r="AD43" i="5"/>
  <c r="AE43" i="5"/>
  <c r="AF43" i="5"/>
  <c r="AG43" i="5"/>
  <c r="AH43" i="5"/>
  <c r="AI43" i="5"/>
  <c r="AJ43" i="5"/>
  <c r="AD44" i="5"/>
  <c r="AE44" i="5"/>
  <c r="AF44" i="5"/>
  <c r="AG44" i="5"/>
  <c r="AH44" i="5"/>
  <c r="AI44" i="5"/>
  <c r="AJ44" i="5"/>
  <c r="AD45" i="5"/>
  <c r="AE45" i="5"/>
  <c r="AF45" i="5"/>
  <c r="AG45" i="5"/>
  <c r="AH45" i="5"/>
  <c r="AI45" i="5"/>
  <c r="AJ45" i="5"/>
  <c r="AD46" i="5"/>
  <c r="AE46" i="5"/>
  <c r="AF46" i="5"/>
  <c r="AG46" i="5"/>
  <c r="AH46" i="5"/>
  <c r="AI46" i="5"/>
  <c r="AJ46" i="5"/>
  <c r="AD47" i="5"/>
  <c r="AE47" i="5"/>
  <c r="AF47" i="5"/>
  <c r="AG47" i="5"/>
  <c r="AH47" i="5"/>
  <c r="AI47" i="5"/>
  <c r="AJ47" i="5"/>
  <c r="AD48" i="5"/>
  <c r="AE48" i="5"/>
  <c r="AF48" i="5"/>
  <c r="AG48" i="5"/>
  <c r="AH48" i="5"/>
  <c r="AI48" i="5"/>
  <c r="AJ48" i="5"/>
  <c r="AD49" i="5"/>
  <c r="AE49" i="5"/>
  <c r="AF49" i="5"/>
  <c r="AG49" i="5"/>
  <c r="AH49" i="5"/>
  <c r="AI49" i="5"/>
  <c r="AJ49" i="5"/>
  <c r="AD50" i="5"/>
  <c r="AE50" i="5"/>
  <c r="AF50" i="5"/>
  <c r="AG50" i="5"/>
  <c r="AH50" i="5"/>
  <c r="AI50" i="5"/>
  <c r="AJ50" i="5"/>
  <c r="AD51" i="5"/>
  <c r="AE51" i="5"/>
  <c r="AF51" i="5"/>
  <c r="AG51" i="5"/>
  <c r="AH51" i="5"/>
  <c r="AI51" i="5"/>
  <c r="AJ51" i="5"/>
  <c r="AD52" i="5"/>
  <c r="AE52" i="5"/>
  <c r="AF52" i="5"/>
  <c r="AG52" i="5"/>
  <c r="AH52" i="5"/>
  <c r="AI52" i="5"/>
  <c r="AJ52" i="5"/>
  <c r="AD53" i="5"/>
  <c r="AE53" i="5"/>
  <c r="AF53" i="5"/>
  <c r="AG53" i="5"/>
  <c r="AH53" i="5"/>
  <c r="AI53" i="5"/>
  <c r="AJ53" i="5"/>
  <c r="AD54" i="5"/>
  <c r="AE54" i="5"/>
  <c r="AF54" i="5"/>
  <c r="AG54" i="5"/>
  <c r="AH54" i="5"/>
  <c r="AI54" i="5"/>
  <c r="AJ54" i="5"/>
  <c r="AD55" i="5"/>
  <c r="AE55" i="5"/>
  <c r="AF55" i="5"/>
  <c r="AG55" i="5"/>
  <c r="AH55" i="5"/>
  <c r="AI55" i="5"/>
  <c r="AJ55" i="5"/>
  <c r="AD56" i="5"/>
  <c r="AE56" i="5"/>
  <c r="AF56" i="5"/>
  <c r="AG56" i="5"/>
  <c r="AH56" i="5"/>
  <c r="AI56" i="5"/>
  <c r="AJ56" i="5"/>
  <c r="AD57" i="5"/>
  <c r="AE57" i="5"/>
  <c r="AF57" i="5"/>
  <c r="AG57" i="5"/>
  <c r="AH57" i="5"/>
  <c r="AI57" i="5"/>
  <c r="AJ57" i="5"/>
  <c r="AD58" i="5"/>
  <c r="AE58" i="5"/>
  <c r="AF58" i="5"/>
  <c r="AG58" i="5"/>
  <c r="AH58" i="5"/>
  <c r="AI58" i="5"/>
  <c r="AJ58" i="5"/>
  <c r="AD59" i="5"/>
  <c r="AE59" i="5"/>
  <c r="AF59" i="5"/>
  <c r="AG59" i="5"/>
  <c r="AH59" i="5"/>
  <c r="AI59" i="5"/>
  <c r="AJ59" i="5"/>
  <c r="AD60" i="5"/>
  <c r="AE60" i="5"/>
  <c r="AF60" i="5"/>
  <c r="AG60" i="5"/>
  <c r="AH60" i="5"/>
  <c r="AI60" i="5"/>
  <c r="AJ60" i="5"/>
  <c r="AD61" i="5"/>
  <c r="AE61" i="5"/>
  <c r="AF61" i="5"/>
  <c r="AG61" i="5"/>
  <c r="AH61" i="5"/>
  <c r="AI61" i="5"/>
  <c r="AJ61" i="5"/>
  <c r="AD62" i="5"/>
  <c r="AE62" i="5"/>
  <c r="AF62" i="5"/>
  <c r="AG62" i="5"/>
  <c r="AH62" i="5"/>
  <c r="AI62" i="5"/>
  <c r="AJ62" i="5"/>
  <c r="AD63" i="5"/>
  <c r="AE63" i="5"/>
  <c r="AF63" i="5"/>
  <c r="AG63" i="5"/>
  <c r="AH63" i="5"/>
  <c r="AI63" i="5"/>
  <c r="AJ63" i="5"/>
  <c r="AD64" i="5"/>
  <c r="AE64" i="5"/>
  <c r="AF64" i="5"/>
  <c r="AG64" i="5"/>
  <c r="AH64" i="5"/>
  <c r="AI64" i="5"/>
  <c r="AJ64" i="5"/>
  <c r="AD65" i="5"/>
  <c r="AE65" i="5"/>
  <c r="AF65" i="5"/>
  <c r="AG65" i="5"/>
  <c r="AH65" i="5"/>
  <c r="AI65" i="5"/>
  <c r="AJ65" i="5"/>
  <c r="AD66" i="5"/>
  <c r="AE66" i="5"/>
  <c r="AF66" i="5"/>
  <c r="AG66" i="5"/>
  <c r="AH66" i="5"/>
  <c r="AI66" i="5"/>
  <c r="AJ66" i="5"/>
  <c r="AD67" i="5"/>
  <c r="AE67" i="5"/>
  <c r="AF67" i="5"/>
  <c r="AG67" i="5"/>
  <c r="AH67" i="5"/>
  <c r="AI67" i="5"/>
  <c r="AJ67" i="5"/>
  <c r="AD68" i="5"/>
  <c r="AE68" i="5"/>
  <c r="AF68" i="5"/>
  <c r="AG68" i="5"/>
  <c r="AH68" i="5"/>
  <c r="AI68" i="5"/>
  <c r="AJ68" i="5"/>
  <c r="AD69" i="5"/>
  <c r="AE69" i="5"/>
  <c r="AF69" i="5"/>
  <c r="AG69" i="5"/>
  <c r="AH69" i="5"/>
  <c r="AI69" i="5"/>
  <c r="AJ69" i="5"/>
  <c r="AD70" i="5"/>
  <c r="AE70" i="5"/>
  <c r="AF70" i="5"/>
  <c r="AG70" i="5"/>
  <c r="AH70" i="5"/>
  <c r="AI70" i="5"/>
  <c r="AJ70" i="5"/>
  <c r="AD71" i="5"/>
  <c r="AE71" i="5"/>
  <c r="AF71" i="5"/>
  <c r="AG71" i="5"/>
  <c r="AH71" i="5"/>
  <c r="AI71" i="5"/>
  <c r="AJ71" i="5"/>
  <c r="AD72" i="5"/>
  <c r="AE72" i="5"/>
  <c r="AF72" i="5"/>
  <c r="AG72" i="5"/>
  <c r="AH72" i="5"/>
  <c r="AI72" i="5"/>
  <c r="AJ72" i="5"/>
  <c r="AD73" i="5"/>
  <c r="AE73" i="5"/>
  <c r="AF73" i="5"/>
  <c r="AG73" i="5"/>
  <c r="AH73" i="5"/>
  <c r="AI73" i="5"/>
  <c r="AJ73" i="5"/>
  <c r="AD74" i="5"/>
  <c r="AE74" i="5"/>
  <c r="AF74" i="5"/>
  <c r="AG74" i="5"/>
  <c r="AH74" i="5"/>
  <c r="AI74" i="5"/>
  <c r="AJ74" i="5"/>
  <c r="AD75" i="5"/>
  <c r="AE75" i="5"/>
  <c r="AF75" i="5"/>
  <c r="AG75" i="5"/>
  <c r="AH75" i="5"/>
  <c r="AI75" i="5"/>
  <c r="AJ75" i="5"/>
  <c r="AD76" i="5"/>
  <c r="AE76" i="5"/>
  <c r="AF76" i="5"/>
  <c r="AG76" i="5"/>
  <c r="AH76" i="5"/>
  <c r="AI76" i="5"/>
  <c r="AJ76" i="5"/>
  <c r="AD77" i="5"/>
  <c r="AE77" i="5"/>
  <c r="AF77" i="5"/>
  <c r="AG77" i="5"/>
  <c r="AH77" i="5"/>
  <c r="AI77" i="5"/>
  <c r="AJ77" i="5"/>
  <c r="AD78" i="5"/>
  <c r="AE78" i="5"/>
  <c r="AF78" i="5"/>
  <c r="AG78" i="5"/>
  <c r="AH78" i="5"/>
  <c r="AI78" i="5"/>
  <c r="AJ78" i="5"/>
  <c r="AD79" i="5"/>
  <c r="AE79" i="5"/>
  <c r="AF79" i="5"/>
  <c r="AG79" i="5"/>
  <c r="AH79" i="5"/>
  <c r="AI79" i="5"/>
  <c r="AJ79" i="5"/>
  <c r="AD80" i="5"/>
  <c r="AE80" i="5"/>
  <c r="AF80" i="5"/>
  <c r="AG80" i="5"/>
  <c r="AH80" i="5"/>
  <c r="AI80" i="5"/>
  <c r="AJ80" i="5"/>
  <c r="AD81" i="5"/>
  <c r="AE81" i="5"/>
  <c r="AF81" i="5"/>
  <c r="AG81" i="5"/>
  <c r="AH81" i="5"/>
  <c r="AI81" i="5"/>
  <c r="AJ81" i="5"/>
  <c r="AD82" i="5"/>
  <c r="AE82" i="5"/>
  <c r="AF82" i="5"/>
  <c r="AG82" i="5"/>
  <c r="AH82" i="5"/>
  <c r="AI82" i="5"/>
  <c r="AJ82" i="5"/>
  <c r="AD83" i="5"/>
  <c r="AE83" i="5"/>
  <c r="AF83" i="5"/>
  <c r="AG83" i="5"/>
  <c r="AH83" i="5"/>
  <c r="AI83" i="5"/>
  <c r="AJ83" i="5"/>
  <c r="AD84" i="5"/>
  <c r="AE84" i="5"/>
  <c r="AF84" i="5"/>
  <c r="AG84" i="5"/>
  <c r="AH84" i="5"/>
  <c r="AI84" i="5"/>
  <c r="AJ84" i="5"/>
  <c r="AD85" i="5"/>
  <c r="AE85" i="5"/>
  <c r="AF85" i="5"/>
  <c r="AG85" i="5"/>
  <c r="AH85" i="5"/>
  <c r="AI85" i="5"/>
  <c r="AJ85" i="5"/>
  <c r="AD86" i="5"/>
  <c r="AE86" i="5"/>
  <c r="AF86" i="5"/>
  <c r="AG86" i="5"/>
  <c r="AH86" i="5"/>
  <c r="AI86" i="5"/>
  <c r="AJ86" i="5"/>
  <c r="AD87" i="5"/>
  <c r="AE87" i="5"/>
  <c r="AF87" i="5"/>
  <c r="AG87" i="5"/>
  <c r="AH87" i="5"/>
  <c r="AI87" i="5"/>
  <c r="AJ87" i="5"/>
  <c r="AD88" i="5"/>
  <c r="AE88" i="5"/>
  <c r="AF88" i="5"/>
  <c r="AG88" i="5"/>
  <c r="AH88" i="5"/>
  <c r="AI88" i="5"/>
  <c r="AJ88" i="5"/>
  <c r="AD89" i="5"/>
  <c r="AE89" i="5"/>
  <c r="AF89" i="5"/>
  <c r="AG89" i="5"/>
  <c r="AH89" i="5"/>
  <c r="AI89" i="5"/>
  <c r="AJ89" i="5"/>
  <c r="AD90" i="5"/>
  <c r="AE90" i="5"/>
  <c r="AF90" i="5"/>
  <c r="AG90" i="5"/>
  <c r="AH90" i="5"/>
  <c r="AI90" i="5"/>
  <c r="AJ90" i="5"/>
  <c r="AD91" i="5"/>
  <c r="AE91" i="5"/>
  <c r="AF91" i="5"/>
  <c r="AG91" i="5"/>
  <c r="AH91" i="5"/>
  <c r="AI91" i="5"/>
  <c r="AJ91" i="5"/>
  <c r="AD92" i="5"/>
  <c r="AE92" i="5"/>
  <c r="AF92" i="5"/>
  <c r="AG92" i="5"/>
  <c r="AH92" i="5"/>
  <c r="AI92" i="5"/>
  <c r="AJ92" i="5"/>
  <c r="AD93" i="5"/>
  <c r="AE93" i="5"/>
  <c r="AF93" i="5"/>
  <c r="AG93" i="5"/>
  <c r="AH93" i="5"/>
  <c r="AI93" i="5"/>
  <c r="AJ93" i="5"/>
  <c r="AD94" i="5"/>
  <c r="AE94" i="5"/>
  <c r="AF94" i="5"/>
  <c r="AG94" i="5"/>
  <c r="AH94" i="5"/>
  <c r="AI94" i="5"/>
  <c r="AJ94" i="5"/>
  <c r="AD95" i="5"/>
  <c r="AE95" i="5"/>
  <c r="AF95" i="5"/>
  <c r="AG95" i="5"/>
  <c r="AH95" i="5"/>
  <c r="AI95" i="5"/>
  <c r="AJ95" i="5"/>
  <c r="AD96" i="5"/>
  <c r="AE96" i="5"/>
  <c r="AF96" i="5"/>
  <c r="AG96" i="5"/>
  <c r="AH96" i="5"/>
  <c r="AI96" i="5"/>
  <c r="AJ96" i="5"/>
  <c r="AD97" i="5"/>
  <c r="AE97" i="5"/>
  <c r="AF97" i="5"/>
  <c r="AG97" i="5"/>
  <c r="AH97" i="5"/>
  <c r="AI97" i="5"/>
  <c r="AJ97" i="5"/>
  <c r="AD98" i="5"/>
  <c r="AE98" i="5"/>
  <c r="AF98" i="5"/>
  <c r="AG98" i="5"/>
  <c r="AH98" i="5"/>
  <c r="AI98" i="5"/>
  <c r="AJ98" i="5"/>
  <c r="AD99" i="5"/>
  <c r="AE99" i="5"/>
  <c r="AF99" i="5"/>
  <c r="AG99" i="5"/>
  <c r="AH99" i="5"/>
  <c r="AI99" i="5"/>
  <c r="AJ99" i="5"/>
  <c r="AD100" i="5"/>
  <c r="AE100" i="5"/>
  <c r="AF100" i="5"/>
  <c r="AG100" i="5"/>
  <c r="AH100" i="5"/>
  <c r="AI100" i="5"/>
  <c r="AJ100" i="5"/>
  <c r="AD101" i="5"/>
  <c r="AE101" i="5"/>
  <c r="AF101" i="5"/>
  <c r="AG101" i="5"/>
  <c r="AH101" i="5"/>
  <c r="AI101" i="5"/>
  <c r="AJ101" i="5"/>
  <c r="AD102" i="5"/>
  <c r="AE102" i="5"/>
  <c r="AF102" i="5"/>
  <c r="AG102" i="5"/>
  <c r="AH102" i="5"/>
  <c r="AI102" i="5"/>
  <c r="AJ102" i="5"/>
  <c r="AD103" i="5"/>
  <c r="AE103" i="5"/>
  <c r="AF103" i="5"/>
  <c r="AG103" i="5"/>
  <c r="AH103" i="5"/>
  <c r="AI103" i="5"/>
  <c r="AJ103" i="5"/>
  <c r="AD104" i="5"/>
  <c r="AE104" i="5"/>
  <c r="AF104" i="5"/>
  <c r="AG104" i="5"/>
  <c r="AH104" i="5"/>
  <c r="AI104" i="5"/>
  <c r="AJ104" i="5"/>
  <c r="AD105" i="5"/>
  <c r="AE105" i="5"/>
  <c r="AF105" i="5"/>
  <c r="AG105" i="5"/>
  <c r="AH105" i="5"/>
  <c r="AI105" i="5"/>
  <c r="AJ105" i="5"/>
  <c r="AD106" i="5"/>
  <c r="AE106" i="5"/>
  <c r="AF106" i="5"/>
  <c r="AG106" i="5"/>
  <c r="AH106" i="5"/>
  <c r="AI106" i="5"/>
  <c r="AJ106" i="5"/>
  <c r="AD107" i="5"/>
  <c r="AE107" i="5"/>
  <c r="AF107" i="5"/>
  <c r="AG107" i="5"/>
  <c r="AH107" i="5"/>
  <c r="AI107" i="5"/>
  <c r="AJ107" i="5"/>
  <c r="AD108" i="5"/>
  <c r="AE108" i="5"/>
  <c r="AF108" i="5"/>
  <c r="AG108" i="5"/>
  <c r="AH108" i="5"/>
  <c r="AI108" i="5"/>
  <c r="AJ108" i="5"/>
  <c r="AD109" i="5"/>
  <c r="AE109" i="5"/>
  <c r="AF109" i="5"/>
  <c r="AG109" i="5"/>
  <c r="AH109" i="5"/>
  <c r="AI109" i="5"/>
  <c r="AJ109" i="5"/>
  <c r="AD110" i="5"/>
  <c r="AE110" i="5"/>
  <c r="AF110" i="5"/>
  <c r="AG110" i="5"/>
  <c r="AH110" i="5"/>
  <c r="AI110" i="5"/>
  <c r="AJ110" i="5"/>
  <c r="AD111" i="5"/>
  <c r="AE111" i="5"/>
  <c r="AF111" i="5"/>
  <c r="AG111" i="5"/>
  <c r="AH111" i="5"/>
  <c r="AI111" i="5"/>
  <c r="AJ111" i="5"/>
  <c r="AD112" i="5"/>
  <c r="AE112" i="5"/>
  <c r="AF112" i="5"/>
  <c r="AG112" i="5"/>
  <c r="AH112" i="5"/>
  <c r="AI112" i="5"/>
  <c r="AJ112" i="5"/>
  <c r="AD113" i="5"/>
  <c r="AE113" i="5"/>
  <c r="AF113" i="5"/>
  <c r="AG113" i="5"/>
  <c r="AH113" i="5"/>
  <c r="AI113" i="5"/>
  <c r="AJ113" i="5"/>
  <c r="AD114" i="5"/>
  <c r="AE114" i="5"/>
  <c r="AF114" i="5"/>
  <c r="AG114" i="5"/>
  <c r="AH114" i="5"/>
  <c r="AI114" i="5"/>
  <c r="AJ114" i="5"/>
  <c r="AD115" i="5"/>
  <c r="AE115" i="5"/>
  <c r="AF115" i="5"/>
  <c r="AG115" i="5"/>
  <c r="AH115" i="5"/>
  <c r="AI115" i="5"/>
  <c r="AJ115" i="5"/>
  <c r="AD116" i="5"/>
  <c r="AE116" i="5"/>
  <c r="AF116" i="5"/>
  <c r="AG116" i="5"/>
  <c r="AH116" i="5"/>
  <c r="AI116" i="5"/>
  <c r="AJ116" i="5"/>
  <c r="AD117" i="5"/>
  <c r="AE117" i="5"/>
  <c r="AF117" i="5"/>
  <c r="AG117" i="5"/>
  <c r="AH117" i="5"/>
  <c r="AI117" i="5"/>
  <c r="AJ117" i="5"/>
  <c r="AD118" i="5"/>
  <c r="AE118" i="5"/>
  <c r="AF118" i="5"/>
  <c r="AG118" i="5"/>
  <c r="AH118" i="5"/>
  <c r="AI118" i="5"/>
  <c r="AJ118" i="5"/>
  <c r="AD119" i="5"/>
  <c r="AE119" i="5"/>
  <c r="AF119" i="5"/>
  <c r="AG119" i="5"/>
  <c r="AH119" i="5"/>
  <c r="AI119" i="5"/>
  <c r="AJ119" i="5"/>
  <c r="AD120" i="5"/>
  <c r="AE120" i="5"/>
  <c r="AF120" i="5"/>
  <c r="AG120" i="5"/>
  <c r="AH120" i="5"/>
  <c r="AI120" i="5"/>
  <c r="AJ120" i="5"/>
  <c r="AD121" i="5"/>
  <c r="AE121" i="5"/>
  <c r="AF121" i="5"/>
  <c r="AG121" i="5"/>
  <c r="AH121" i="5"/>
  <c r="AI121" i="5"/>
  <c r="AJ121" i="5"/>
  <c r="AD122" i="5"/>
  <c r="AE122" i="5"/>
  <c r="AF122" i="5"/>
  <c r="AG122" i="5"/>
  <c r="AH122" i="5"/>
  <c r="AI122" i="5"/>
  <c r="AJ122" i="5"/>
  <c r="AD123" i="5"/>
  <c r="AE123" i="5"/>
  <c r="AF123" i="5"/>
  <c r="AG123" i="5"/>
  <c r="AH123" i="5"/>
  <c r="AI123" i="5"/>
  <c r="AJ123" i="5"/>
  <c r="AD124" i="5"/>
  <c r="AE124" i="5"/>
  <c r="AF124" i="5"/>
  <c r="AG124" i="5"/>
  <c r="AH124" i="5"/>
  <c r="AI124" i="5"/>
  <c r="AJ124" i="5"/>
  <c r="AD125" i="5"/>
  <c r="AE125" i="5"/>
  <c r="AF125" i="5"/>
  <c r="AG125" i="5"/>
  <c r="AH125" i="5"/>
  <c r="AI125" i="5"/>
  <c r="AJ125" i="5"/>
  <c r="AD126" i="5"/>
  <c r="AE126" i="5"/>
  <c r="AF126" i="5"/>
  <c r="AG126" i="5"/>
  <c r="AH126" i="5"/>
  <c r="AI126" i="5"/>
  <c r="AJ126" i="5"/>
  <c r="AD127" i="5"/>
  <c r="AE127" i="5"/>
  <c r="AF127" i="5"/>
  <c r="AG127" i="5"/>
  <c r="AH127" i="5"/>
  <c r="AI127" i="5"/>
  <c r="AJ127" i="5"/>
  <c r="AD128" i="5"/>
  <c r="AE128" i="5"/>
  <c r="AF128" i="5"/>
  <c r="AG128" i="5"/>
  <c r="AH128" i="5"/>
  <c r="AI128" i="5"/>
  <c r="AJ128" i="5"/>
  <c r="AD129" i="5"/>
  <c r="AE129" i="5"/>
  <c r="AF129" i="5"/>
  <c r="AG129" i="5"/>
  <c r="AH129" i="5"/>
  <c r="AI129" i="5"/>
  <c r="AJ129" i="5"/>
  <c r="AD130" i="5"/>
  <c r="AE130" i="5"/>
  <c r="AF130" i="5"/>
  <c r="AG130" i="5"/>
  <c r="AH130" i="5"/>
  <c r="AI130" i="5"/>
  <c r="AJ130" i="5"/>
  <c r="AD131" i="5"/>
  <c r="AE131" i="5"/>
  <c r="AF131" i="5"/>
  <c r="AG131" i="5"/>
  <c r="AH131" i="5"/>
  <c r="AI131" i="5"/>
  <c r="AJ131" i="5"/>
  <c r="AD132" i="5"/>
  <c r="AE132" i="5"/>
  <c r="AF132" i="5"/>
  <c r="AG132" i="5"/>
  <c r="AH132" i="5"/>
  <c r="AI132" i="5"/>
  <c r="AJ132" i="5"/>
  <c r="AD133" i="5"/>
  <c r="AE133" i="5"/>
  <c r="AF133" i="5"/>
  <c r="AG133" i="5"/>
  <c r="AH133" i="5"/>
  <c r="AI133" i="5"/>
  <c r="AJ133" i="5"/>
  <c r="AD134" i="5"/>
  <c r="AE134" i="5"/>
  <c r="AF134" i="5"/>
  <c r="AG134" i="5"/>
  <c r="AH134" i="5"/>
  <c r="AI134" i="5"/>
  <c r="AJ134" i="5"/>
  <c r="AD135" i="5"/>
  <c r="AE135" i="5"/>
  <c r="AF135" i="5"/>
  <c r="AG135" i="5"/>
  <c r="AH135" i="5"/>
  <c r="AI135" i="5"/>
  <c r="AJ135" i="5"/>
  <c r="AD136" i="5"/>
  <c r="AE136" i="5"/>
  <c r="AF136" i="5"/>
  <c r="AG136" i="5"/>
  <c r="AH136" i="5"/>
  <c r="AI136" i="5"/>
  <c r="AJ136" i="5"/>
  <c r="AD137" i="5"/>
  <c r="AE137" i="5"/>
  <c r="AF137" i="5"/>
  <c r="AG137" i="5"/>
  <c r="AH137" i="5"/>
  <c r="AI137" i="5"/>
  <c r="AJ137" i="5"/>
  <c r="AD138" i="5"/>
  <c r="AE138" i="5"/>
  <c r="AF138" i="5"/>
  <c r="AG138" i="5"/>
  <c r="AH138" i="5"/>
  <c r="AI138" i="5"/>
  <c r="AJ138" i="5"/>
  <c r="AD139" i="5"/>
  <c r="AE139" i="5"/>
  <c r="AF139" i="5"/>
  <c r="AG139" i="5"/>
  <c r="AH139" i="5"/>
  <c r="AI139" i="5"/>
  <c r="AJ139" i="5"/>
  <c r="AD140" i="5"/>
  <c r="AE140" i="5"/>
  <c r="AF140" i="5"/>
  <c r="AG140" i="5"/>
  <c r="AH140" i="5"/>
  <c r="AI140" i="5"/>
  <c r="AJ140" i="5"/>
  <c r="AD141" i="5"/>
  <c r="AE141" i="5"/>
  <c r="AF141" i="5"/>
  <c r="AG141" i="5"/>
  <c r="AH141" i="5"/>
  <c r="AI141" i="5"/>
  <c r="AJ141" i="5"/>
  <c r="AD142" i="5"/>
  <c r="AE142" i="5"/>
  <c r="AF142" i="5"/>
  <c r="AG142" i="5"/>
  <c r="AH142" i="5"/>
  <c r="AI142" i="5"/>
  <c r="AJ142" i="5"/>
  <c r="AD143" i="5"/>
  <c r="AE143" i="5"/>
  <c r="AF143" i="5"/>
  <c r="AG143" i="5"/>
  <c r="AH143" i="5"/>
  <c r="AI143" i="5"/>
  <c r="AJ143" i="5"/>
  <c r="AD144" i="5"/>
  <c r="AE144" i="5"/>
  <c r="AF144" i="5"/>
  <c r="AG144" i="5"/>
  <c r="AH144" i="5"/>
  <c r="AI144" i="5"/>
  <c r="AJ144" i="5"/>
  <c r="AD145" i="5"/>
  <c r="AE145" i="5"/>
  <c r="AF145" i="5"/>
  <c r="AG145" i="5"/>
  <c r="AH145" i="5"/>
  <c r="AI145" i="5"/>
  <c r="AJ145" i="5"/>
  <c r="AD146" i="5"/>
  <c r="AE146" i="5"/>
  <c r="AF146" i="5"/>
  <c r="AG146" i="5"/>
  <c r="AH146" i="5"/>
  <c r="AI146" i="5"/>
  <c r="AJ146" i="5"/>
  <c r="AD147" i="5"/>
  <c r="AE147" i="5"/>
  <c r="AF147" i="5"/>
  <c r="AG147" i="5"/>
  <c r="AH147" i="5"/>
  <c r="AI147" i="5"/>
  <c r="AJ147" i="5"/>
  <c r="AD148" i="5"/>
  <c r="AE148" i="5"/>
  <c r="AF148" i="5"/>
  <c r="AG148" i="5"/>
  <c r="AH148" i="5"/>
  <c r="AI148" i="5"/>
  <c r="AJ148" i="5"/>
  <c r="AD149" i="5"/>
  <c r="AE149" i="5"/>
  <c r="AF149" i="5"/>
  <c r="AG149" i="5"/>
  <c r="AH149" i="5"/>
  <c r="AI149" i="5"/>
  <c r="AJ149" i="5"/>
  <c r="AD150" i="5"/>
  <c r="AE150" i="5"/>
  <c r="AF150" i="5"/>
  <c r="AG150" i="5"/>
  <c r="AH150" i="5"/>
  <c r="AI150" i="5"/>
  <c r="AJ150" i="5"/>
  <c r="AD151" i="5"/>
  <c r="AE151" i="5"/>
  <c r="AF151" i="5"/>
  <c r="AG151" i="5"/>
  <c r="AH151" i="5"/>
  <c r="AI151" i="5"/>
  <c r="AJ151" i="5"/>
  <c r="AD152" i="5"/>
  <c r="AE152" i="5"/>
  <c r="AF152" i="5"/>
  <c r="AG152" i="5"/>
  <c r="AH152" i="5"/>
  <c r="AI152" i="5"/>
  <c r="AJ152" i="5"/>
  <c r="AD153" i="5"/>
  <c r="AE153" i="5"/>
  <c r="AF153" i="5"/>
  <c r="AG153" i="5"/>
  <c r="AH153" i="5"/>
  <c r="AI153" i="5"/>
  <c r="AJ153" i="5"/>
  <c r="AD154" i="5"/>
  <c r="AE154" i="5"/>
  <c r="AF154" i="5"/>
  <c r="AG154" i="5"/>
  <c r="AH154" i="5"/>
  <c r="AI154" i="5"/>
  <c r="AJ154" i="5"/>
  <c r="AD155" i="5"/>
  <c r="AE155" i="5"/>
  <c r="AF155" i="5"/>
  <c r="AG155" i="5"/>
  <c r="AH155" i="5"/>
  <c r="AI155" i="5"/>
  <c r="AJ155" i="5"/>
  <c r="AD156" i="5"/>
  <c r="AE156" i="5"/>
  <c r="AF156" i="5"/>
  <c r="AG156" i="5"/>
  <c r="AH156" i="5"/>
  <c r="AI156" i="5"/>
  <c r="AJ156" i="5"/>
  <c r="AD157" i="5"/>
  <c r="AE157" i="5"/>
  <c r="AF157" i="5"/>
  <c r="AG157" i="5"/>
  <c r="AH157" i="5"/>
  <c r="AI157" i="5"/>
  <c r="AJ157" i="5"/>
  <c r="AD158" i="5"/>
  <c r="AE158" i="5"/>
  <c r="AF158" i="5"/>
  <c r="AG158" i="5"/>
  <c r="AH158" i="5"/>
  <c r="AI158" i="5"/>
  <c r="AJ158" i="5"/>
  <c r="AD159" i="5"/>
  <c r="AE159" i="5"/>
  <c r="AF159" i="5"/>
  <c r="AG159" i="5"/>
  <c r="AH159" i="5"/>
  <c r="AI159" i="5"/>
  <c r="AJ159" i="5"/>
  <c r="AD160" i="5"/>
  <c r="AE160" i="5"/>
  <c r="AF160" i="5"/>
  <c r="AG160" i="5"/>
  <c r="AH160" i="5"/>
  <c r="AI160" i="5"/>
  <c r="AJ160" i="5"/>
  <c r="AD161" i="5"/>
  <c r="AE161" i="5"/>
  <c r="AF161" i="5"/>
  <c r="AG161" i="5"/>
  <c r="AH161" i="5"/>
  <c r="AI161" i="5"/>
  <c r="AJ161" i="5"/>
  <c r="AD162" i="5"/>
  <c r="AE162" i="5"/>
  <c r="AF162" i="5"/>
  <c r="AG162" i="5"/>
  <c r="AH162" i="5"/>
  <c r="AI162" i="5"/>
  <c r="AJ162" i="5"/>
  <c r="AD163" i="5"/>
  <c r="AE163" i="5"/>
  <c r="AF163" i="5"/>
  <c r="AG163" i="5"/>
  <c r="AH163" i="5"/>
  <c r="AI163" i="5"/>
  <c r="AJ163" i="5"/>
  <c r="AD164" i="5"/>
  <c r="AE164" i="5"/>
  <c r="AF164" i="5"/>
  <c r="AG164" i="5"/>
  <c r="AH164" i="5"/>
  <c r="AI164" i="5"/>
  <c r="AJ164" i="5"/>
  <c r="AD165" i="5"/>
  <c r="AE165" i="5"/>
  <c r="AF165" i="5"/>
  <c r="AG165" i="5"/>
  <c r="AH165" i="5"/>
  <c r="AI165" i="5"/>
  <c r="AJ165" i="5"/>
  <c r="AD166" i="5"/>
  <c r="AE166" i="5"/>
  <c r="AF166" i="5"/>
  <c r="AG166" i="5"/>
  <c r="AH166" i="5"/>
  <c r="AI166" i="5"/>
  <c r="AJ166" i="5"/>
  <c r="AD167" i="5"/>
  <c r="AE167" i="5"/>
  <c r="AF167" i="5"/>
  <c r="AG167" i="5"/>
  <c r="AH167" i="5"/>
  <c r="AI167" i="5"/>
  <c r="AJ167" i="5"/>
  <c r="AD168" i="5"/>
  <c r="AE168" i="5"/>
  <c r="AF168" i="5"/>
  <c r="AG168" i="5"/>
  <c r="AH168" i="5"/>
  <c r="AI168" i="5"/>
  <c r="AJ168" i="5"/>
  <c r="AD169" i="5"/>
  <c r="AE169" i="5"/>
  <c r="AF169" i="5"/>
  <c r="AG169" i="5"/>
  <c r="AH169" i="5"/>
  <c r="AI169" i="5"/>
  <c r="AJ169" i="5"/>
  <c r="AD170" i="5"/>
  <c r="AE170" i="5"/>
  <c r="AF170" i="5"/>
  <c r="AG170" i="5"/>
  <c r="AH170" i="5"/>
  <c r="AI170" i="5"/>
  <c r="AJ170" i="5"/>
  <c r="AD171" i="5"/>
  <c r="AE171" i="5"/>
  <c r="AF171" i="5"/>
  <c r="AG171" i="5"/>
  <c r="AH171" i="5"/>
  <c r="AI171" i="5"/>
  <c r="AJ171" i="5"/>
  <c r="AD172" i="5"/>
  <c r="AE172" i="5"/>
  <c r="AF172" i="5"/>
  <c r="AG172" i="5"/>
  <c r="AH172" i="5"/>
  <c r="AI172" i="5"/>
  <c r="AJ172" i="5"/>
  <c r="AD173" i="5"/>
  <c r="AE173" i="5"/>
  <c r="AF173" i="5"/>
  <c r="AG173" i="5"/>
  <c r="AH173" i="5"/>
  <c r="AI173" i="5"/>
  <c r="AJ173" i="5"/>
  <c r="AD174" i="5"/>
  <c r="AE174" i="5"/>
  <c r="AF174" i="5"/>
  <c r="AG174" i="5"/>
  <c r="AH174" i="5"/>
  <c r="AI174" i="5"/>
  <c r="AJ174" i="5"/>
  <c r="AD175" i="5"/>
  <c r="AE175" i="5"/>
  <c r="AF175" i="5"/>
  <c r="AG175" i="5"/>
  <c r="AH175" i="5"/>
  <c r="AI175" i="5"/>
  <c r="AJ175" i="5"/>
  <c r="AD176" i="5"/>
  <c r="AE176" i="5"/>
  <c r="AF176" i="5"/>
  <c r="AG176" i="5"/>
  <c r="AH176" i="5"/>
  <c r="AI176" i="5"/>
  <c r="AJ176" i="5"/>
  <c r="AD177" i="5"/>
  <c r="AE177" i="5"/>
  <c r="AF177" i="5"/>
  <c r="AG177" i="5"/>
  <c r="AH177" i="5"/>
  <c r="AI177" i="5"/>
  <c r="AJ177" i="5"/>
  <c r="AD178" i="5"/>
  <c r="AE178" i="5"/>
  <c r="AF178" i="5"/>
  <c r="AG178" i="5"/>
  <c r="AH178" i="5"/>
  <c r="AI178" i="5"/>
  <c r="AJ178" i="5"/>
  <c r="AD179" i="5"/>
  <c r="AE179" i="5"/>
  <c r="AF179" i="5"/>
  <c r="AG179" i="5"/>
  <c r="AH179" i="5"/>
  <c r="AI179" i="5"/>
  <c r="AJ179" i="5"/>
  <c r="AD180" i="5"/>
  <c r="AE180" i="5"/>
  <c r="AF180" i="5"/>
  <c r="AG180" i="5"/>
  <c r="AH180" i="5"/>
  <c r="AI180" i="5"/>
  <c r="AJ180" i="5"/>
  <c r="AD181" i="5"/>
  <c r="AE181" i="5"/>
  <c r="AF181" i="5"/>
  <c r="AG181" i="5"/>
  <c r="AH181" i="5"/>
  <c r="AI181" i="5"/>
  <c r="AJ181" i="5"/>
  <c r="AD182" i="5"/>
  <c r="AE182" i="5"/>
  <c r="AF182" i="5"/>
  <c r="AG182" i="5"/>
  <c r="AH182" i="5"/>
  <c r="AI182" i="5"/>
  <c r="AJ182" i="5"/>
  <c r="AD183" i="5"/>
  <c r="AE183" i="5"/>
  <c r="AF183" i="5"/>
  <c r="AG183" i="5"/>
  <c r="AH183" i="5"/>
  <c r="AI183" i="5"/>
  <c r="AJ183" i="5"/>
  <c r="AD184" i="5"/>
  <c r="AE184" i="5"/>
  <c r="AF184" i="5"/>
  <c r="AG184" i="5"/>
  <c r="AH184" i="5"/>
  <c r="AI184" i="5"/>
  <c r="AJ184" i="5"/>
  <c r="AD185" i="5"/>
  <c r="AE185" i="5"/>
  <c r="AF185" i="5"/>
  <c r="AG185" i="5"/>
  <c r="AH185" i="5"/>
  <c r="AI185" i="5"/>
  <c r="AJ185" i="5"/>
  <c r="AD186" i="5"/>
  <c r="AE186" i="5"/>
  <c r="AF186" i="5"/>
  <c r="AG186" i="5"/>
  <c r="AH186" i="5"/>
  <c r="AI186" i="5"/>
  <c r="AJ186" i="5"/>
  <c r="AD187" i="5"/>
  <c r="AE187" i="5"/>
  <c r="AF187" i="5"/>
  <c r="AG187" i="5"/>
  <c r="AH187" i="5"/>
  <c r="AI187" i="5"/>
  <c r="AJ187" i="5"/>
  <c r="AD188" i="5"/>
  <c r="AE188" i="5"/>
  <c r="AF188" i="5"/>
  <c r="AG188" i="5"/>
  <c r="AH188" i="5"/>
  <c r="AI188" i="5"/>
  <c r="AJ188" i="5"/>
  <c r="AD189" i="5"/>
  <c r="AE189" i="5"/>
  <c r="AF189" i="5"/>
  <c r="AG189" i="5"/>
  <c r="AH189" i="5"/>
  <c r="AI189" i="5"/>
  <c r="AJ189" i="5"/>
  <c r="AD190" i="5"/>
  <c r="AE190" i="5"/>
  <c r="AF190" i="5"/>
  <c r="AG190" i="5"/>
  <c r="AH190" i="5"/>
  <c r="AI190" i="5"/>
  <c r="AJ190" i="5"/>
  <c r="AD191" i="5"/>
  <c r="AE191" i="5"/>
  <c r="AF191" i="5"/>
  <c r="AG191" i="5"/>
  <c r="AH191" i="5"/>
  <c r="AI191" i="5"/>
  <c r="AJ191" i="5"/>
  <c r="AD192" i="5"/>
  <c r="AE192" i="5"/>
  <c r="AF192" i="5"/>
  <c r="AG192" i="5"/>
  <c r="AH192" i="5"/>
  <c r="AI192" i="5"/>
  <c r="AJ192" i="5"/>
  <c r="AD193" i="5"/>
  <c r="AE193" i="5"/>
  <c r="AF193" i="5"/>
  <c r="AG193" i="5"/>
  <c r="AH193" i="5"/>
  <c r="AI193" i="5"/>
  <c r="AJ193" i="5"/>
  <c r="AD194" i="5"/>
  <c r="AE194" i="5"/>
  <c r="AF194" i="5"/>
  <c r="AG194" i="5"/>
  <c r="AH194" i="5"/>
  <c r="AI194" i="5"/>
  <c r="AJ194" i="5"/>
  <c r="AD195" i="5"/>
  <c r="AE195" i="5"/>
  <c r="AF195" i="5"/>
  <c r="AG195" i="5"/>
  <c r="AH195" i="5"/>
  <c r="AI195" i="5"/>
  <c r="AJ195" i="5"/>
  <c r="AD196" i="5"/>
  <c r="AE196" i="5"/>
  <c r="AF196" i="5"/>
  <c r="AG196" i="5"/>
  <c r="AH196" i="5"/>
  <c r="AI196" i="5"/>
  <c r="AJ196" i="5"/>
  <c r="AD197" i="5"/>
  <c r="AE197" i="5"/>
  <c r="AF197" i="5"/>
  <c r="AG197" i="5"/>
  <c r="AH197" i="5"/>
  <c r="AI197" i="5"/>
  <c r="AJ197" i="5"/>
  <c r="AD198" i="5"/>
  <c r="AE198" i="5"/>
  <c r="AF198" i="5"/>
  <c r="AG198" i="5"/>
  <c r="AH198" i="5"/>
  <c r="AI198" i="5"/>
  <c r="AJ198" i="5"/>
  <c r="AD199" i="5"/>
  <c r="AE199" i="5"/>
  <c r="AF199" i="5"/>
  <c r="AG199" i="5"/>
  <c r="AH199" i="5"/>
  <c r="AI199" i="5"/>
  <c r="AJ199" i="5"/>
  <c r="AD200" i="5"/>
  <c r="AE200" i="5"/>
  <c r="AF200" i="5"/>
  <c r="AG200" i="5"/>
  <c r="AH200" i="5"/>
  <c r="AI200" i="5"/>
  <c r="AJ200" i="5"/>
  <c r="AD201" i="5"/>
  <c r="AE201" i="5"/>
  <c r="AF201" i="5"/>
  <c r="AG201" i="5"/>
  <c r="AH201" i="5"/>
  <c r="AI201" i="5"/>
  <c r="AJ201" i="5"/>
  <c r="AD202" i="5"/>
  <c r="AE202" i="5"/>
  <c r="AF202" i="5"/>
  <c r="AG202" i="5"/>
  <c r="AH202" i="5"/>
  <c r="AI202" i="5"/>
  <c r="AJ202" i="5"/>
  <c r="AD203" i="5"/>
  <c r="AE203" i="5"/>
  <c r="AF203" i="5"/>
  <c r="AG203" i="5"/>
  <c r="AH203" i="5"/>
  <c r="AI203" i="5"/>
  <c r="AJ203" i="5"/>
  <c r="AD204" i="5"/>
  <c r="AE204" i="5"/>
  <c r="AF204" i="5"/>
  <c r="AG204" i="5"/>
  <c r="AH204" i="5"/>
  <c r="AI204" i="5"/>
  <c r="AJ204" i="5"/>
  <c r="AD205" i="5"/>
  <c r="AE205" i="5"/>
  <c r="AF205" i="5"/>
  <c r="AG205" i="5"/>
  <c r="AH205" i="5"/>
  <c r="AI205" i="5"/>
  <c r="AJ205" i="5"/>
  <c r="AD206" i="5"/>
  <c r="AE206" i="5"/>
  <c r="AF206" i="5"/>
  <c r="AG206" i="5"/>
  <c r="AH206" i="5"/>
  <c r="AI206" i="5"/>
  <c r="AJ206" i="5"/>
  <c r="AD207" i="5"/>
  <c r="AE207" i="5"/>
  <c r="AF207" i="5"/>
  <c r="AG207" i="5"/>
  <c r="AH207" i="5"/>
  <c r="AI207" i="5"/>
  <c r="AJ207" i="5"/>
  <c r="AD208" i="5"/>
  <c r="AE208" i="5"/>
  <c r="AF208" i="5"/>
  <c r="AG208" i="5"/>
  <c r="AH208" i="5"/>
  <c r="AI208" i="5"/>
  <c r="AJ208" i="5"/>
  <c r="AD209" i="5"/>
  <c r="AE209" i="5"/>
  <c r="AF209" i="5"/>
  <c r="AG209" i="5"/>
  <c r="AH209" i="5"/>
  <c r="AI209" i="5"/>
  <c r="AJ209" i="5"/>
  <c r="AD210" i="5"/>
  <c r="AE210" i="5"/>
  <c r="AF210" i="5"/>
  <c r="AG210" i="5"/>
  <c r="AH210" i="5"/>
  <c r="AI210" i="5"/>
  <c r="AJ210" i="5"/>
  <c r="AD211" i="5"/>
  <c r="AE211" i="5"/>
  <c r="AF211" i="5"/>
  <c r="AG211" i="5"/>
  <c r="AH211" i="5"/>
  <c r="AI211" i="5"/>
  <c r="AJ211" i="5"/>
  <c r="AD212" i="5"/>
  <c r="AE212" i="5"/>
  <c r="AF212" i="5"/>
  <c r="AG212" i="5"/>
  <c r="AH212" i="5"/>
  <c r="AI212" i="5"/>
  <c r="AJ212" i="5"/>
  <c r="AD213" i="5"/>
  <c r="AE213" i="5"/>
  <c r="AF213" i="5"/>
  <c r="AG213" i="5"/>
  <c r="AH213" i="5"/>
  <c r="AI213" i="5"/>
  <c r="AJ213" i="5"/>
  <c r="AD214" i="5"/>
  <c r="AE214" i="5"/>
  <c r="AF214" i="5"/>
  <c r="AG214" i="5"/>
  <c r="AH214" i="5"/>
  <c r="AI214" i="5"/>
  <c r="AJ214" i="5"/>
  <c r="AD215" i="5"/>
  <c r="AE215" i="5"/>
  <c r="AF215" i="5"/>
  <c r="AG215" i="5"/>
  <c r="AH215" i="5"/>
  <c r="AI215" i="5"/>
  <c r="AJ215" i="5"/>
  <c r="AD216" i="5"/>
  <c r="AE216" i="5"/>
  <c r="AF216" i="5"/>
  <c r="AG216" i="5"/>
  <c r="AH216" i="5"/>
  <c r="AI216" i="5"/>
  <c r="AJ216" i="5"/>
  <c r="AD217" i="5"/>
  <c r="AE217" i="5"/>
  <c r="AF217" i="5"/>
  <c r="AG217" i="5"/>
  <c r="AH217" i="5"/>
  <c r="AI217" i="5"/>
  <c r="AJ217" i="5"/>
  <c r="AD218" i="5"/>
  <c r="AE218" i="5"/>
  <c r="AF218" i="5"/>
  <c r="AG218" i="5"/>
  <c r="AH218" i="5"/>
  <c r="AI218" i="5"/>
  <c r="AJ218" i="5"/>
  <c r="AD219" i="5"/>
  <c r="AE219" i="5"/>
  <c r="AF219" i="5"/>
  <c r="AG219" i="5"/>
  <c r="AH219" i="5"/>
  <c r="AI219" i="5"/>
  <c r="AJ219" i="5"/>
  <c r="AD220" i="5"/>
  <c r="AE220" i="5"/>
  <c r="AF220" i="5"/>
  <c r="AG220" i="5"/>
  <c r="AH220" i="5"/>
  <c r="AI220" i="5"/>
  <c r="AJ220" i="5"/>
  <c r="AD221" i="5"/>
  <c r="AE221" i="5"/>
  <c r="AF221" i="5"/>
  <c r="AG221" i="5"/>
  <c r="AH221" i="5"/>
  <c r="AI221" i="5"/>
  <c r="AJ221" i="5"/>
  <c r="AD222" i="5"/>
  <c r="AE222" i="5"/>
  <c r="AF222" i="5"/>
  <c r="AG222" i="5"/>
  <c r="AH222" i="5"/>
  <c r="AI222" i="5"/>
  <c r="AJ222" i="5"/>
  <c r="AD223" i="5"/>
  <c r="AE223" i="5"/>
  <c r="AF223" i="5"/>
  <c r="AG223" i="5"/>
  <c r="AH223" i="5"/>
  <c r="AI223" i="5"/>
  <c r="AJ223" i="5"/>
  <c r="AD224" i="5"/>
  <c r="AE224" i="5"/>
  <c r="AF224" i="5"/>
  <c r="AG224" i="5"/>
  <c r="AH224" i="5"/>
  <c r="AI224" i="5"/>
  <c r="AJ224" i="5"/>
  <c r="AD225" i="5"/>
  <c r="AE225" i="5"/>
  <c r="AF225" i="5"/>
  <c r="AG225" i="5"/>
  <c r="AH225" i="5"/>
  <c r="AI225" i="5"/>
  <c r="AJ225" i="5"/>
  <c r="AD226" i="5"/>
  <c r="AE226" i="5"/>
  <c r="AF226" i="5"/>
  <c r="AG226" i="5"/>
  <c r="AH226" i="5"/>
  <c r="AI226" i="5"/>
  <c r="AJ226" i="5"/>
  <c r="AD227" i="5"/>
  <c r="AE227" i="5"/>
  <c r="AF227" i="5"/>
  <c r="AG227" i="5"/>
  <c r="AH227" i="5"/>
  <c r="AI227" i="5"/>
  <c r="AJ227" i="5"/>
  <c r="AD228" i="5"/>
  <c r="AE228" i="5"/>
  <c r="AF228" i="5"/>
  <c r="AG228" i="5"/>
  <c r="AH228" i="5"/>
  <c r="AI228" i="5"/>
  <c r="AJ228" i="5"/>
  <c r="AD229" i="5"/>
  <c r="AE229" i="5"/>
  <c r="AF229" i="5"/>
  <c r="AG229" i="5"/>
  <c r="AH229" i="5"/>
  <c r="AI229" i="5"/>
  <c r="AJ229" i="5"/>
  <c r="AD230" i="5"/>
  <c r="AE230" i="5"/>
  <c r="AF230" i="5"/>
  <c r="AG230" i="5"/>
  <c r="AH230" i="5"/>
  <c r="AI230" i="5"/>
  <c r="AJ230" i="5"/>
  <c r="AD231" i="5"/>
  <c r="AE231" i="5"/>
  <c r="AF231" i="5"/>
  <c r="AG231" i="5"/>
  <c r="AH231" i="5"/>
  <c r="AI231" i="5"/>
  <c r="AJ231" i="5"/>
  <c r="AD232" i="5"/>
  <c r="AE232" i="5"/>
  <c r="AF232" i="5"/>
  <c r="AG232" i="5"/>
  <c r="AH232" i="5"/>
  <c r="AI232" i="5"/>
  <c r="AJ232" i="5"/>
  <c r="AD233" i="5"/>
  <c r="AE233" i="5"/>
  <c r="AF233" i="5"/>
  <c r="AG233" i="5"/>
  <c r="AH233" i="5"/>
  <c r="AI233" i="5"/>
  <c r="AJ233" i="5"/>
  <c r="AD234" i="5"/>
  <c r="AE234" i="5"/>
  <c r="AF234" i="5"/>
  <c r="AG234" i="5"/>
  <c r="AH234" i="5"/>
  <c r="AI234" i="5"/>
  <c r="AJ234" i="5"/>
  <c r="AD235" i="5"/>
  <c r="AE235" i="5"/>
  <c r="AF235" i="5"/>
  <c r="AG235" i="5"/>
  <c r="AH235" i="5"/>
  <c r="AI235" i="5"/>
  <c r="AJ235" i="5"/>
  <c r="AD236" i="5"/>
  <c r="AE236" i="5"/>
  <c r="AF236" i="5"/>
  <c r="AG236" i="5"/>
  <c r="AH236" i="5"/>
  <c r="AI236" i="5"/>
  <c r="AJ236" i="5"/>
  <c r="AD237" i="5"/>
  <c r="AE237" i="5"/>
  <c r="AF237" i="5"/>
  <c r="AG237" i="5"/>
  <c r="AH237" i="5"/>
  <c r="AI237" i="5"/>
  <c r="AJ237" i="5"/>
  <c r="AD238" i="5"/>
  <c r="AE238" i="5"/>
  <c r="AF238" i="5"/>
  <c r="AG238" i="5"/>
  <c r="AH238" i="5"/>
  <c r="AI238" i="5"/>
  <c r="AJ238" i="5"/>
  <c r="AD239" i="5"/>
  <c r="AE239" i="5"/>
  <c r="AF239" i="5"/>
  <c r="AG239" i="5"/>
  <c r="AH239" i="5"/>
  <c r="AI239" i="5"/>
  <c r="AJ239" i="5"/>
  <c r="AD240" i="5"/>
  <c r="AE240" i="5"/>
  <c r="AF240" i="5"/>
  <c r="AG240" i="5"/>
  <c r="AH240" i="5"/>
  <c r="AI240" i="5"/>
  <c r="AJ240" i="5"/>
  <c r="AD241" i="5"/>
  <c r="AE241" i="5"/>
  <c r="AF241" i="5"/>
  <c r="AG241" i="5"/>
  <c r="AH241" i="5"/>
  <c r="AI241" i="5"/>
  <c r="AJ241" i="5"/>
  <c r="AD242" i="5"/>
  <c r="AE242" i="5"/>
  <c r="AF242" i="5"/>
  <c r="AG242" i="5"/>
  <c r="AH242" i="5"/>
  <c r="AI242" i="5"/>
  <c r="AJ242" i="5"/>
  <c r="AD243" i="5"/>
  <c r="AE243" i="5"/>
  <c r="AF243" i="5"/>
  <c r="AG243" i="5"/>
  <c r="AH243" i="5"/>
  <c r="AI243" i="5"/>
  <c r="AJ243" i="5"/>
  <c r="AD244" i="5"/>
  <c r="AE244" i="5"/>
  <c r="AF244" i="5"/>
  <c r="AG244" i="5"/>
  <c r="AH244" i="5"/>
  <c r="AI244" i="5"/>
  <c r="AJ244" i="5"/>
  <c r="AD245" i="5"/>
  <c r="AE245" i="5"/>
  <c r="AF245" i="5"/>
  <c r="AG245" i="5"/>
  <c r="AH245" i="5"/>
  <c r="AI245" i="5"/>
  <c r="AJ245" i="5"/>
  <c r="AD246" i="5"/>
  <c r="AE246" i="5"/>
  <c r="AF246" i="5"/>
  <c r="AG246" i="5"/>
  <c r="AH246" i="5"/>
  <c r="AI246" i="5"/>
  <c r="AJ246" i="5"/>
  <c r="AD247" i="5"/>
  <c r="AE247" i="5"/>
  <c r="AF247" i="5"/>
  <c r="AG247" i="5"/>
  <c r="AH247" i="5"/>
  <c r="AI247" i="5"/>
  <c r="AJ247" i="5"/>
  <c r="AD248" i="5"/>
  <c r="AE248" i="5"/>
  <c r="AF248" i="5"/>
  <c r="AG248" i="5"/>
  <c r="AH248" i="5"/>
  <c r="AI248" i="5"/>
  <c r="AJ248" i="5"/>
  <c r="AD249" i="5"/>
  <c r="AE249" i="5"/>
  <c r="AF249" i="5"/>
  <c r="AG249" i="5"/>
  <c r="AH249" i="5"/>
  <c r="AI249" i="5"/>
  <c r="AJ249" i="5"/>
  <c r="AD250" i="5"/>
  <c r="AE250" i="5"/>
  <c r="AF250" i="5"/>
  <c r="AG250" i="5"/>
  <c r="AH250" i="5"/>
  <c r="AI250" i="5"/>
  <c r="AJ250" i="5"/>
  <c r="AD251" i="5"/>
  <c r="AE251" i="5"/>
  <c r="AF251" i="5"/>
  <c r="AG251" i="5"/>
  <c r="AH251" i="5"/>
  <c r="AI251" i="5"/>
  <c r="AJ251" i="5"/>
  <c r="AD252" i="5"/>
  <c r="AE252" i="5"/>
  <c r="AF252" i="5"/>
  <c r="AG252" i="5"/>
  <c r="AH252" i="5"/>
  <c r="AI252" i="5"/>
  <c r="AJ252" i="5"/>
  <c r="AD253" i="5"/>
  <c r="AE253" i="5"/>
  <c r="AF253" i="5"/>
  <c r="AG253" i="5"/>
  <c r="AH253" i="5"/>
  <c r="AI253" i="5"/>
  <c r="AJ253" i="5"/>
  <c r="AD254" i="5"/>
  <c r="AE254" i="5"/>
  <c r="AF254" i="5"/>
  <c r="AG254" i="5"/>
  <c r="AH254" i="5"/>
  <c r="AI254" i="5"/>
  <c r="AJ254" i="5"/>
  <c r="AD255" i="5"/>
  <c r="AE255" i="5"/>
  <c r="AF255" i="5"/>
  <c r="AG255" i="5"/>
  <c r="AH255" i="5"/>
  <c r="AI255" i="5"/>
  <c r="AJ255" i="5"/>
  <c r="AD256" i="5"/>
  <c r="AE256" i="5"/>
  <c r="AF256" i="5"/>
  <c r="AG256" i="5"/>
  <c r="AH256" i="5"/>
  <c r="AI256" i="5"/>
  <c r="AJ256" i="5"/>
  <c r="AD257" i="5"/>
  <c r="AE257" i="5"/>
  <c r="AF257" i="5"/>
  <c r="AG257" i="5"/>
  <c r="AH257" i="5"/>
  <c r="AI257" i="5"/>
  <c r="AJ257" i="5"/>
  <c r="AD258" i="5"/>
  <c r="AE258" i="5"/>
  <c r="AF258" i="5"/>
  <c r="AG258" i="5"/>
  <c r="AH258" i="5"/>
  <c r="AI258" i="5"/>
  <c r="AJ258" i="5"/>
  <c r="AD259" i="5"/>
  <c r="AE259" i="5"/>
  <c r="AF259" i="5"/>
  <c r="AG259" i="5"/>
  <c r="AH259" i="5"/>
  <c r="AI259" i="5"/>
  <c r="AJ259" i="5"/>
  <c r="AD260" i="5"/>
  <c r="AE260" i="5"/>
  <c r="AF260" i="5"/>
  <c r="AG260" i="5"/>
  <c r="AH260" i="5"/>
  <c r="AI260" i="5"/>
  <c r="AJ260" i="5"/>
  <c r="AD261" i="5"/>
  <c r="AE261" i="5"/>
  <c r="AF261" i="5"/>
  <c r="AG261" i="5"/>
  <c r="AH261" i="5"/>
  <c r="AI261" i="5"/>
  <c r="AJ261" i="5"/>
  <c r="AD262" i="5"/>
  <c r="AE262" i="5"/>
  <c r="AF262" i="5"/>
  <c r="AG262" i="5"/>
  <c r="AH262" i="5"/>
  <c r="AI262" i="5"/>
  <c r="AJ262" i="5"/>
  <c r="AD263" i="5"/>
  <c r="AE263" i="5"/>
  <c r="AF263" i="5"/>
  <c r="AG263" i="5"/>
  <c r="AH263" i="5"/>
  <c r="AI263" i="5"/>
  <c r="AJ263" i="5"/>
  <c r="AD264" i="5"/>
  <c r="AE264" i="5"/>
  <c r="AF264" i="5"/>
  <c r="AG264" i="5"/>
  <c r="AH264" i="5"/>
  <c r="AI264" i="5"/>
  <c r="AJ264" i="5"/>
  <c r="AD265" i="5"/>
  <c r="AE265" i="5"/>
  <c r="AF265" i="5"/>
  <c r="AG265" i="5"/>
  <c r="AH265" i="5"/>
  <c r="AI265" i="5"/>
  <c r="AJ265" i="5"/>
  <c r="AD266" i="5"/>
  <c r="AE266" i="5"/>
  <c r="AF266" i="5"/>
  <c r="AG266" i="5"/>
  <c r="AH266" i="5"/>
  <c r="AI266" i="5"/>
  <c r="AJ266" i="5"/>
  <c r="AD267" i="5"/>
  <c r="AE267" i="5"/>
  <c r="AF267" i="5"/>
  <c r="AG267" i="5"/>
  <c r="AH267" i="5"/>
  <c r="AI267" i="5"/>
  <c r="AJ267" i="5"/>
  <c r="AD268" i="5"/>
  <c r="AE268" i="5"/>
  <c r="AF268" i="5"/>
  <c r="AG268" i="5"/>
  <c r="AH268" i="5"/>
  <c r="AI268" i="5"/>
  <c r="AJ268" i="5"/>
  <c r="AD269" i="5"/>
  <c r="AE269" i="5"/>
  <c r="AF269" i="5"/>
  <c r="AG269" i="5"/>
  <c r="AH269" i="5"/>
  <c r="AI269" i="5"/>
  <c r="AJ269" i="5"/>
  <c r="AD270" i="5"/>
  <c r="AE270" i="5"/>
  <c r="AF270" i="5"/>
  <c r="AG270" i="5"/>
  <c r="AH270" i="5"/>
  <c r="AI270" i="5"/>
  <c r="AJ270" i="5"/>
  <c r="AD271" i="5"/>
  <c r="AE271" i="5"/>
  <c r="AF271" i="5"/>
  <c r="AG271" i="5"/>
  <c r="AH271" i="5"/>
  <c r="AI271" i="5"/>
  <c r="AJ271" i="5"/>
  <c r="AD272" i="5"/>
  <c r="AE272" i="5"/>
  <c r="AF272" i="5"/>
  <c r="AG272" i="5"/>
  <c r="AH272" i="5"/>
  <c r="AI272" i="5"/>
  <c r="AJ272" i="5"/>
  <c r="AD273" i="5"/>
  <c r="AE273" i="5"/>
  <c r="AF273" i="5"/>
  <c r="AG273" i="5"/>
  <c r="AH273" i="5"/>
  <c r="AI273" i="5"/>
  <c r="AJ273" i="5"/>
  <c r="AD274" i="5"/>
  <c r="AE274" i="5"/>
  <c r="AF274" i="5"/>
  <c r="AG274" i="5"/>
  <c r="AH274" i="5"/>
  <c r="AI274" i="5"/>
  <c r="AJ274" i="5"/>
  <c r="AD275" i="5"/>
  <c r="AE275" i="5"/>
  <c r="AF275" i="5"/>
  <c r="AG275" i="5"/>
  <c r="AH275" i="5"/>
  <c r="AI275" i="5"/>
  <c r="AJ275" i="5"/>
  <c r="AD276" i="5"/>
  <c r="AE276" i="5"/>
  <c r="AF276" i="5"/>
  <c r="AG276" i="5"/>
  <c r="AH276" i="5"/>
  <c r="AI276" i="5"/>
  <c r="AJ276" i="5"/>
  <c r="AD277" i="5"/>
  <c r="AE277" i="5"/>
  <c r="AF277" i="5"/>
  <c r="AG277" i="5"/>
  <c r="AH277" i="5"/>
  <c r="AI277" i="5"/>
  <c r="AJ277" i="5"/>
  <c r="AD278" i="5"/>
  <c r="AE278" i="5"/>
  <c r="AF278" i="5"/>
  <c r="AG278" i="5"/>
  <c r="AH278" i="5"/>
  <c r="AI278" i="5"/>
  <c r="AJ278" i="5"/>
  <c r="AD279" i="5"/>
  <c r="AE279" i="5"/>
  <c r="AF279" i="5"/>
  <c r="AG279" i="5"/>
  <c r="AH279" i="5"/>
  <c r="AI279" i="5"/>
  <c r="AJ279" i="5"/>
  <c r="AD280" i="5"/>
  <c r="AE280" i="5"/>
  <c r="AF280" i="5"/>
  <c r="AG280" i="5"/>
  <c r="AH280" i="5"/>
  <c r="AI280" i="5"/>
  <c r="AJ280" i="5"/>
  <c r="AD281" i="5"/>
  <c r="AE281" i="5"/>
  <c r="AF281" i="5"/>
  <c r="AG281" i="5"/>
  <c r="AH281" i="5"/>
  <c r="AI281" i="5"/>
  <c r="AJ281" i="5"/>
  <c r="AD282" i="5"/>
  <c r="AE282" i="5"/>
  <c r="AF282" i="5"/>
  <c r="AG282" i="5"/>
  <c r="AH282" i="5"/>
  <c r="AI282" i="5"/>
  <c r="AJ282" i="5"/>
  <c r="AD283" i="5"/>
  <c r="AE283" i="5"/>
  <c r="AF283" i="5"/>
  <c r="AG283" i="5"/>
  <c r="AH283" i="5"/>
  <c r="AI283" i="5"/>
  <c r="AJ283" i="5"/>
  <c r="AD284" i="5"/>
  <c r="AE284" i="5"/>
  <c r="AF284" i="5"/>
  <c r="AG284" i="5"/>
  <c r="AH284" i="5"/>
  <c r="AI284" i="5"/>
  <c r="AJ284" i="5"/>
  <c r="AD285" i="5"/>
  <c r="AE285" i="5"/>
  <c r="AF285" i="5"/>
  <c r="AG285" i="5"/>
  <c r="AH285" i="5"/>
  <c r="AI285" i="5"/>
  <c r="AJ285" i="5"/>
  <c r="AD286" i="5"/>
  <c r="AE286" i="5"/>
  <c r="AF286" i="5"/>
  <c r="AG286" i="5"/>
  <c r="AH286" i="5"/>
  <c r="AI286" i="5"/>
  <c r="AJ286" i="5"/>
  <c r="AD287" i="5"/>
  <c r="AE287" i="5"/>
  <c r="AF287" i="5"/>
  <c r="AG287" i="5"/>
  <c r="AH287" i="5"/>
  <c r="AI287" i="5"/>
  <c r="AJ287" i="5"/>
  <c r="AD288" i="5"/>
  <c r="AE288" i="5"/>
  <c r="AF288" i="5"/>
  <c r="AG288" i="5"/>
  <c r="AH288" i="5"/>
  <c r="AI288" i="5"/>
  <c r="AJ288" i="5"/>
  <c r="AD289" i="5"/>
  <c r="AE289" i="5"/>
  <c r="AF289" i="5"/>
  <c r="AG289" i="5"/>
  <c r="AH289" i="5"/>
  <c r="AI289" i="5"/>
  <c r="AJ289" i="5"/>
  <c r="AD290" i="5"/>
  <c r="AE290" i="5"/>
  <c r="AF290" i="5"/>
  <c r="AG290" i="5"/>
  <c r="AH290" i="5"/>
  <c r="AI290" i="5"/>
  <c r="AJ290" i="5"/>
  <c r="AD291" i="5"/>
  <c r="AE291" i="5"/>
  <c r="AF291" i="5"/>
  <c r="AG291" i="5"/>
  <c r="AH291" i="5"/>
  <c r="AI291" i="5"/>
  <c r="AJ291" i="5"/>
  <c r="AD292" i="5"/>
  <c r="AE292" i="5"/>
  <c r="AF292" i="5"/>
  <c r="AG292" i="5"/>
  <c r="AH292" i="5"/>
  <c r="AI292" i="5"/>
  <c r="AJ292" i="5"/>
  <c r="AD293" i="5"/>
  <c r="AE293" i="5"/>
  <c r="AF293" i="5"/>
  <c r="AG293" i="5"/>
  <c r="AH293" i="5"/>
  <c r="AI293" i="5"/>
  <c r="AJ293" i="5"/>
  <c r="AD294" i="5"/>
  <c r="AE294" i="5"/>
  <c r="AF294" i="5"/>
  <c r="AG294" i="5"/>
  <c r="AH294" i="5"/>
  <c r="AI294" i="5"/>
  <c r="AJ294" i="5"/>
  <c r="AD295" i="5"/>
  <c r="AE295" i="5"/>
  <c r="AF295" i="5"/>
  <c r="AG295" i="5"/>
  <c r="AH295" i="5"/>
  <c r="AI295" i="5"/>
  <c r="AJ295" i="5"/>
  <c r="AD296" i="5"/>
  <c r="AE296" i="5"/>
  <c r="AF296" i="5"/>
  <c r="AG296" i="5"/>
  <c r="AH296" i="5"/>
  <c r="AI296" i="5"/>
  <c r="AJ296" i="5"/>
  <c r="AD297" i="5"/>
  <c r="AE297" i="5"/>
  <c r="AF297" i="5"/>
  <c r="AG297" i="5"/>
  <c r="AH297" i="5"/>
  <c r="AI297" i="5"/>
  <c r="AJ297" i="5"/>
  <c r="AD298" i="5"/>
  <c r="AE298" i="5"/>
  <c r="AF298" i="5"/>
  <c r="AG298" i="5"/>
  <c r="AH298" i="5"/>
  <c r="AI298" i="5"/>
  <c r="AJ298" i="5"/>
  <c r="AD299" i="5"/>
  <c r="AE299" i="5"/>
  <c r="AF299" i="5"/>
  <c r="AG299" i="5"/>
  <c r="AH299" i="5"/>
  <c r="AI299" i="5"/>
  <c r="AJ299" i="5"/>
  <c r="AD300" i="5"/>
  <c r="AE300" i="5"/>
  <c r="AF300" i="5"/>
  <c r="AG300" i="5"/>
  <c r="AH300" i="5"/>
  <c r="AI300" i="5"/>
  <c r="AJ300" i="5"/>
  <c r="AD301" i="5"/>
  <c r="AE301" i="5"/>
  <c r="AF301" i="5"/>
  <c r="AG301" i="5"/>
  <c r="AH301" i="5"/>
  <c r="AI301" i="5"/>
  <c r="AJ301" i="5"/>
  <c r="AD302" i="5"/>
  <c r="AE302" i="5"/>
  <c r="AF302" i="5"/>
  <c r="AG302" i="5"/>
  <c r="AH302" i="5"/>
  <c r="AI302" i="5"/>
  <c r="AJ302" i="5"/>
  <c r="AD303" i="5"/>
  <c r="AE303" i="5"/>
  <c r="AF303" i="5"/>
  <c r="AG303" i="5"/>
  <c r="AH303" i="5"/>
  <c r="AI303" i="5"/>
  <c r="AJ303" i="5"/>
  <c r="AD304" i="5"/>
  <c r="AE304" i="5"/>
  <c r="AF304" i="5"/>
  <c r="AG304" i="5"/>
  <c r="AH304" i="5"/>
  <c r="AI304" i="5"/>
  <c r="AJ304" i="5"/>
  <c r="AF2" i="5"/>
  <c r="AG2" i="5"/>
  <c r="AH2" i="5"/>
  <c r="AI2" i="5"/>
  <c r="AJ2" i="5"/>
  <c r="AE2" i="5"/>
  <c r="AD2" i="5"/>
  <c r="AD3" i="4"/>
  <c r="AE3" i="4"/>
  <c r="AF3" i="4"/>
  <c r="AG3" i="4"/>
  <c r="AH3" i="4"/>
  <c r="AI3" i="4"/>
  <c r="AJ3" i="4"/>
  <c r="AD4" i="4"/>
  <c r="AE4" i="4"/>
  <c r="AF4" i="4"/>
  <c r="AG4" i="4"/>
  <c r="AH4" i="4"/>
  <c r="AI4" i="4"/>
  <c r="AJ4" i="4"/>
  <c r="AD5" i="4"/>
  <c r="AE5" i="4"/>
  <c r="AF5" i="4"/>
  <c r="AG5" i="4"/>
  <c r="AH5" i="4"/>
  <c r="AI5" i="4"/>
  <c r="AJ5" i="4"/>
  <c r="AD6" i="4"/>
  <c r="AE6" i="4"/>
  <c r="AF6" i="4"/>
  <c r="AG6" i="4"/>
  <c r="AH6" i="4"/>
  <c r="AI6" i="4"/>
  <c r="AJ6" i="4"/>
  <c r="AD7" i="4"/>
  <c r="AE7" i="4"/>
  <c r="AF7" i="4"/>
  <c r="AG7" i="4"/>
  <c r="AH7" i="4"/>
  <c r="AI7" i="4"/>
  <c r="AJ7" i="4"/>
  <c r="AD8" i="4"/>
  <c r="AE8" i="4"/>
  <c r="AF8" i="4"/>
  <c r="AG8" i="4"/>
  <c r="AH8" i="4"/>
  <c r="AI8" i="4"/>
  <c r="AJ8" i="4"/>
  <c r="AD9" i="4"/>
  <c r="AE9" i="4"/>
  <c r="AF9" i="4"/>
  <c r="AG9" i="4"/>
  <c r="AH9" i="4"/>
  <c r="AI9" i="4"/>
  <c r="AJ9" i="4"/>
  <c r="AD10" i="4"/>
  <c r="AE10" i="4"/>
  <c r="AF10" i="4"/>
  <c r="AG10" i="4"/>
  <c r="AH10" i="4"/>
  <c r="AI10" i="4"/>
  <c r="AJ10" i="4"/>
  <c r="AD11" i="4"/>
  <c r="AE11" i="4"/>
  <c r="AF11" i="4"/>
  <c r="AG11" i="4"/>
  <c r="AH11" i="4"/>
  <c r="AI11" i="4"/>
  <c r="AJ11" i="4"/>
  <c r="AD12" i="4"/>
  <c r="AE12" i="4"/>
  <c r="AF12" i="4"/>
  <c r="AG12" i="4"/>
  <c r="AH12" i="4"/>
  <c r="AI12" i="4"/>
  <c r="AJ12" i="4"/>
  <c r="AD13" i="4"/>
  <c r="AE13" i="4"/>
  <c r="AF13" i="4"/>
  <c r="AG13" i="4"/>
  <c r="AH13" i="4"/>
  <c r="AI13" i="4"/>
  <c r="AJ13" i="4"/>
  <c r="AD14" i="4"/>
  <c r="AE14" i="4"/>
  <c r="AF14" i="4"/>
  <c r="AG14" i="4"/>
  <c r="AH14" i="4"/>
  <c r="AI14" i="4"/>
  <c r="AJ14" i="4"/>
  <c r="AD15" i="4"/>
  <c r="AE15" i="4"/>
  <c r="AF15" i="4"/>
  <c r="AG15" i="4"/>
  <c r="AH15" i="4"/>
  <c r="AI15" i="4"/>
  <c r="AJ15" i="4"/>
  <c r="AD16" i="4"/>
  <c r="AE16" i="4"/>
  <c r="AF16" i="4"/>
  <c r="AG16" i="4"/>
  <c r="AH16" i="4"/>
  <c r="AI16" i="4"/>
  <c r="AJ16" i="4"/>
  <c r="AD17" i="4"/>
  <c r="AE17" i="4"/>
  <c r="AF17" i="4"/>
  <c r="AG17" i="4"/>
  <c r="AH17" i="4"/>
  <c r="AI17" i="4"/>
  <c r="AJ17" i="4"/>
  <c r="AD18" i="4"/>
  <c r="AE18" i="4"/>
  <c r="AF18" i="4"/>
  <c r="AG18" i="4"/>
  <c r="AH18" i="4"/>
  <c r="AI18" i="4"/>
  <c r="AJ18" i="4"/>
  <c r="AD19" i="4"/>
  <c r="AE19" i="4"/>
  <c r="AF19" i="4"/>
  <c r="AG19" i="4"/>
  <c r="AH19" i="4"/>
  <c r="AI19" i="4"/>
  <c r="AJ19" i="4"/>
  <c r="AD20" i="4"/>
  <c r="AE20" i="4"/>
  <c r="AF20" i="4"/>
  <c r="AG20" i="4"/>
  <c r="AH20" i="4"/>
  <c r="AI20" i="4"/>
  <c r="AJ20" i="4"/>
  <c r="AD21" i="4"/>
  <c r="AE21" i="4"/>
  <c r="AF21" i="4"/>
  <c r="AG21" i="4"/>
  <c r="AH21" i="4"/>
  <c r="AI21" i="4"/>
  <c r="AJ21" i="4"/>
  <c r="AD22" i="4"/>
  <c r="AE22" i="4"/>
  <c r="AF22" i="4"/>
  <c r="AG22" i="4"/>
  <c r="AH22" i="4"/>
  <c r="AI22" i="4"/>
  <c r="AJ22" i="4"/>
  <c r="AD23" i="4"/>
  <c r="AE23" i="4"/>
  <c r="AF23" i="4"/>
  <c r="AG23" i="4"/>
  <c r="AH23" i="4"/>
  <c r="AI23" i="4"/>
  <c r="AJ23" i="4"/>
  <c r="AD24" i="4"/>
  <c r="AE24" i="4"/>
  <c r="AF24" i="4"/>
  <c r="AG24" i="4"/>
  <c r="AH24" i="4"/>
  <c r="AI24" i="4"/>
  <c r="AJ24" i="4"/>
  <c r="AD25" i="4"/>
  <c r="AE25" i="4"/>
  <c r="AF25" i="4"/>
  <c r="AG25" i="4"/>
  <c r="AH25" i="4"/>
  <c r="AI25" i="4"/>
  <c r="AJ25" i="4"/>
  <c r="AD26" i="4"/>
  <c r="AE26" i="4"/>
  <c r="AF26" i="4"/>
  <c r="AG26" i="4"/>
  <c r="AH26" i="4"/>
  <c r="AI26" i="4"/>
  <c r="AJ26" i="4"/>
  <c r="AD27" i="4"/>
  <c r="AE27" i="4"/>
  <c r="AF27" i="4"/>
  <c r="AG27" i="4"/>
  <c r="AH27" i="4"/>
  <c r="AI27" i="4"/>
  <c r="AJ27" i="4"/>
  <c r="AD28" i="4"/>
  <c r="AE28" i="4"/>
  <c r="AF28" i="4"/>
  <c r="AG28" i="4"/>
  <c r="AH28" i="4"/>
  <c r="AI28" i="4"/>
  <c r="AJ28" i="4"/>
  <c r="AD29" i="4"/>
  <c r="AE29" i="4"/>
  <c r="AF29" i="4"/>
  <c r="AG29" i="4"/>
  <c r="AH29" i="4"/>
  <c r="AI29" i="4"/>
  <c r="AJ29" i="4"/>
  <c r="AD30" i="4"/>
  <c r="AE30" i="4"/>
  <c r="AF30" i="4"/>
  <c r="AG30" i="4"/>
  <c r="AH30" i="4"/>
  <c r="AI30" i="4"/>
  <c r="AJ30" i="4"/>
  <c r="AD31" i="4"/>
  <c r="AE31" i="4"/>
  <c r="AF31" i="4"/>
  <c r="AG31" i="4"/>
  <c r="AH31" i="4"/>
  <c r="AI31" i="4"/>
  <c r="AJ31" i="4"/>
  <c r="AD32" i="4"/>
  <c r="AE32" i="4"/>
  <c r="AF32" i="4"/>
  <c r="AG32" i="4"/>
  <c r="AH32" i="4"/>
  <c r="AI32" i="4"/>
  <c r="AJ32" i="4"/>
  <c r="AD33" i="4"/>
  <c r="AE33" i="4"/>
  <c r="AF33" i="4"/>
  <c r="AG33" i="4"/>
  <c r="AH33" i="4"/>
  <c r="AI33" i="4"/>
  <c r="AJ33" i="4"/>
  <c r="AD34" i="4"/>
  <c r="AE34" i="4"/>
  <c r="AF34" i="4"/>
  <c r="AG34" i="4"/>
  <c r="AH34" i="4"/>
  <c r="AI34" i="4"/>
  <c r="AJ34" i="4"/>
  <c r="AD35" i="4"/>
  <c r="AE35" i="4"/>
  <c r="AF35" i="4"/>
  <c r="AG35" i="4"/>
  <c r="AH35" i="4"/>
  <c r="AI35" i="4"/>
  <c r="AJ35" i="4"/>
  <c r="AD36" i="4"/>
  <c r="AE36" i="4"/>
  <c r="AF36" i="4"/>
  <c r="AG36" i="4"/>
  <c r="AH36" i="4"/>
  <c r="AI36" i="4"/>
  <c r="AJ36" i="4"/>
  <c r="AD37" i="4"/>
  <c r="AE37" i="4"/>
  <c r="AF37" i="4"/>
  <c r="AG37" i="4"/>
  <c r="AH37" i="4"/>
  <c r="AI37" i="4"/>
  <c r="AJ37" i="4"/>
  <c r="AD38" i="4"/>
  <c r="AE38" i="4"/>
  <c r="AF38" i="4"/>
  <c r="AG38" i="4"/>
  <c r="AH38" i="4"/>
  <c r="AI38" i="4"/>
  <c r="AJ38" i="4"/>
  <c r="AD39" i="4"/>
  <c r="AE39" i="4"/>
  <c r="AF39" i="4"/>
  <c r="AG39" i="4"/>
  <c r="AH39" i="4"/>
  <c r="AI39" i="4"/>
  <c r="AJ39" i="4"/>
  <c r="AD40" i="4"/>
  <c r="AE40" i="4"/>
  <c r="AF40" i="4"/>
  <c r="AG40" i="4"/>
  <c r="AH40" i="4"/>
  <c r="AI40" i="4"/>
  <c r="AJ40" i="4"/>
  <c r="AD41" i="4"/>
  <c r="AE41" i="4"/>
  <c r="AF41" i="4"/>
  <c r="AG41" i="4"/>
  <c r="AH41" i="4"/>
  <c r="AI41" i="4"/>
  <c r="AJ41" i="4"/>
  <c r="AD42" i="4"/>
  <c r="AE42" i="4"/>
  <c r="AF42" i="4"/>
  <c r="AG42" i="4"/>
  <c r="AH42" i="4"/>
  <c r="AI42" i="4"/>
  <c r="AJ42" i="4"/>
  <c r="AD43" i="4"/>
  <c r="AE43" i="4"/>
  <c r="AF43" i="4"/>
  <c r="AG43" i="4"/>
  <c r="AH43" i="4"/>
  <c r="AI43" i="4"/>
  <c r="AJ43" i="4"/>
  <c r="AD44" i="4"/>
  <c r="AE44" i="4"/>
  <c r="AF44" i="4"/>
  <c r="AG44" i="4"/>
  <c r="AH44" i="4"/>
  <c r="AI44" i="4"/>
  <c r="AJ44" i="4"/>
  <c r="AD45" i="4"/>
  <c r="AE45" i="4"/>
  <c r="AF45" i="4"/>
  <c r="AG45" i="4"/>
  <c r="AH45" i="4"/>
  <c r="AI45" i="4"/>
  <c r="AJ45" i="4"/>
  <c r="AD46" i="4"/>
  <c r="AE46" i="4"/>
  <c r="AF46" i="4"/>
  <c r="AG46" i="4"/>
  <c r="AH46" i="4"/>
  <c r="AI46" i="4"/>
  <c r="AJ46" i="4"/>
  <c r="AD47" i="4"/>
  <c r="AE47" i="4"/>
  <c r="AF47" i="4"/>
  <c r="AG47" i="4"/>
  <c r="AH47" i="4"/>
  <c r="AI47" i="4"/>
  <c r="AJ47" i="4"/>
  <c r="AD48" i="4"/>
  <c r="AE48" i="4"/>
  <c r="AF48" i="4"/>
  <c r="AG48" i="4"/>
  <c r="AH48" i="4"/>
  <c r="AI48" i="4"/>
  <c r="AJ48" i="4"/>
  <c r="AD49" i="4"/>
  <c r="AE49" i="4"/>
  <c r="AF49" i="4"/>
  <c r="AG49" i="4"/>
  <c r="AH49" i="4"/>
  <c r="AI49" i="4"/>
  <c r="AJ49" i="4"/>
  <c r="AD50" i="4"/>
  <c r="AE50" i="4"/>
  <c r="AF50" i="4"/>
  <c r="AG50" i="4"/>
  <c r="AH50" i="4"/>
  <c r="AI50" i="4"/>
  <c r="AJ50" i="4"/>
  <c r="AD51" i="4"/>
  <c r="AE51" i="4"/>
  <c r="AF51" i="4"/>
  <c r="AG51" i="4"/>
  <c r="AH51" i="4"/>
  <c r="AI51" i="4"/>
  <c r="AJ51" i="4"/>
  <c r="AD52" i="4"/>
  <c r="AE52" i="4"/>
  <c r="AF52" i="4"/>
  <c r="AG52" i="4"/>
  <c r="AH52" i="4"/>
  <c r="AI52" i="4"/>
  <c r="AJ52" i="4"/>
  <c r="AD53" i="4"/>
  <c r="AE53" i="4"/>
  <c r="AF53" i="4"/>
  <c r="AG53" i="4"/>
  <c r="AH53" i="4"/>
  <c r="AI53" i="4"/>
  <c r="AJ53" i="4"/>
  <c r="AD54" i="4"/>
  <c r="AE54" i="4"/>
  <c r="AF54" i="4"/>
  <c r="AG54" i="4"/>
  <c r="AH54" i="4"/>
  <c r="AI54" i="4"/>
  <c r="AJ54" i="4"/>
  <c r="AD55" i="4"/>
  <c r="AE55" i="4"/>
  <c r="AF55" i="4"/>
  <c r="AG55" i="4"/>
  <c r="AH55" i="4"/>
  <c r="AI55" i="4"/>
  <c r="AJ55" i="4"/>
  <c r="AD56" i="4"/>
  <c r="AE56" i="4"/>
  <c r="AF56" i="4"/>
  <c r="AG56" i="4"/>
  <c r="AH56" i="4"/>
  <c r="AI56" i="4"/>
  <c r="AJ56" i="4"/>
  <c r="AD57" i="4"/>
  <c r="AE57" i="4"/>
  <c r="AF57" i="4"/>
  <c r="AG57" i="4"/>
  <c r="AH57" i="4"/>
  <c r="AI57" i="4"/>
  <c r="AJ57" i="4"/>
  <c r="AD58" i="4"/>
  <c r="AE58" i="4"/>
  <c r="AF58" i="4"/>
  <c r="AG58" i="4"/>
  <c r="AH58" i="4"/>
  <c r="AI58" i="4"/>
  <c r="AJ58" i="4"/>
  <c r="AD59" i="4"/>
  <c r="AE59" i="4"/>
  <c r="AF59" i="4"/>
  <c r="AG59" i="4"/>
  <c r="AH59" i="4"/>
  <c r="AI59" i="4"/>
  <c r="AJ59" i="4"/>
  <c r="AD60" i="4"/>
  <c r="AE60" i="4"/>
  <c r="AF60" i="4"/>
  <c r="AG60" i="4"/>
  <c r="AH60" i="4"/>
  <c r="AI60" i="4"/>
  <c r="AJ60" i="4"/>
  <c r="AF2" i="4"/>
  <c r="AG2" i="4"/>
  <c r="AH2" i="4"/>
  <c r="AI2" i="4"/>
  <c r="AJ2" i="4"/>
  <c r="AE2" i="4"/>
  <c r="AD2" i="4"/>
  <c r="AD3" i="7"/>
  <c r="AE3" i="7"/>
  <c r="AF3" i="7"/>
  <c r="AG3" i="7"/>
  <c r="AH3" i="7"/>
  <c r="AI3" i="7"/>
  <c r="AJ3" i="7"/>
  <c r="AD4" i="7"/>
  <c r="AE4" i="7"/>
  <c r="AF4" i="7"/>
  <c r="AG4" i="7"/>
  <c r="AH4" i="7"/>
  <c r="AI4" i="7"/>
  <c r="AJ4" i="7"/>
  <c r="AD5" i="7"/>
  <c r="AE5" i="7"/>
  <c r="AF5" i="7"/>
  <c r="AG5" i="7"/>
  <c r="AH5" i="7"/>
  <c r="AI5" i="7"/>
  <c r="AJ5" i="7"/>
  <c r="AD6" i="7"/>
  <c r="AE6" i="7"/>
  <c r="AF6" i="7"/>
  <c r="AG6" i="7"/>
  <c r="AH6" i="7"/>
  <c r="AI6" i="7"/>
  <c r="AJ6" i="7"/>
  <c r="AD7" i="7"/>
  <c r="AE7" i="7"/>
  <c r="AF7" i="7"/>
  <c r="AG7" i="7"/>
  <c r="AH7" i="7"/>
  <c r="AI7" i="7"/>
  <c r="AJ7" i="7"/>
  <c r="AD8" i="7"/>
  <c r="AE8" i="7"/>
  <c r="AF8" i="7"/>
  <c r="AG8" i="7"/>
  <c r="AH8" i="7"/>
  <c r="AI8" i="7"/>
  <c r="AJ8" i="7"/>
  <c r="AD9" i="7"/>
  <c r="AE9" i="7"/>
  <c r="AF9" i="7"/>
  <c r="AG9" i="7"/>
  <c r="AH9" i="7"/>
  <c r="AI9" i="7"/>
  <c r="AJ9" i="7"/>
  <c r="AD10" i="7"/>
  <c r="AE10" i="7"/>
  <c r="AF10" i="7"/>
  <c r="AG10" i="7"/>
  <c r="AH10" i="7"/>
  <c r="AI10" i="7"/>
  <c r="AJ10" i="7"/>
  <c r="AD11" i="7"/>
  <c r="AE11" i="7"/>
  <c r="AF11" i="7"/>
  <c r="AG11" i="7"/>
  <c r="AH11" i="7"/>
  <c r="AI11" i="7"/>
  <c r="AJ11" i="7"/>
  <c r="AD12" i="7"/>
  <c r="AE12" i="7"/>
  <c r="AF12" i="7"/>
  <c r="AG12" i="7"/>
  <c r="AH12" i="7"/>
  <c r="AI12" i="7"/>
  <c r="AJ12" i="7"/>
  <c r="AD13" i="7"/>
  <c r="AE13" i="7"/>
  <c r="AF13" i="7"/>
  <c r="AG13" i="7"/>
  <c r="AH13" i="7"/>
  <c r="AI13" i="7"/>
  <c r="AJ13" i="7"/>
  <c r="AD14" i="7"/>
  <c r="AE14" i="7"/>
  <c r="AF14" i="7"/>
  <c r="AG14" i="7"/>
  <c r="AH14" i="7"/>
  <c r="AI14" i="7"/>
  <c r="AJ14" i="7"/>
  <c r="AD15" i="7"/>
  <c r="AE15" i="7"/>
  <c r="AF15" i="7"/>
  <c r="AG15" i="7"/>
  <c r="AH15" i="7"/>
  <c r="AI15" i="7"/>
  <c r="AJ15" i="7"/>
  <c r="AD16" i="7"/>
  <c r="AE16" i="7"/>
  <c r="AF16" i="7"/>
  <c r="AG16" i="7"/>
  <c r="AH16" i="7"/>
  <c r="AI16" i="7"/>
  <c r="AJ16" i="7"/>
  <c r="AD17" i="7"/>
  <c r="AE17" i="7"/>
  <c r="AF17" i="7"/>
  <c r="AG17" i="7"/>
  <c r="AH17" i="7"/>
  <c r="AI17" i="7"/>
  <c r="AJ17" i="7"/>
  <c r="AD18" i="7"/>
  <c r="AE18" i="7"/>
  <c r="AF18" i="7"/>
  <c r="AG18" i="7"/>
  <c r="AH18" i="7"/>
  <c r="AI18" i="7"/>
  <c r="AJ18" i="7"/>
  <c r="AD19" i="7"/>
  <c r="AE19" i="7"/>
  <c r="AF19" i="7"/>
  <c r="AG19" i="7"/>
  <c r="AH19" i="7"/>
  <c r="AI19" i="7"/>
  <c r="AJ19" i="7"/>
  <c r="AD20" i="7"/>
  <c r="AE20" i="7"/>
  <c r="AF20" i="7"/>
  <c r="AG20" i="7"/>
  <c r="AH20" i="7"/>
  <c r="AI20" i="7"/>
  <c r="AJ20" i="7"/>
  <c r="AD21" i="7"/>
  <c r="AE21" i="7"/>
  <c r="AF21" i="7"/>
  <c r="AG21" i="7"/>
  <c r="AH21" i="7"/>
  <c r="AI21" i="7"/>
  <c r="AJ21" i="7"/>
  <c r="AD22" i="7"/>
  <c r="AE22" i="7"/>
  <c r="AF22" i="7"/>
  <c r="AG22" i="7"/>
  <c r="AH22" i="7"/>
  <c r="AI22" i="7"/>
  <c r="AJ22" i="7"/>
  <c r="AD23" i="7"/>
  <c r="AE23" i="7"/>
  <c r="AF23" i="7"/>
  <c r="AG23" i="7"/>
  <c r="AH23" i="7"/>
  <c r="AI23" i="7"/>
  <c r="AJ23" i="7"/>
  <c r="AD24" i="7"/>
  <c r="AE24" i="7"/>
  <c r="AF24" i="7"/>
  <c r="AG24" i="7"/>
  <c r="AH24" i="7"/>
  <c r="AI24" i="7"/>
  <c r="AJ24" i="7"/>
  <c r="AD25" i="7"/>
  <c r="AE25" i="7"/>
  <c r="AF25" i="7"/>
  <c r="AG25" i="7"/>
  <c r="AH25" i="7"/>
  <c r="AI25" i="7"/>
  <c r="AJ25" i="7"/>
  <c r="AD26" i="7"/>
  <c r="AE26" i="7"/>
  <c r="AF26" i="7"/>
  <c r="AG26" i="7"/>
  <c r="AH26" i="7"/>
  <c r="AI26" i="7"/>
  <c r="AJ26" i="7"/>
  <c r="AD27" i="7"/>
  <c r="AE27" i="7"/>
  <c r="AF27" i="7"/>
  <c r="AG27" i="7"/>
  <c r="AH27" i="7"/>
  <c r="AI27" i="7"/>
  <c r="AJ27" i="7"/>
  <c r="AD28" i="7"/>
  <c r="AE28" i="7"/>
  <c r="AF28" i="7"/>
  <c r="AG28" i="7"/>
  <c r="AH28" i="7"/>
  <c r="AI28" i="7"/>
  <c r="AJ28" i="7"/>
  <c r="AD29" i="7"/>
  <c r="AE29" i="7"/>
  <c r="AF29" i="7"/>
  <c r="AG29" i="7"/>
  <c r="AH29" i="7"/>
  <c r="AI29" i="7"/>
  <c r="AJ29" i="7"/>
  <c r="AD30" i="7"/>
  <c r="AE30" i="7"/>
  <c r="AF30" i="7"/>
  <c r="AG30" i="7"/>
  <c r="AH30" i="7"/>
  <c r="AI30" i="7"/>
  <c r="AJ30" i="7"/>
  <c r="AD31" i="7"/>
  <c r="AE31" i="7"/>
  <c r="AF31" i="7"/>
  <c r="AG31" i="7"/>
  <c r="AH31" i="7"/>
  <c r="AI31" i="7"/>
  <c r="AJ31" i="7"/>
  <c r="AD32" i="7"/>
  <c r="AE32" i="7"/>
  <c r="AF32" i="7"/>
  <c r="AG32" i="7"/>
  <c r="AH32" i="7"/>
  <c r="AI32" i="7"/>
  <c r="AJ32" i="7"/>
  <c r="AD33" i="7"/>
  <c r="AE33" i="7"/>
  <c r="AF33" i="7"/>
  <c r="AG33" i="7"/>
  <c r="AH33" i="7"/>
  <c r="AI33" i="7"/>
  <c r="AJ33" i="7"/>
  <c r="AD34" i="7"/>
  <c r="AE34" i="7"/>
  <c r="AF34" i="7"/>
  <c r="AG34" i="7"/>
  <c r="AH34" i="7"/>
  <c r="AI34" i="7"/>
  <c r="AJ34" i="7"/>
  <c r="AD35" i="7"/>
  <c r="AE35" i="7"/>
  <c r="AF35" i="7"/>
  <c r="AG35" i="7"/>
  <c r="AH35" i="7"/>
  <c r="AI35" i="7"/>
  <c r="AJ35" i="7"/>
  <c r="AD36" i="7"/>
  <c r="AE36" i="7"/>
  <c r="AF36" i="7"/>
  <c r="AG36" i="7"/>
  <c r="AH36" i="7"/>
  <c r="AI36" i="7"/>
  <c r="AJ36" i="7"/>
  <c r="AD37" i="7"/>
  <c r="AE37" i="7"/>
  <c r="AF37" i="7"/>
  <c r="AG37" i="7"/>
  <c r="AH37" i="7"/>
  <c r="AI37" i="7"/>
  <c r="AJ37" i="7"/>
  <c r="AD38" i="7"/>
  <c r="AE38" i="7"/>
  <c r="AF38" i="7"/>
  <c r="AG38" i="7"/>
  <c r="AH38" i="7"/>
  <c r="AI38" i="7"/>
  <c r="AJ38" i="7"/>
  <c r="AD39" i="7"/>
  <c r="AE39" i="7"/>
  <c r="AF39" i="7"/>
  <c r="AG39" i="7"/>
  <c r="AH39" i="7"/>
  <c r="AI39" i="7"/>
  <c r="AJ39" i="7"/>
  <c r="AD40" i="7"/>
  <c r="AE40" i="7"/>
  <c r="AF40" i="7"/>
  <c r="AG40" i="7"/>
  <c r="AH40" i="7"/>
  <c r="AI40" i="7"/>
  <c r="AJ40" i="7"/>
  <c r="AD41" i="7"/>
  <c r="AE41" i="7"/>
  <c r="AF41" i="7"/>
  <c r="AG41" i="7"/>
  <c r="AH41" i="7"/>
  <c r="AI41" i="7"/>
  <c r="AJ41" i="7"/>
  <c r="AD42" i="7"/>
  <c r="AE42" i="7"/>
  <c r="AF42" i="7"/>
  <c r="AG42" i="7"/>
  <c r="AH42" i="7"/>
  <c r="AI42" i="7"/>
  <c r="AJ42" i="7"/>
  <c r="AD43" i="7"/>
  <c r="AE43" i="7"/>
  <c r="AF43" i="7"/>
  <c r="AG43" i="7"/>
  <c r="AH43" i="7"/>
  <c r="AI43" i="7"/>
  <c r="AJ43" i="7"/>
  <c r="AD44" i="7"/>
  <c r="AE44" i="7"/>
  <c r="AF44" i="7"/>
  <c r="AG44" i="7"/>
  <c r="AH44" i="7"/>
  <c r="AI44" i="7"/>
  <c r="AJ44" i="7"/>
  <c r="AD45" i="7"/>
  <c r="AE45" i="7"/>
  <c r="AF45" i="7"/>
  <c r="AG45" i="7"/>
  <c r="AH45" i="7"/>
  <c r="AI45" i="7"/>
  <c r="AJ45" i="7"/>
  <c r="AD46" i="7"/>
  <c r="AE46" i="7"/>
  <c r="AF46" i="7"/>
  <c r="AG46" i="7"/>
  <c r="AH46" i="7"/>
  <c r="AI46" i="7"/>
  <c r="AJ46" i="7"/>
  <c r="AD47" i="7"/>
  <c r="AE47" i="7"/>
  <c r="AF47" i="7"/>
  <c r="AG47" i="7"/>
  <c r="AH47" i="7"/>
  <c r="AI47" i="7"/>
  <c r="AJ47" i="7"/>
  <c r="AD48" i="7"/>
  <c r="AE48" i="7"/>
  <c r="AF48" i="7"/>
  <c r="AG48" i="7"/>
  <c r="AH48" i="7"/>
  <c r="AI48" i="7"/>
  <c r="AJ48" i="7"/>
  <c r="AD49" i="7"/>
  <c r="AE49" i="7"/>
  <c r="AF49" i="7"/>
  <c r="AG49" i="7"/>
  <c r="AH49" i="7"/>
  <c r="AI49" i="7"/>
  <c r="AJ49" i="7"/>
  <c r="AD50" i="7"/>
  <c r="AE50" i="7"/>
  <c r="AF50" i="7"/>
  <c r="AG50" i="7"/>
  <c r="AH50" i="7"/>
  <c r="AI50" i="7"/>
  <c r="AJ50" i="7"/>
  <c r="AD51" i="7"/>
  <c r="AE51" i="7"/>
  <c r="AF51" i="7"/>
  <c r="AG51" i="7"/>
  <c r="AH51" i="7"/>
  <c r="AI51" i="7"/>
  <c r="AJ51" i="7"/>
  <c r="AD52" i="7"/>
  <c r="AE52" i="7"/>
  <c r="AF52" i="7"/>
  <c r="AG52" i="7"/>
  <c r="AH52" i="7"/>
  <c r="AI52" i="7"/>
  <c r="AJ52" i="7"/>
  <c r="AD53" i="7"/>
  <c r="AE53" i="7"/>
  <c r="AF53" i="7"/>
  <c r="AG53" i="7"/>
  <c r="AH53" i="7"/>
  <c r="AI53" i="7"/>
  <c r="AJ53" i="7"/>
  <c r="AD54" i="7"/>
  <c r="AE54" i="7"/>
  <c r="AF54" i="7"/>
  <c r="AG54" i="7"/>
  <c r="AH54" i="7"/>
  <c r="AI54" i="7"/>
  <c r="AJ54" i="7"/>
  <c r="AD55" i="7"/>
  <c r="AE55" i="7"/>
  <c r="AF55" i="7"/>
  <c r="AG55" i="7"/>
  <c r="AH55" i="7"/>
  <c r="AI55" i="7"/>
  <c r="AJ55" i="7"/>
  <c r="AD56" i="7"/>
  <c r="AE56" i="7"/>
  <c r="AF56" i="7"/>
  <c r="AG56" i="7"/>
  <c r="AH56" i="7"/>
  <c r="AI56" i="7"/>
  <c r="AJ56" i="7"/>
  <c r="AD57" i="7"/>
  <c r="AE57" i="7"/>
  <c r="AF57" i="7"/>
  <c r="AG57" i="7"/>
  <c r="AH57" i="7"/>
  <c r="AI57" i="7"/>
  <c r="AJ57" i="7"/>
  <c r="AD58" i="7"/>
  <c r="AE58" i="7"/>
  <c r="AF58" i="7"/>
  <c r="AG58" i="7"/>
  <c r="AH58" i="7"/>
  <c r="AI58" i="7"/>
  <c r="AJ58" i="7"/>
  <c r="AD59" i="7"/>
  <c r="AE59" i="7"/>
  <c r="AF59" i="7"/>
  <c r="AG59" i="7"/>
  <c r="AH59" i="7"/>
  <c r="AI59" i="7"/>
  <c r="AJ59" i="7"/>
  <c r="AD60" i="7"/>
  <c r="AE60" i="7"/>
  <c r="AF60" i="7"/>
  <c r="AG60" i="7"/>
  <c r="AH60" i="7"/>
  <c r="AI60" i="7"/>
  <c r="AJ60" i="7"/>
  <c r="AD61" i="7"/>
  <c r="AE61" i="7"/>
  <c r="AF61" i="7"/>
  <c r="AG61" i="7"/>
  <c r="AH61" i="7"/>
  <c r="AI61" i="7"/>
  <c r="AJ61" i="7"/>
  <c r="AD62" i="7"/>
  <c r="AE62" i="7"/>
  <c r="AF62" i="7"/>
  <c r="AG62" i="7"/>
  <c r="AH62" i="7"/>
  <c r="AI62" i="7"/>
  <c r="AJ62" i="7"/>
  <c r="AD63" i="7"/>
  <c r="AE63" i="7"/>
  <c r="AF63" i="7"/>
  <c r="AG63" i="7"/>
  <c r="AH63" i="7"/>
  <c r="AI63" i="7"/>
  <c r="AJ63" i="7"/>
  <c r="AD64" i="7"/>
  <c r="AE64" i="7"/>
  <c r="AF64" i="7"/>
  <c r="AG64" i="7"/>
  <c r="AH64" i="7"/>
  <c r="AI64" i="7"/>
  <c r="AJ64" i="7"/>
  <c r="AD65" i="7"/>
  <c r="AE65" i="7"/>
  <c r="AF65" i="7"/>
  <c r="AG65" i="7"/>
  <c r="AH65" i="7"/>
  <c r="AI65" i="7"/>
  <c r="AJ65" i="7"/>
  <c r="AD66" i="7"/>
  <c r="AE66" i="7"/>
  <c r="AF66" i="7"/>
  <c r="AG66" i="7"/>
  <c r="AH66" i="7"/>
  <c r="AI66" i="7"/>
  <c r="AJ66" i="7"/>
  <c r="AD67" i="7"/>
  <c r="AE67" i="7"/>
  <c r="AF67" i="7"/>
  <c r="AG67" i="7"/>
  <c r="AH67" i="7"/>
  <c r="AI67" i="7"/>
  <c r="AJ67" i="7"/>
  <c r="AD68" i="7"/>
  <c r="AE68" i="7"/>
  <c r="AF68" i="7"/>
  <c r="AG68" i="7"/>
  <c r="AH68" i="7"/>
  <c r="AI68" i="7"/>
  <c r="AJ68" i="7"/>
  <c r="AD69" i="7"/>
  <c r="AE69" i="7"/>
  <c r="AF69" i="7"/>
  <c r="AG69" i="7"/>
  <c r="AH69" i="7"/>
  <c r="AI69" i="7"/>
  <c r="AJ69" i="7"/>
  <c r="AD70" i="7"/>
  <c r="AE70" i="7"/>
  <c r="AF70" i="7"/>
  <c r="AG70" i="7"/>
  <c r="AH70" i="7"/>
  <c r="AI70" i="7"/>
  <c r="AJ70" i="7"/>
  <c r="AD71" i="7"/>
  <c r="AE71" i="7"/>
  <c r="AF71" i="7"/>
  <c r="AG71" i="7"/>
  <c r="AH71" i="7"/>
  <c r="AI71" i="7"/>
  <c r="AJ71" i="7"/>
  <c r="AD72" i="7"/>
  <c r="AE72" i="7"/>
  <c r="AF72" i="7"/>
  <c r="AG72" i="7"/>
  <c r="AH72" i="7"/>
  <c r="AI72" i="7"/>
  <c r="AJ72" i="7"/>
  <c r="AD73" i="7"/>
  <c r="AE73" i="7"/>
  <c r="AF73" i="7"/>
  <c r="AG73" i="7"/>
  <c r="AH73" i="7"/>
  <c r="AI73" i="7"/>
  <c r="AJ73" i="7"/>
  <c r="AD74" i="7"/>
  <c r="AE74" i="7"/>
  <c r="AF74" i="7"/>
  <c r="AG74" i="7"/>
  <c r="AH74" i="7"/>
  <c r="AI74" i="7"/>
  <c r="AJ74" i="7"/>
  <c r="AD75" i="7"/>
  <c r="AE75" i="7"/>
  <c r="AF75" i="7"/>
  <c r="AG75" i="7"/>
  <c r="AH75" i="7"/>
  <c r="AI75" i="7"/>
  <c r="AJ75" i="7"/>
  <c r="AD76" i="7"/>
  <c r="AE76" i="7"/>
  <c r="AF76" i="7"/>
  <c r="AG76" i="7"/>
  <c r="AH76" i="7"/>
  <c r="AI76" i="7"/>
  <c r="AJ76" i="7"/>
  <c r="AD77" i="7"/>
  <c r="AE77" i="7"/>
  <c r="AF77" i="7"/>
  <c r="AG77" i="7"/>
  <c r="AH77" i="7"/>
  <c r="AI77" i="7"/>
  <c r="AJ77" i="7"/>
  <c r="AD78" i="7"/>
  <c r="AE78" i="7"/>
  <c r="AF78" i="7"/>
  <c r="AG78" i="7"/>
  <c r="AH78" i="7"/>
  <c r="AI78" i="7"/>
  <c r="AJ78" i="7"/>
  <c r="AD79" i="7"/>
  <c r="AE79" i="7"/>
  <c r="AF79" i="7"/>
  <c r="AG79" i="7"/>
  <c r="AH79" i="7"/>
  <c r="AI79" i="7"/>
  <c r="AJ79" i="7"/>
  <c r="AD80" i="7"/>
  <c r="AE80" i="7"/>
  <c r="AF80" i="7"/>
  <c r="AG80" i="7"/>
  <c r="AH80" i="7"/>
  <c r="AI80" i="7"/>
  <c r="AJ80" i="7"/>
  <c r="AD81" i="7"/>
  <c r="AE81" i="7"/>
  <c r="AF81" i="7"/>
  <c r="AG81" i="7"/>
  <c r="AH81" i="7"/>
  <c r="AI81" i="7"/>
  <c r="AJ81" i="7"/>
  <c r="AD82" i="7"/>
  <c r="AE82" i="7"/>
  <c r="AF82" i="7"/>
  <c r="AG82" i="7"/>
  <c r="AH82" i="7"/>
  <c r="AI82" i="7"/>
  <c r="AJ82" i="7"/>
  <c r="AD83" i="7"/>
  <c r="AE83" i="7"/>
  <c r="AF83" i="7"/>
  <c r="AG83" i="7"/>
  <c r="AH83" i="7"/>
  <c r="AI83" i="7"/>
  <c r="AJ83" i="7"/>
  <c r="AD84" i="7"/>
  <c r="AE84" i="7"/>
  <c r="AF84" i="7"/>
  <c r="AG84" i="7"/>
  <c r="AH84" i="7"/>
  <c r="AI84" i="7"/>
  <c r="AJ84" i="7"/>
  <c r="AD85" i="7"/>
  <c r="AE85" i="7"/>
  <c r="AF85" i="7"/>
  <c r="AG85" i="7"/>
  <c r="AH85" i="7"/>
  <c r="AI85" i="7"/>
  <c r="AJ85" i="7"/>
  <c r="AD86" i="7"/>
  <c r="AE86" i="7"/>
  <c r="AF86" i="7"/>
  <c r="AG86" i="7"/>
  <c r="AH86" i="7"/>
  <c r="AI86" i="7"/>
  <c r="AJ86" i="7"/>
  <c r="AD87" i="7"/>
  <c r="AE87" i="7"/>
  <c r="AF87" i="7"/>
  <c r="AG87" i="7"/>
  <c r="AH87" i="7"/>
  <c r="AI87" i="7"/>
  <c r="AJ87" i="7"/>
  <c r="AD88" i="7"/>
  <c r="AE88" i="7"/>
  <c r="AF88" i="7"/>
  <c r="AG88" i="7"/>
  <c r="AH88" i="7"/>
  <c r="AI88" i="7"/>
  <c r="AJ88" i="7"/>
  <c r="AD89" i="7"/>
  <c r="AE89" i="7"/>
  <c r="AF89" i="7"/>
  <c r="AG89" i="7"/>
  <c r="AH89" i="7"/>
  <c r="AI89" i="7"/>
  <c r="AJ89" i="7"/>
  <c r="AD90" i="7"/>
  <c r="AE90" i="7"/>
  <c r="AF90" i="7"/>
  <c r="AG90" i="7"/>
  <c r="AH90" i="7"/>
  <c r="AI90" i="7"/>
  <c r="AJ90" i="7"/>
  <c r="AD91" i="7"/>
  <c r="AE91" i="7"/>
  <c r="AF91" i="7"/>
  <c r="AG91" i="7"/>
  <c r="AH91" i="7"/>
  <c r="AI91" i="7"/>
  <c r="AJ91" i="7"/>
  <c r="AD92" i="7"/>
  <c r="AE92" i="7"/>
  <c r="AF92" i="7"/>
  <c r="AG92" i="7"/>
  <c r="AH92" i="7"/>
  <c r="AI92" i="7"/>
  <c r="AJ92" i="7"/>
  <c r="AD93" i="7"/>
  <c r="AE93" i="7"/>
  <c r="AF93" i="7"/>
  <c r="AG93" i="7"/>
  <c r="AH93" i="7"/>
  <c r="AI93" i="7"/>
  <c r="AJ93" i="7"/>
  <c r="AD94" i="7"/>
  <c r="AE94" i="7"/>
  <c r="AF94" i="7"/>
  <c r="AG94" i="7"/>
  <c r="AH94" i="7"/>
  <c r="AI94" i="7"/>
  <c r="AJ94" i="7"/>
  <c r="AD95" i="7"/>
  <c r="AE95" i="7"/>
  <c r="AF95" i="7"/>
  <c r="AG95" i="7"/>
  <c r="AH95" i="7"/>
  <c r="AI95" i="7"/>
  <c r="AJ95" i="7"/>
  <c r="AD96" i="7"/>
  <c r="AE96" i="7"/>
  <c r="AF96" i="7"/>
  <c r="AG96" i="7"/>
  <c r="AH96" i="7"/>
  <c r="AI96" i="7"/>
  <c r="AJ96" i="7"/>
  <c r="AD97" i="7"/>
  <c r="AE97" i="7"/>
  <c r="AF97" i="7"/>
  <c r="AG97" i="7"/>
  <c r="AH97" i="7"/>
  <c r="AI97" i="7"/>
  <c r="AJ97" i="7"/>
  <c r="AD98" i="7"/>
  <c r="AE98" i="7"/>
  <c r="AF98" i="7"/>
  <c r="AG98" i="7"/>
  <c r="AH98" i="7"/>
  <c r="AI98" i="7"/>
  <c r="AJ98" i="7"/>
  <c r="AD99" i="7"/>
  <c r="AE99" i="7"/>
  <c r="AF99" i="7"/>
  <c r="AG99" i="7"/>
  <c r="AH99" i="7"/>
  <c r="AI99" i="7"/>
  <c r="AJ99" i="7"/>
  <c r="AD100" i="7"/>
  <c r="AE100" i="7"/>
  <c r="AF100" i="7"/>
  <c r="AG100" i="7"/>
  <c r="AH100" i="7"/>
  <c r="AI100" i="7"/>
  <c r="AJ100" i="7"/>
  <c r="AD101" i="7"/>
  <c r="AE101" i="7"/>
  <c r="AF101" i="7"/>
  <c r="AG101" i="7"/>
  <c r="AH101" i="7"/>
  <c r="AI101" i="7"/>
  <c r="AJ101" i="7"/>
  <c r="AD102" i="7"/>
  <c r="AE102" i="7"/>
  <c r="AF102" i="7"/>
  <c r="AG102" i="7"/>
  <c r="AH102" i="7"/>
  <c r="AI102" i="7"/>
  <c r="AJ102" i="7"/>
  <c r="AD103" i="7"/>
  <c r="AE103" i="7"/>
  <c r="AF103" i="7"/>
  <c r="AG103" i="7"/>
  <c r="AH103" i="7"/>
  <c r="AI103" i="7"/>
  <c r="AJ103" i="7"/>
  <c r="AD104" i="7"/>
  <c r="AE104" i="7"/>
  <c r="AF104" i="7"/>
  <c r="AG104" i="7"/>
  <c r="AH104" i="7"/>
  <c r="AI104" i="7"/>
  <c r="AJ104" i="7"/>
  <c r="AD105" i="7"/>
  <c r="AE105" i="7"/>
  <c r="AF105" i="7"/>
  <c r="AG105" i="7"/>
  <c r="AH105" i="7"/>
  <c r="AI105" i="7"/>
  <c r="AJ105" i="7"/>
  <c r="AD106" i="7"/>
  <c r="AE106" i="7"/>
  <c r="AF106" i="7"/>
  <c r="AG106" i="7"/>
  <c r="AH106" i="7"/>
  <c r="AI106" i="7"/>
  <c r="AJ106" i="7"/>
  <c r="AD107" i="7"/>
  <c r="AE107" i="7"/>
  <c r="AF107" i="7"/>
  <c r="AG107" i="7"/>
  <c r="AH107" i="7"/>
  <c r="AI107" i="7"/>
  <c r="AJ107" i="7"/>
  <c r="AD108" i="7"/>
  <c r="AE108" i="7"/>
  <c r="AF108" i="7"/>
  <c r="AG108" i="7"/>
  <c r="AH108" i="7"/>
  <c r="AI108" i="7"/>
  <c r="AJ108" i="7"/>
  <c r="AD109" i="7"/>
  <c r="AE109" i="7"/>
  <c r="AF109" i="7"/>
  <c r="AG109" i="7"/>
  <c r="AH109" i="7"/>
  <c r="AI109" i="7"/>
  <c r="AJ109" i="7"/>
  <c r="AD110" i="7"/>
  <c r="AE110" i="7"/>
  <c r="AF110" i="7"/>
  <c r="AG110" i="7"/>
  <c r="AH110" i="7"/>
  <c r="AI110" i="7"/>
  <c r="AJ110" i="7"/>
  <c r="AD111" i="7"/>
  <c r="AE111" i="7"/>
  <c r="AF111" i="7"/>
  <c r="AG111" i="7"/>
  <c r="AH111" i="7"/>
  <c r="AI111" i="7"/>
  <c r="AJ111" i="7"/>
  <c r="AD112" i="7"/>
  <c r="AE112" i="7"/>
  <c r="AF112" i="7"/>
  <c r="AG112" i="7"/>
  <c r="AH112" i="7"/>
  <c r="AI112" i="7"/>
  <c r="AJ112" i="7"/>
  <c r="AD113" i="7"/>
  <c r="AE113" i="7"/>
  <c r="AF113" i="7"/>
  <c r="AG113" i="7"/>
  <c r="AH113" i="7"/>
  <c r="AI113" i="7"/>
  <c r="AJ113" i="7"/>
  <c r="AD114" i="7"/>
  <c r="AE114" i="7"/>
  <c r="AF114" i="7"/>
  <c r="AG114" i="7"/>
  <c r="AH114" i="7"/>
  <c r="AI114" i="7"/>
  <c r="AJ114" i="7"/>
  <c r="AD115" i="7"/>
  <c r="AE115" i="7"/>
  <c r="AF115" i="7"/>
  <c r="AG115" i="7"/>
  <c r="AH115" i="7"/>
  <c r="AI115" i="7"/>
  <c r="AJ115" i="7"/>
  <c r="AD116" i="7"/>
  <c r="AE116" i="7"/>
  <c r="AF116" i="7"/>
  <c r="AG116" i="7"/>
  <c r="AH116" i="7"/>
  <c r="AI116" i="7"/>
  <c r="AJ116" i="7"/>
  <c r="AD117" i="7"/>
  <c r="AE117" i="7"/>
  <c r="AF117" i="7"/>
  <c r="AG117" i="7"/>
  <c r="AH117" i="7"/>
  <c r="AI117" i="7"/>
  <c r="AJ117" i="7"/>
  <c r="AD118" i="7"/>
  <c r="AE118" i="7"/>
  <c r="AF118" i="7"/>
  <c r="AG118" i="7"/>
  <c r="AH118" i="7"/>
  <c r="AI118" i="7"/>
  <c r="AJ118" i="7"/>
  <c r="AD119" i="7"/>
  <c r="AE119" i="7"/>
  <c r="AF119" i="7"/>
  <c r="AG119" i="7"/>
  <c r="AH119" i="7"/>
  <c r="AI119" i="7"/>
  <c r="AJ119" i="7"/>
  <c r="AD120" i="7"/>
  <c r="AE120" i="7"/>
  <c r="AF120" i="7"/>
  <c r="AG120" i="7"/>
  <c r="AH120" i="7"/>
  <c r="AI120" i="7"/>
  <c r="AJ120" i="7"/>
  <c r="AD121" i="7"/>
  <c r="AE121" i="7"/>
  <c r="AF121" i="7"/>
  <c r="AG121" i="7"/>
  <c r="AH121" i="7"/>
  <c r="AI121" i="7"/>
  <c r="AJ121" i="7"/>
  <c r="AD122" i="7"/>
  <c r="AE122" i="7"/>
  <c r="AF122" i="7"/>
  <c r="AG122" i="7"/>
  <c r="AH122" i="7"/>
  <c r="AI122" i="7"/>
  <c r="AJ122" i="7"/>
  <c r="AD123" i="7"/>
  <c r="AE123" i="7"/>
  <c r="AF123" i="7"/>
  <c r="AG123" i="7"/>
  <c r="AH123" i="7"/>
  <c r="AI123" i="7"/>
  <c r="AJ123" i="7"/>
  <c r="AD124" i="7"/>
  <c r="AE124" i="7"/>
  <c r="AF124" i="7"/>
  <c r="AG124" i="7"/>
  <c r="AH124" i="7"/>
  <c r="AI124" i="7"/>
  <c r="AJ124" i="7"/>
  <c r="AD125" i="7"/>
  <c r="AE125" i="7"/>
  <c r="AF125" i="7"/>
  <c r="AG125" i="7"/>
  <c r="AH125" i="7"/>
  <c r="AI125" i="7"/>
  <c r="AJ125" i="7"/>
  <c r="AD126" i="7"/>
  <c r="AE126" i="7"/>
  <c r="AF126" i="7"/>
  <c r="AG126" i="7"/>
  <c r="AH126" i="7"/>
  <c r="AI126" i="7"/>
  <c r="AJ126" i="7"/>
  <c r="AD127" i="7"/>
  <c r="AE127" i="7"/>
  <c r="AF127" i="7"/>
  <c r="AG127" i="7"/>
  <c r="AH127" i="7"/>
  <c r="AI127" i="7"/>
  <c r="AJ127" i="7"/>
  <c r="AD128" i="7"/>
  <c r="AE128" i="7"/>
  <c r="AF128" i="7"/>
  <c r="AG128" i="7"/>
  <c r="AH128" i="7"/>
  <c r="AI128" i="7"/>
  <c r="AJ128" i="7"/>
  <c r="AD129" i="7"/>
  <c r="AE129" i="7"/>
  <c r="AF129" i="7"/>
  <c r="AG129" i="7"/>
  <c r="AH129" i="7"/>
  <c r="AI129" i="7"/>
  <c r="AJ129" i="7"/>
  <c r="AD130" i="7"/>
  <c r="AE130" i="7"/>
  <c r="AF130" i="7"/>
  <c r="AG130" i="7"/>
  <c r="AH130" i="7"/>
  <c r="AI130" i="7"/>
  <c r="AJ130" i="7"/>
  <c r="AD131" i="7"/>
  <c r="AE131" i="7"/>
  <c r="AF131" i="7"/>
  <c r="AG131" i="7"/>
  <c r="AH131" i="7"/>
  <c r="AI131" i="7"/>
  <c r="AJ131" i="7"/>
  <c r="AD132" i="7"/>
  <c r="AE132" i="7"/>
  <c r="AF132" i="7"/>
  <c r="AG132" i="7"/>
  <c r="AH132" i="7"/>
  <c r="AI132" i="7"/>
  <c r="AJ132" i="7"/>
  <c r="AD133" i="7"/>
  <c r="AE133" i="7"/>
  <c r="AF133" i="7"/>
  <c r="AG133" i="7"/>
  <c r="AH133" i="7"/>
  <c r="AI133" i="7"/>
  <c r="AJ133" i="7"/>
  <c r="AD134" i="7"/>
  <c r="AE134" i="7"/>
  <c r="AF134" i="7"/>
  <c r="AG134" i="7"/>
  <c r="AH134" i="7"/>
  <c r="AI134" i="7"/>
  <c r="AJ134" i="7"/>
  <c r="AD135" i="7"/>
  <c r="AE135" i="7"/>
  <c r="AF135" i="7"/>
  <c r="AG135" i="7"/>
  <c r="AH135" i="7"/>
  <c r="AI135" i="7"/>
  <c r="AJ135" i="7"/>
  <c r="AD136" i="7"/>
  <c r="AE136" i="7"/>
  <c r="AF136" i="7"/>
  <c r="AG136" i="7"/>
  <c r="AH136" i="7"/>
  <c r="AI136" i="7"/>
  <c r="AJ136" i="7"/>
  <c r="AD137" i="7"/>
  <c r="AE137" i="7"/>
  <c r="AF137" i="7"/>
  <c r="AG137" i="7"/>
  <c r="AH137" i="7"/>
  <c r="AI137" i="7"/>
  <c r="AJ137" i="7"/>
  <c r="AD138" i="7"/>
  <c r="AE138" i="7"/>
  <c r="AF138" i="7"/>
  <c r="AG138" i="7"/>
  <c r="AH138" i="7"/>
  <c r="AI138" i="7"/>
  <c r="AJ138" i="7"/>
  <c r="AD139" i="7"/>
  <c r="AE139" i="7"/>
  <c r="AF139" i="7"/>
  <c r="AG139" i="7"/>
  <c r="AH139" i="7"/>
  <c r="AI139" i="7"/>
  <c r="AJ139" i="7"/>
  <c r="AD140" i="7"/>
  <c r="AE140" i="7"/>
  <c r="AF140" i="7"/>
  <c r="AG140" i="7"/>
  <c r="AH140" i="7"/>
  <c r="AI140" i="7"/>
  <c r="AJ140" i="7"/>
  <c r="AD141" i="7"/>
  <c r="AE141" i="7"/>
  <c r="AF141" i="7"/>
  <c r="AG141" i="7"/>
  <c r="AH141" i="7"/>
  <c r="AI141" i="7"/>
  <c r="AJ141" i="7"/>
  <c r="AD142" i="7"/>
  <c r="AE142" i="7"/>
  <c r="AF142" i="7"/>
  <c r="AG142" i="7"/>
  <c r="AH142" i="7"/>
  <c r="AI142" i="7"/>
  <c r="AJ142" i="7"/>
  <c r="AD143" i="7"/>
  <c r="AE143" i="7"/>
  <c r="AF143" i="7"/>
  <c r="AG143" i="7"/>
  <c r="AH143" i="7"/>
  <c r="AI143" i="7"/>
  <c r="AJ143" i="7"/>
  <c r="AD144" i="7"/>
  <c r="AE144" i="7"/>
  <c r="AF144" i="7"/>
  <c r="AG144" i="7"/>
  <c r="AH144" i="7"/>
  <c r="AI144" i="7"/>
  <c r="AJ144" i="7"/>
  <c r="AD145" i="7"/>
  <c r="AE145" i="7"/>
  <c r="AF145" i="7"/>
  <c r="AG145" i="7"/>
  <c r="AH145" i="7"/>
  <c r="AI145" i="7"/>
  <c r="AJ145" i="7"/>
  <c r="AD146" i="7"/>
  <c r="AE146" i="7"/>
  <c r="AF146" i="7"/>
  <c r="AG146" i="7"/>
  <c r="AH146" i="7"/>
  <c r="AI146" i="7"/>
  <c r="AJ146" i="7"/>
  <c r="AD147" i="7"/>
  <c r="AE147" i="7"/>
  <c r="AF147" i="7"/>
  <c r="AG147" i="7"/>
  <c r="AH147" i="7"/>
  <c r="AI147" i="7"/>
  <c r="AJ147" i="7"/>
  <c r="AD148" i="7"/>
  <c r="AE148" i="7"/>
  <c r="AF148" i="7"/>
  <c r="AG148" i="7"/>
  <c r="AH148" i="7"/>
  <c r="AI148" i="7"/>
  <c r="AJ148" i="7"/>
  <c r="AD149" i="7"/>
  <c r="AE149" i="7"/>
  <c r="AF149" i="7"/>
  <c r="AG149" i="7"/>
  <c r="AH149" i="7"/>
  <c r="AI149" i="7"/>
  <c r="AJ149" i="7"/>
  <c r="AD150" i="7"/>
  <c r="AE150" i="7"/>
  <c r="AF150" i="7"/>
  <c r="AG150" i="7"/>
  <c r="AH150" i="7"/>
  <c r="AI150" i="7"/>
  <c r="AJ150" i="7"/>
  <c r="AD151" i="7"/>
  <c r="AE151" i="7"/>
  <c r="AF151" i="7"/>
  <c r="AG151" i="7"/>
  <c r="AH151" i="7"/>
  <c r="AI151" i="7"/>
  <c r="AJ151" i="7"/>
  <c r="AD152" i="7"/>
  <c r="AE152" i="7"/>
  <c r="AF152" i="7"/>
  <c r="AG152" i="7"/>
  <c r="AH152" i="7"/>
  <c r="AI152" i="7"/>
  <c r="AJ152" i="7"/>
  <c r="AD153" i="7"/>
  <c r="AE153" i="7"/>
  <c r="AF153" i="7"/>
  <c r="AG153" i="7"/>
  <c r="AH153" i="7"/>
  <c r="AI153" i="7"/>
  <c r="AJ153" i="7"/>
  <c r="AD154" i="7"/>
  <c r="AE154" i="7"/>
  <c r="AF154" i="7"/>
  <c r="AG154" i="7"/>
  <c r="AH154" i="7"/>
  <c r="AI154" i="7"/>
  <c r="AJ154" i="7"/>
  <c r="AD155" i="7"/>
  <c r="AE155" i="7"/>
  <c r="AF155" i="7"/>
  <c r="AG155" i="7"/>
  <c r="AH155" i="7"/>
  <c r="AI155" i="7"/>
  <c r="AJ155" i="7"/>
  <c r="AD156" i="7"/>
  <c r="AE156" i="7"/>
  <c r="AF156" i="7"/>
  <c r="AG156" i="7"/>
  <c r="AH156" i="7"/>
  <c r="AI156" i="7"/>
  <c r="AJ156" i="7"/>
  <c r="AD157" i="7"/>
  <c r="AE157" i="7"/>
  <c r="AF157" i="7"/>
  <c r="AG157" i="7"/>
  <c r="AH157" i="7"/>
  <c r="AI157" i="7"/>
  <c r="AJ157" i="7"/>
  <c r="AD158" i="7"/>
  <c r="AE158" i="7"/>
  <c r="AF158" i="7"/>
  <c r="AG158" i="7"/>
  <c r="AH158" i="7"/>
  <c r="AI158" i="7"/>
  <c r="AJ158" i="7"/>
  <c r="AD159" i="7"/>
  <c r="AE159" i="7"/>
  <c r="AF159" i="7"/>
  <c r="AG159" i="7"/>
  <c r="AH159" i="7"/>
  <c r="AI159" i="7"/>
  <c r="AJ159" i="7"/>
  <c r="AD160" i="7"/>
  <c r="AE160" i="7"/>
  <c r="AF160" i="7"/>
  <c r="AG160" i="7"/>
  <c r="AH160" i="7"/>
  <c r="AI160" i="7"/>
  <c r="AJ160" i="7"/>
  <c r="AD161" i="7"/>
  <c r="AE161" i="7"/>
  <c r="AF161" i="7"/>
  <c r="AG161" i="7"/>
  <c r="AH161" i="7"/>
  <c r="AI161" i="7"/>
  <c r="AJ161" i="7"/>
  <c r="AD162" i="7"/>
  <c r="AE162" i="7"/>
  <c r="AF162" i="7"/>
  <c r="AG162" i="7"/>
  <c r="AH162" i="7"/>
  <c r="AI162" i="7"/>
  <c r="AJ162" i="7"/>
  <c r="AD163" i="7"/>
  <c r="AE163" i="7"/>
  <c r="AF163" i="7"/>
  <c r="AG163" i="7"/>
  <c r="AH163" i="7"/>
  <c r="AI163" i="7"/>
  <c r="AJ163" i="7"/>
  <c r="AD164" i="7"/>
  <c r="AE164" i="7"/>
  <c r="AF164" i="7"/>
  <c r="AG164" i="7"/>
  <c r="AH164" i="7"/>
  <c r="AI164" i="7"/>
  <c r="AJ164" i="7"/>
  <c r="AD165" i="7"/>
  <c r="AE165" i="7"/>
  <c r="AF165" i="7"/>
  <c r="AG165" i="7"/>
  <c r="AH165" i="7"/>
  <c r="AI165" i="7"/>
  <c r="AJ165" i="7"/>
  <c r="AD166" i="7"/>
  <c r="AE166" i="7"/>
  <c r="AF166" i="7"/>
  <c r="AG166" i="7"/>
  <c r="AH166" i="7"/>
  <c r="AI166" i="7"/>
  <c r="AJ166" i="7"/>
  <c r="AD167" i="7"/>
  <c r="AE167" i="7"/>
  <c r="AF167" i="7"/>
  <c r="AG167" i="7"/>
  <c r="AH167" i="7"/>
  <c r="AI167" i="7"/>
  <c r="AJ167" i="7"/>
  <c r="AD168" i="7"/>
  <c r="AE168" i="7"/>
  <c r="AF168" i="7"/>
  <c r="AG168" i="7"/>
  <c r="AH168" i="7"/>
  <c r="AI168" i="7"/>
  <c r="AJ168" i="7"/>
  <c r="AD169" i="7"/>
  <c r="AE169" i="7"/>
  <c r="AF169" i="7"/>
  <c r="AG169" i="7"/>
  <c r="AH169" i="7"/>
  <c r="AI169" i="7"/>
  <c r="AJ169" i="7"/>
  <c r="AD170" i="7"/>
  <c r="AE170" i="7"/>
  <c r="AF170" i="7"/>
  <c r="AG170" i="7"/>
  <c r="AH170" i="7"/>
  <c r="AI170" i="7"/>
  <c r="AJ170" i="7"/>
  <c r="AD171" i="7"/>
  <c r="AE171" i="7"/>
  <c r="AF171" i="7"/>
  <c r="AG171" i="7"/>
  <c r="AH171" i="7"/>
  <c r="AI171" i="7"/>
  <c r="AJ171" i="7"/>
  <c r="AD172" i="7"/>
  <c r="AE172" i="7"/>
  <c r="AF172" i="7"/>
  <c r="AG172" i="7"/>
  <c r="AH172" i="7"/>
  <c r="AI172" i="7"/>
  <c r="AJ172" i="7"/>
  <c r="AD173" i="7"/>
  <c r="AE173" i="7"/>
  <c r="AF173" i="7"/>
  <c r="AG173" i="7"/>
  <c r="AH173" i="7"/>
  <c r="AI173" i="7"/>
  <c r="AJ173" i="7"/>
  <c r="AD174" i="7"/>
  <c r="AE174" i="7"/>
  <c r="AF174" i="7"/>
  <c r="AG174" i="7"/>
  <c r="AH174" i="7"/>
  <c r="AI174" i="7"/>
  <c r="AJ174" i="7"/>
  <c r="AD175" i="7"/>
  <c r="AE175" i="7"/>
  <c r="AF175" i="7"/>
  <c r="AG175" i="7"/>
  <c r="AH175" i="7"/>
  <c r="AI175" i="7"/>
  <c r="AJ175" i="7"/>
  <c r="AD176" i="7"/>
  <c r="AE176" i="7"/>
  <c r="AF176" i="7"/>
  <c r="AG176" i="7"/>
  <c r="AH176" i="7"/>
  <c r="AI176" i="7"/>
  <c r="AJ176" i="7"/>
  <c r="AD177" i="7"/>
  <c r="AE177" i="7"/>
  <c r="AF177" i="7"/>
  <c r="AG177" i="7"/>
  <c r="AH177" i="7"/>
  <c r="AI177" i="7"/>
  <c r="AJ177" i="7"/>
  <c r="AD178" i="7"/>
  <c r="AE178" i="7"/>
  <c r="AF178" i="7"/>
  <c r="AG178" i="7"/>
  <c r="AH178" i="7"/>
  <c r="AI178" i="7"/>
  <c r="AJ178" i="7"/>
  <c r="AD179" i="7"/>
  <c r="AE179" i="7"/>
  <c r="AF179" i="7"/>
  <c r="AG179" i="7"/>
  <c r="AH179" i="7"/>
  <c r="AI179" i="7"/>
  <c r="AJ179" i="7"/>
  <c r="AD180" i="7"/>
  <c r="AE180" i="7"/>
  <c r="AF180" i="7"/>
  <c r="AG180" i="7"/>
  <c r="AH180" i="7"/>
  <c r="AI180" i="7"/>
  <c r="AJ180" i="7"/>
  <c r="AD181" i="7"/>
  <c r="AE181" i="7"/>
  <c r="AF181" i="7"/>
  <c r="AG181" i="7"/>
  <c r="AH181" i="7"/>
  <c r="AI181" i="7"/>
  <c r="AJ181" i="7"/>
  <c r="AD182" i="7"/>
  <c r="AE182" i="7"/>
  <c r="AF182" i="7"/>
  <c r="AG182" i="7"/>
  <c r="AH182" i="7"/>
  <c r="AI182" i="7"/>
  <c r="AJ182" i="7"/>
  <c r="AD183" i="7"/>
  <c r="AE183" i="7"/>
  <c r="AF183" i="7"/>
  <c r="AG183" i="7"/>
  <c r="AH183" i="7"/>
  <c r="AI183" i="7"/>
  <c r="AJ183" i="7"/>
  <c r="AD184" i="7"/>
  <c r="AE184" i="7"/>
  <c r="AF184" i="7"/>
  <c r="AG184" i="7"/>
  <c r="AH184" i="7"/>
  <c r="AI184" i="7"/>
  <c r="AJ184" i="7"/>
  <c r="AD185" i="7"/>
  <c r="AE185" i="7"/>
  <c r="AF185" i="7"/>
  <c r="AG185" i="7"/>
  <c r="AH185" i="7"/>
  <c r="AI185" i="7"/>
  <c r="AJ185" i="7"/>
  <c r="AD186" i="7"/>
  <c r="AE186" i="7"/>
  <c r="AF186" i="7"/>
  <c r="AG186" i="7"/>
  <c r="AH186" i="7"/>
  <c r="AI186" i="7"/>
  <c r="AJ186" i="7"/>
  <c r="AD187" i="7"/>
  <c r="AE187" i="7"/>
  <c r="AF187" i="7"/>
  <c r="AG187" i="7"/>
  <c r="AH187" i="7"/>
  <c r="AI187" i="7"/>
  <c r="AJ187" i="7"/>
  <c r="AD188" i="7"/>
  <c r="AE188" i="7"/>
  <c r="AF188" i="7"/>
  <c r="AG188" i="7"/>
  <c r="AH188" i="7"/>
  <c r="AI188" i="7"/>
  <c r="AJ188" i="7"/>
  <c r="AD189" i="7"/>
  <c r="AE189" i="7"/>
  <c r="AF189" i="7"/>
  <c r="AG189" i="7"/>
  <c r="AH189" i="7"/>
  <c r="AI189" i="7"/>
  <c r="AJ189" i="7"/>
  <c r="AD190" i="7"/>
  <c r="AE190" i="7"/>
  <c r="AF190" i="7"/>
  <c r="AG190" i="7"/>
  <c r="AH190" i="7"/>
  <c r="AI190" i="7"/>
  <c r="AJ190" i="7"/>
  <c r="AD191" i="7"/>
  <c r="AE191" i="7"/>
  <c r="AF191" i="7"/>
  <c r="AG191" i="7"/>
  <c r="AH191" i="7"/>
  <c r="AI191" i="7"/>
  <c r="AJ191" i="7"/>
  <c r="AD192" i="7"/>
  <c r="AE192" i="7"/>
  <c r="AF192" i="7"/>
  <c r="AG192" i="7"/>
  <c r="AH192" i="7"/>
  <c r="AI192" i="7"/>
  <c r="AJ192" i="7"/>
  <c r="AD193" i="7"/>
  <c r="AE193" i="7"/>
  <c r="AF193" i="7"/>
  <c r="AG193" i="7"/>
  <c r="AH193" i="7"/>
  <c r="AI193" i="7"/>
  <c r="AJ193" i="7"/>
  <c r="AD194" i="7"/>
  <c r="AE194" i="7"/>
  <c r="AF194" i="7"/>
  <c r="AG194" i="7"/>
  <c r="AH194" i="7"/>
  <c r="AI194" i="7"/>
  <c r="AJ194" i="7"/>
  <c r="AD195" i="7"/>
  <c r="AE195" i="7"/>
  <c r="AF195" i="7"/>
  <c r="AG195" i="7"/>
  <c r="AH195" i="7"/>
  <c r="AI195" i="7"/>
  <c r="AJ195" i="7"/>
  <c r="AD196" i="7"/>
  <c r="AE196" i="7"/>
  <c r="AF196" i="7"/>
  <c r="AG196" i="7"/>
  <c r="AH196" i="7"/>
  <c r="AI196" i="7"/>
  <c r="AJ196" i="7"/>
  <c r="AD197" i="7"/>
  <c r="AE197" i="7"/>
  <c r="AF197" i="7"/>
  <c r="AG197" i="7"/>
  <c r="AH197" i="7"/>
  <c r="AI197" i="7"/>
  <c r="AJ197" i="7"/>
  <c r="AD198" i="7"/>
  <c r="AE198" i="7"/>
  <c r="AF198" i="7"/>
  <c r="AG198" i="7"/>
  <c r="AH198" i="7"/>
  <c r="AI198" i="7"/>
  <c r="AJ198" i="7"/>
  <c r="AD199" i="7"/>
  <c r="AE199" i="7"/>
  <c r="AF199" i="7"/>
  <c r="AG199" i="7"/>
  <c r="AH199" i="7"/>
  <c r="AI199" i="7"/>
  <c r="AJ199" i="7"/>
  <c r="AD200" i="7"/>
  <c r="AE200" i="7"/>
  <c r="AF200" i="7"/>
  <c r="AG200" i="7"/>
  <c r="AH200" i="7"/>
  <c r="AI200" i="7"/>
  <c r="AJ200" i="7"/>
  <c r="AD201" i="7"/>
  <c r="AE201" i="7"/>
  <c r="AF201" i="7"/>
  <c r="AG201" i="7"/>
  <c r="AH201" i="7"/>
  <c r="AI201" i="7"/>
  <c r="AJ201" i="7"/>
  <c r="AD202" i="7"/>
  <c r="AE202" i="7"/>
  <c r="AF202" i="7"/>
  <c r="AG202" i="7"/>
  <c r="AH202" i="7"/>
  <c r="AI202" i="7"/>
  <c r="AJ202" i="7"/>
  <c r="AD203" i="7"/>
  <c r="AE203" i="7"/>
  <c r="AF203" i="7"/>
  <c r="AG203" i="7"/>
  <c r="AH203" i="7"/>
  <c r="AI203" i="7"/>
  <c r="AJ203" i="7"/>
  <c r="AD204" i="7"/>
  <c r="AE204" i="7"/>
  <c r="AF204" i="7"/>
  <c r="AG204" i="7"/>
  <c r="AH204" i="7"/>
  <c r="AI204" i="7"/>
  <c r="AJ204" i="7"/>
  <c r="AD205" i="7"/>
  <c r="AE205" i="7"/>
  <c r="AF205" i="7"/>
  <c r="AG205" i="7"/>
  <c r="AH205" i="7"/>
  <c r="AI205" i="7"/>
  <c r="AJ205" i="7"/>
  <c r="AD2" i="7"/>
  <c r="AE2" i="7"/>
  <c r="AF2" i="7"/>
  <c r="AG2" i="7"/>
  <c r="AH2" i="7"/>
  <c r="AI2" i="7"/>
  <c r="AJ2" i="7"/>
  <c r="AD3" i="6"/>
  <c r="AE3" i="6"/>
  <c r="AF3" i="6"/>
  <c r="AG3" i="6"/>
  <c r="AH3" i="6"/>
  <c r="AI3" i="6"/>
  <c r="AJ3" i="6"/>
  <c r="AD4" i="6"/>
  <c r="AE4" i="6"/>
  <c r="AF4" i="6"/>
  <c r="AG4" i="6"/>
  <c r="AH4" i="6"/>
  <c r="AI4" i="6"/>
  <c r="AJ4" i="6"/>
  <c r="AD5" i="6"/>
  <c r="AE5" i="6"/>
  <c r="AF5" i="6"/>
  <c r="AG5" i="6"/>
  <c r="AH5" i="6"/>
  <c r="AI5" i="6"/>
  <c r="AJ5" i="6"/>
  <c r="AD6" i="6"/>
  <c r="AE6" i="6"/>
  <c r="AF6" i="6"/>
  <c r="AG6" i="6"/>
  <c r="AH6" i="6"/>
  <c r="AI6" i="6"/>
  <c r="AJ6" i="6"/>
  <c r="AD7" i="6"/>
  <c r="AE7" i="6"/>
  <c r="AF7" i="6"/>
  <c r="AG7" i="6"/>
  <c r="AH7" i="6"/>
  <c r="AI7" i="6"/>
  <c r="AJ7" i="6"/>
  <c r="AD8" i="6"/>
  <c r="AE8" i="6"/>
  <c r="AF8" i="6"/>
  <c r="AG8" i="6"/>
  <c r="AH8" i="6"/>
  <c r="AI8" i="6"/>
  <c r="AJ8" i="6"/>
  <c r="AD9" i="6"/>
  <c r="AE9" i="6"/>
  <c r="AF9" i="6"/>
  <c r="AG9" i="6"/>
  <c r="AH9" i="6"/>
  <c r="AI9" i="6"/>
  <c r="AJ9" i="6"/>
  <c r="AD10" i="6"/>
  <c r="AE10" i="6"/>
  <c r="AF10" i="6"/>
  <c r="AG10" i="6"/>
  <c r="AH10" i="6"/>
  <c r="AI10" i="6"/>
  <c r="AJ10" i="6"/>
  <c r="AD11" i="6"/>
  <c r="AE11" i="6"/>
  <c r="AF11" i="6"/>
  <c r="AG11" i="6"/>
  <c r="AH11" i="6"/>
  <c r="AI11" i="6"/>
  <c r="AJ11" i="6"/>
  <c r="AD12" i="6"/>
  <c r="AE12" i="6"/>
  <c r="AF12" i="6"/>
  <c r="AG12" i="6"/>
  <c r="AH12" i="6"/>
  <c r="AI12" i="6"/>
  <c r="AJ12" i="6"/>
  <c r="AD13" i="6"/>
  <c r="AE13" i="6"/>
  <c r="AF13" i="6"/>
  <c r="AG13" i="6"/>
  <c r="AH13" i="6"/>
  <c r="AI13" i="6"/>
  <c r="AJ13" i="6"/>
  <c r="AD14" i="6"/>
  <c r="AE14" i="6"/>
  <c r="AF14" i="6"/>
  <c r="AG14" i="6"/>
  <c r="AH14" i="6"/>
  <c r="AI14" i="6"/>
  <c r="AJ14" i="6"/>
  <c r="AD15" i="6"/>
  <c r="AE15" i="6"/>
  <c r="AF15" i="6"/>
  <c r="AG15" i="6"/>
  <c r="AH15" i="6"/>
  <c r="AI15" i="6"/>
  <c r="AJ15" i="6"/>
  <c r="AD16" i="6"/>
  <c r="AE16" i="6"/>
  <c r="AF16" i="6"/>
  <c r="AG16" i="6"/>
  <c r="AH16" i="6"/>
  <c r="AI16" i="6"/>
  <c r="AJ16" i="6"/>
  <c r="AD17" i="6"/>
  <c r="AE17" i="6"/>
  <c r="AF17" i="6"/>
  <c r="AG17" i="6"/>
  <c r="AH17" i="6"/>
  <c r="AI17" i="6"/>
  <c r="AJ17" i="6"/>
  <c r="AD18" i="6"/>
  <c r="AE18" i="6"/>
  <c r="AF18" i="6"/>
  <c r="AG18" i="6"/>
  <c r="AH18" i="6"/>
  <c r="AI18" i="6"/>
  <c r="AJ18" i="6"/>
  <c r="AD19" i="6"/>
  <c r="AE19" i="6"/>
  <c r="AF19" i="6"/>
  <c r="AG19" i="6"/>
  <c r="AH19" i="6"/>
  <c r="AI19" i="6"/>
  <c r="AJ19" i="6"/>
  <c r="AD20" i="6"/>
  <c r="AE20" i="6"/>
  <c r="AF20" i="6"/>
  <c r="AG20" i="6"/>
  <c r="AH20" i="6"/>
  <c r="AI20" i="6"/>
  <c r="AJ20" i="6"/>
  <c r="AD21" i="6"/>
  <c r="AE21" i="6"/>
  <c r="AF21" i="6"/>
  <c r="AG21" i="6"/>
  <c r="AH21" i="6"/>
  <c r="AI21" i="6"/>
  <c r="AJ21" i="6"/>
  <c r="AD22" i="6"/>
  <c r="AE22" i="6"/>
  <c r="AF22" i="6"/>
  <c r="AG22" i="6"/>
  <c r="AH22" i="6"/>
  <c r="AI22" i="6"/>
  <c r="AJ22" i="6"/>
  <c r="AD23" i="6"/>
  <c r="AE23" i="6"/>
  <c r="AF23" i="6"/>
  <c r="AG23" i="6"/>
  <c r="AH23" i="6"/>
  <c r="AI23" i="6"/>
  <c r="AJ23" i="6"/>
  <c r="AD24" i="6"/>
  <c r="AE24" i="6"/>
  <c r="AF24" i="6"/>
  <c r="AG24" i="6"/>
  <c r="AH24" i="6"/>
  <c r="AI24" i="6"/>
  <c r="AJ24" i="6"/>
  <c r="AD25" i="6"/>
  <c r="AE25" i="6"/>
  <c r="AF25" i="6"/>
  <c r="AG25" i="6"/>
  <c r="AH25" i="6"/>
  <c r="AI25" i="6"/>
  <c r="AJ25" i="6"/>
  <c r="AD26" i="6"/>
  <c r="AE26" i="6"/>
  <c r="AF26" i="6"/>
  <c r="AG26" i="6"/>
  <c r="AH26" i="6"/>
  <c r="AI26" i="6"/>
  <c r="AJ26" i="6"/>
  <c r="AD27" i="6"/>
  <c r="AE27" i="6"/>
  <c r="AF27" i="6"/>
  <c r="AG27" i="6"/>
  <c r="AH27" i="6"/>
  <c r="AI27" i="6"/>
  <c r="AJ27" i="6"/>
  <c r="AD28" i="6"/>
  <c r="AE28" i="6"/>
  <c r="AF28" i="6"/>
  <c r="AG28" i="6"/>
  <c r="AH28" i="6"/>
  <c r="AI28" i="6"/>
  <c r="AJ28" i="6"/>
  <c r="AD29" i="6"/>
  <c r="AE29" i="6"/>
  <c r="AF29" i="6"/>
  <c r="AG29" i="6"/>
  <c r="AH29" i="6"/>
  <c r="AI29" i="6"/>
  <c r="AJ29" i="6"/>
  <c r="AD30" i="6"/>
  <c r="AE30" i="6"/>
  <c r="AF30" i="6"/>
  <c r="AG30" i="6"/>
  <c r="AH30" i="6"/>
  <c r="AI30" i="6"/>
  <c r="AJ30" i="6"/>
  <c r="AD31" i="6"/>
  <c r="AE31" i="6"/>
  <c r="AF31" i="6"/>
  <c r="AG31" i="6"/>
  <c r="AH31" i="6"/>
  <c r="AI31" i="6"/>
  <c r="AJ31" i="6"/>
  <c r="AD32" i="6"/>
  <c r="AE32" i="6"/>
  <c r="AF32" i="6"/>
  <c r="AG32" i="6"/>
  <c r="AH32" i="6"/>
  <c r="AI32" i="6"/>
  <c r="AJ32" i="6"/>
  <c r="AD33" i="6"/>
  <c r="AE33" i="6"/>
  <c r="AF33" i="6"/>
  <c r="AG33" i="6"/>
  <c r="AH33" i="6"/>
  <c r="AI33" i="6"/>
  <c r="AJ33" i="6"/>
  <c r="AD34" i="6"/>
  <c r="AE34" i="6"/>
  <c r="AF34" i="6"/>
  <c r="AG34" i="6"/>
  <c r="AH34" i="6"/>
  <c r="AI34" i="6"/>
  <c r="AJ34" i="6"/>
  <c r="AD35" i="6"/>
  <c r="AE35" i="6"/>
  <c r="AF35" i="6"/>
  <c r="AG35" i="6"/>
  <c r="AH35" i="6"/>
  <c r="AI35" i="6"/>
  <c r="AJ35" i="6"/>
  <c r="AD36" i="6"/>
  <c r="AE36" i="6"/>
  <c r="AF36" i="6"/>
  <c r="AG36" i="6"/>
  <c r="AH36" i="6"/>
  <c r="AI36" i="6"/>
  <c r="AJ36" i="6"/>
  <c r="AD37" i="6"/>
  <c r="AE37" i="6"/>
  <c r="AF37" i="6"/>
  <c r="AG37" i="6"/>
  <c r="AH37" i="6"/>
  <c r="AI37" i="6"/>
  <c r="AJ37" i="6"/>
  <c r="AD38" i="6"/>
  <c r="AE38" i="6"/>
  <c r="AF38" i="6"/>
  <c r="AG38" i="6"/>
  <c r="AH38" i="6"/>
  <c r="AI38" i="6"/>
  <c r="AJ38" i="6"/>
  <c r="AD39" i="6"/>
  <c r="AE39" i="6"/>
  <c r="AF39" i="6"/>
  <c r="AG39" i="6"/>
  <c r="AH39" i="6"/>
  <c r="AI39" i="6"/>
  <c r="AJ39" i="6"/>
  <c r="AD40" i="6"/>
  <c r="AE40" i="6"/>
  <c r="AF40" i="6"/>
  <c r="AG40" i="6"/>
  <c r="AH40" i="6"/>
  <c r="AI40" i="6"/>
  <c r="AJ40" i="6"/>
  <c r="AD41" i="6"/>
  <c r="AE41" i="6"/>
  <c r="AF41" i="6"/>
  <c r="AG41" i="6"/>
  <c r="AH41" i="6"/>
  <c r="AI41" i="6"/>
  <c r="AJ41" i="6"/>
  <c r="AD42" i="6"/>
  <c r="AE42" i="6"/>
  <c r="AF42" i="6"/>
  <c r="AG42" i="6"/>
  <c r="AH42" i="6"/>
  <c r="AI42" i="6"/>
  <c r="AJ42" i="6"/>
  <c r="AD43" i="6"/>
  <c r="AE43" i="6"/>
  <c r="AF43" i="6"/>
  <c r="AG43" i="6"/>
  <c r="AH43" i="6"/>
  <c r="AI43" i="6"/>
  <c r="AJ43" i="6"/>
  <c r="AD44" i="6"/>
  <c r="AE44" i="6"/>
  <c r="AF44" i="6"/>
  <c r="AG44" i="6"/>
  <c r="AH44" i="6"/>
  <c r="AI44" i="6"/>
  <c r="AJ44" i="6"/>
  <c r="AD45" i="6"/>
  <c r="AE45" i="6"/>
  <c r="AF45" i="6"/>
  <c r="AG45" i="6"/>
  <c r="AH45" i="6"/>
  <c r="AI45" i="6"/>
  <c r="AJ45" i="6"/>
  <c r="AD46" i="6"/>
  <c r="AE46" i="6"/>
  <c r="AF46" i="6"/>
  <c r="AG46" i="6"/>
  <c r="AH46" i="6"/>
  <c r="AI46" i="6"/>
  <c r="AJ46" i="6"/>
  <c r="AD47" i="6"/>
  <c r="AE47" i="6"/>
  <c r="AF47" i="6"/>
  <c r="AG47" i="6"/>
  <c r="AH47" i="6"/>
  <c r="AI47" i="6"/>
  <c r="AJ47" i="6"/>
  <c r="AD48" i="6"/>
  <c r="AE48" i="6"/>
  <c r="AF48" i="6"/>
  <c r="AG48" i="6"/>
  <c r="AH48" i="6"/>
  <c r="AI48" i="6"/>
  <c r="AJ48" i="6"/>
  <c r="AD49" i="6"/>
  <c r="AE49" i="6"/>
  <c r="AF49" i="6"/>
  <c r="AG49" i="6"/>
  <c r="AH49" i="6"/>
  <c r="AI49" i="6"/>
  <c r="AJ49" i="6"/>
  <c r="AD50" i="6"/>
  <c r="AE50" i="6"/>
  <c r="AF50" i="6"/>
  <c r="AG50" i="6"/>
  <c r="AH50" i="6"/>
  <c r="AI50" i="6"/>
  <c r="AJ50" i="6"/>
  <c r="AD51" i="6"/>
  <c r="AE51" i="6"/>
  <c r="AF51" i="6"/>
  <c r="AG51" i="6"/>
  <c r="AH51" i="6"/>
  <c r="AI51" i="6"/>
  <c r="AJ51" i="6"/>
  <c r="AD52" i="6"/>
  <c r="AE52" i="6"/>
  <c r="AF52" i="6"/>
  <c r="AG52" i="6"/>
  <c r="AH52" i="6"/>
  <c r="AI52" i="6"/>
  <c r="AJ52" i="6"/>
  <c r="AD53" i="6"/>
  <c r="AE53" i="6"/>
  <c r="AF53" i="6"/>
  <c r="AG53" i="6"/>
  <c r="AH53" i="6"/>
  <c r="AI53" i="6"/>
  <c r="AJ53" i="6"/>
  <c r="AD2" i="6"/>
  <c r="AE2" i="6"/>
  <c r="AF2" i="6"/>
  <c r="AG2" i="6"/>
  <c r="AH2" i="6"/>
  <c r="AI2" i="6"/>
  <c r="AJ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12A031-DF1D-4449-961C-F2C119AA7A1C}" keepAlive="1" name="Zapytanie — datasets adam" description="Połączenie z zapytaniem „datasets adam” w skoroszycie." type="5" refreshedVersion="0" background="1">
    <dbPr connection="Provider=Microsoft.Mashup.OleDb.1;Data Source=$Workbook$;Location=&quot;datasets adam&quot;;Extended Properties=&quot;&quot;" command="SELECT * FROM [datasets adam]"/>
  </connection>
</connections>
</file>

<file path=xl/sharedStrings.xml><?xml version="1.0" encoding="utf-8"?>
<sst xmlns="http://schemas.openxmlformats.org/spreadsheetml/2006/main" count="1376" uniqueCount="236">
  <si>
    <t>dataset_name</t>
  </si>
  <si>
    <t>kan_grid</t>
  </si>
  <si>
    <t>kan_grid_passed_parameter</t>
  </si>
  <si>
    <t>kan_degree</t>
  </si>
  <si>
    <t>kan_lam</t>
  </si>
  <si>
    <t>kan_width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</si>
  <si>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</si>
  <si>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</si>
  <si>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</si>
  <si>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</si>
  <si>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</si>
  <si>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</si>
  <si>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</si>
  <si>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</si>
  <si>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</si>
  <si>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</si>
  <si>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mlp_time_difference</t>
  </si>
  <si>
    <t>mlp_params</t>
  </si>
  <si>
    <t>mlp_no_layers</t>
  </si>
  <si>
    <t>mlp_width_layers</t>
  </si>
  <si>
    <t>mlp2_test_acc</t>
  </si>
  <si>
    <t>mlp2_val_acc</t>
  </si>
  <si>
    <t>mlp2_train_acc</t>
  </si>
  <si>
    <t>mlp2_steps</t>
  </si>
  <si>
    <t>mlp2_time_difference</t>
  </si>
  <si>
    <t>mlp2_params</t>
  </si>
  <si>
    <t>no_layers2</t>
  </si>
  <si>
    <t>width_layers2</t>
  </si>
  <si>
    <t>Cancer</t>
  </si>
  <si>
    <t>[30, 32, 40, 2]</t>
  </si>
  <si>
    <t>[30, 32, 45, 2]</t>
  </si>
  <si>
    <t>[30, 32, 50, 2]</t>
  </si>
  <si>
    <t>[30, 32, 55, 2]</t>
  </si>
  <si>
    <t>[30, 32, 60, 2]</t>
  </si>
  <si>
    <t>[30, 34, 30, 2]</t>
  </si>
  <si>
    <t>[30, 34, 35, 2]</t>
  </si>
  <si>
    <t>[30, 34, 40, 2]</t>
  </si>
  <si>
    <t>[30, 34, 45, 2]</t>
  </si>
  <si>
    <t>[30, 34, 50, 2]</t>
  </si>
  <si>
    <t>[30, 34, 55, 2]</t>
  </si>
  <si>
    <t>[30, 34, 60, 2]</t>
  </si>
  <si>
    <t>[30, 36, 30, 2]</t>
  </si>
  <si>
    <t>[30, 36, 35, 2]</t>
  </si>
  <si>
    <t>[30, 36, 40, 2]</t>
  </si>
  <si>
    <t>[30, 36, 45, 2]</t>
  </si>
  <si>
    <t>[30, 36, 50, 2]</t>
  </si>
  <si>
    <t>[30, 36, 55, 2]</t>
  </si>
  <si>
    <t>[30, 36, 60, 2]</t>
  </si>
  <si>
    <t>[30, 38, 30, 2]</t>
  </si>
  <si>
    <t>[30, 38, 35, 2]</t>
  </si>
  <si>
    <t>[30, 38, 40, 2]</t>
  </si>
  <si>
    <t>[30, 38, 45, 2]</t>
  </si>
  <si>
    <t>[30, 38, 50, 2]</t>
  </si>
  <si>
    <t>[30, 38, 55, 2]</t>
  </si>
  <si>
    <t>[30, 38, 60, 2]</t>
  </si>
  <si>
    <t>[30, 22, 2]</t>
  </si>
  <si>
    <t>[30, 27, 2]</t>
  </si>
  <si>
    <t>[30, 30, 30, 2]</t>
  </si>
  <si>
    <t>[30, 30, 35, 2]</t>
  </si>
  <si>
    <t>[30, 30, 40, 2]</t>
  </si>
  <si>
    <t>[30, 30, 45, 2]</t>
  </si>
  <si>
    <t>[30, 30, 50, 2]</t>
  </si>
  <si>
    <t>[30, 30, 55, 2]</t>
  </si>
  <si>
    <t>[30, 30, 60, 2]</t>
  </si>
  <si>
    <t>[30, 32, 2]</t>
  </si>
  <si>
    <t>[30, 37, 2]</t>
  </si>
  <si>
    <t>[30, 42, 2]</t>
  </si>
  <si>
    <t>[30, 47, 2]</t>
  </si>
  <si>
    <t>[30, 52, 2]</t>
  </si>
  <si>
    <t>[30, 57, 2]</t>
  </si>
  <si>
    <t>[30, 62, 2]</t>
  </si>
  <si>
    <t>Digits</t>
  </si>
  <si>
    <t>[64, 103, 10]</t>
  </si>
  <si>
    <t>[64, 108, 10]</t>
  </si>
  <si>
    <t>[64, 113, 10]</t>
  </si>
  <si>
    <t>[64, 118, 10]</t>
  </si>
  <si>
    <t>[64, 123, 10]</t>
  </si>
  <si>
    <t>[64, 128, 10]</t>
  </si>
  <si>
    <t>[64, 48, 10]</t>
  </si>
  <si>
    <t>[64, 53, 10]</t>
  </si>
  <si>
    <t>[64, 58, 10]</t>
  </si>
  <si>
    <t>[64, 63, 10]</t>
  </si>
  <si>
    <t>[64, 64, 104, 10]</t>
  </si>
  <si>
    <t>[64, 64, 109, 10]</t>
  </si>
  <si>
    <t>[64, 64, 114, 10]</t>
  </si>
  <si>
    <t>[64, 64, 119, 10]</t>
  </si>
  <si>
    <t>[64, 64, 124, 10]</t>
  </si>
  <si>
    <t>[64, 64, 129, 10]</t>
  </si>
  <si>
    <t>[64, 64, 64, 10]</t>
  </si>
  <si>
    <t>[64, 64, 69, 10]</t>
  </si>
  <si>
    <t>[64, 64, 74, 10]</t>
  </si>
  <si>
    <t>[64, 64, 79, 10]</t>
  </si>
  <si>
    <t>[64, 64, 84, 10]</t>
  </si>
  <si>
    <t>[64, 64, 89, 10]</t>
  </si>
  <si>
    <t>[64, 64, 94, 10]</t>
  </si>
  <si>
    <t>[64, 64, 99, 10]</t>
  </si>
  <si>
    <t>[64, 66, 104, 10]</t>
  </si>
  <si>
    <t>[64, 66, 109, 10]</t>
  </si>
  <si>
    <t>[64, 66, 114, 10]</t>
  </si>
  <si>
    <t>[64, 66, 119, 10]</t>
  </si>
  <si>
    <t>[64, 66, 124, 10]</t>
  </si>
  <si>
    <t>[64, 66, 129, 10]</t>
  </si>
  <si>
    <t>[64, 66, 64, 10]</t>
  </si>
  <si>
    <t>[64, 66, 69, 10]</t>
  </si>
  <si>
    <t>[64, 66, 74, 10]</t>
  </si>
  <si>
    <t>[64, 66, 79, 10]</t>
  </si>
  <si>
    <t>[64, 66, 84, 10]</t>
  </si>
  <si>
    <t>[64, 66, 89, 10]</t>
  </si>
  <si>
    <t>[64, 66, 94, 10]</t>
  </si>
  <si>
    <t>[64, 66, 99, 10]</t>
  </si>
  <si>
    <t>[64, 68, 10]</t>
  </si>
  <si>
    <t>[64, 68, 104, 10]</t>
  </si>
  <si>
    <t>[64, 68, 109, 10]</t>
  </si>
  <si>
    <t>[64, 68, 114, 10]</t>
  </si>
  <si>
    <t>[64, 68, 119, 10]</t>
  </si>
  <si>
    <t>[64, 68, 124, 10]</t>
  </si>
  <si>
    <t>[64, 68, 129, 10]</t>
  </si>
  <si>
    <t>[64, 68, 64, 10]</t>
  </si>
  <si>
    <t>[64, 68, 69, 10]</t>
  </si>
  <si>
    <t>[64, 68, 74, 10]</t>
  </si>
  <si>
    <t>[64, 68, 79, 10]</t>
  </si>
  <si>
    <t>[64, 68, 84, 10]</t>
  </si>
  <si>
    <t>[64, 68, 89, 10]</t>
  </si>
  <si>
    <t>[64, 68, 94, 10]</t>
  </si>
  <si>
    <t>[64, 68, 99, 10]</t>
  </si>
  <si>
    <t>[64, 70, 104, 10]</t>
  </si>
  <si>
    <t>[64, 70, 109, 10]</t>
  </si>
  <si>
    <t>[64, 70, 114, 10]</t>
  </si>
  <si>
    <t>[64, 70, 119, 10]</t>
  </si>
  <si>
    <t>[64, 70, 124, 10]</t>
  </si>
  <si>
    <t>[64, 70, 129, 10]</t>
  </si>
  <si>
    <t>[64, 70, 64, 10]</t>
  </si>
  <si>
    <t>[64, 70, 69, 10]</t>
  </si>
  <si>
    <t>[64, 70, 74, 10]</t>
  </si>
  <si>
    <t>[64, 70, 79, 10]</t>
  </si>
  <si>
    <t>[64, 70, 84, 10]</t>
  </si>
  <si>
    <t>[64, 70, 89, 10]</t>
  </si>
  <si>
    <t>[64, 70, 94, 10]</t>
  </si>
  <si>
    <t>[64, 70, 99, 10]</t>
  </si>
  <si>
    <t>[64, 72, 104, 10]</t>
  </si>
  <si>
    <t>[64, 72, 109, 10]</t>
  </si>
  <si>
    <t>[64, 72, 114, 10]</t>
  </si>
  <si>
    <t>[64, 72, 119, 10]</t>
  </si>
  <si>
    <t>[64, 72, 124, 10]</t>
  </si>
  <si>
    <t>[64, 72, 129, 10]</t>
  </si>
  <si>
    <t>[64, 72, 64, 10]</t>
  </si>
  <si>
    <t>[64, 72, 69, 10]</t>
  </si>
  <si>
    <t>[64, 72, 74, 10]</t>
  </si>
  <si>
    <t>[64, 72, 79, 10]</t>
  </si>
  <si>
    <t>[64, 72, 84, 10]</t>
  </si>
  <si>
    <t>[64, 72, 89, 10]</t>
  </si>
  <si>
    <t>[64, 72, 94, 10]</t>
  </si>
  <si>
    <t>[64, 72, 99, 10]</t>
  </si>
  <si>
    <t>[64, 73, 10]</t>
  </si>
  <si>
    <t>[64, 78, 10]</t>
  </si>
  <si>
    <t>[64, 83, 10]</t>
  </si>
  <si>
    <t>[64, 88, 10]</t>
  </si>
  <si>
    <t>[64, 93, 10]</t>
  </si>
  <si>
    <t>[64, 98, 10]</t>
  </si>
  <si>
    <t>[64, 100, 10]</t>
  </si>
  <si>
    <t>[64, 102, 10]</t>
  </si>
  <si>
    <t>[64, 104, 10]</t>
  </si>
  <si>
    <t>[64, 106, 10]</t>
  </si>
  <si>
    <t>[64, 110, 10]</t>
  </si>
  <si>
    <t>[64, 112, 10]</t>
  </si>
  <si>
    <t>[64, 114, 10]</t>
  </si>
  <si>
    <t>[64, 116, 10]</t>
  </si>
  <si>
    <t>[64, 120, 10]</t>
  </si>
  <si>
    <t>[64, 122, 10]</t>
  </si>
  <si>
    <t>[64, 124, 10]</t>
  </si>
  <si>
    <t>[64, 126, 10]</t>
  </si>
  <si>
    <t>[64, 130, 10]</t>
  </si>
  <si>
    <t>[64, 50, 10]</t>
  </si>
  <si>
    <t>[64, 52, 10]</t>
  </si>
  <si>
    <t>[64, 54, 10]</t>
  </si>
  <si>
    <t>[64, 56, 10]</t>
  </si>
  <si>
    <t>[64, 60, 10]</t>
  </si>
  <si>
    <t>[64, 62, 10]</t>
  </si>
  <si>
    <t>[64, 64, 10]</t>
  </si>
  <si>
    <t>[64, 64, 66, 10]</t>
  </si>
  <si>
    <t>[64, 64, 68, 10]</t>
  </si>
  <si>
    <t>[64, 64, 70, 10]</t>
  </si>
  <si>
    <t>[64, 64, 72, 10]</t>
  </si>
  <si>
    <t>[64, 66, 10]</t>
  </si>
  <si>
    <t>[64, 70, 10]</t>
  </si>
  <si>
    <t>[64, 72, 10]</t>
  </si>
  <si>
    <t>[64, 74, 10]</t>
  </si>
  <si>
    <t>[64, 76, 10]</t>
  </si>
  <si>
    <t>[64, 80, 10]</t>
  </si>
  <si>
    <t>[64, 82, 10]</t>
  </si>
  <si>
    <t>[64, 84, 10]</t>
  </si>
  <si>
    <t>[64, 86, 10]</t>
  </si>
  <si>
    <t>[64, 90, 10]</t>
  </si>
  <si>
    <t>[64, 92, 10]</t>
  </si>
  <si>
    <t>[64, 94, 10]</t>
  </si>
  <si>
    <t>[64, 96, 10]</t>
  </si>
  <si>
    <t>Iris</t>
  </si>
  <si>
    <t>[4, 10, 4, 3]</t>
  </si>
  <si>
    <t>[4, 10, 9, 3]</t>
  </si>
  <si>
    <t>[4, 12, 4, 3]</t>
  </si>
  <si>
    <t>[4, 12, 9, 3]</t>
  </si>
  <si>
    <t>[4, 3, 3]</t>
  </si>
  <si>
    <t>[4, 4, 4, 3]</t>
  </si>
  <si>
    <t>[4, 4, 9, 3]</t>
  </si>
  <si>
    <t>[4, 6, 4, 3]</t>
  </si>
  <si>
    <t>[4, 6, 9, 3]</t>
  </si>
  <si>
    <t>[4, 8, 3]</t>
  </si>
  <si>
    <t>[4, 8, 4, 3]</t>
  </si>
  <si>
    <t>[4, 8, 9, 3]</t>
  </si>
  <si>
    <t>Wine</t>
  </si>
  <si>
    <t>[13, 13, 13, 3]</t>
  </si>
  <si>
    <t>[13, 13, 18, 3]</t>
  </si>
  <si>
    <t>[13, 13, 23, 3]</t>
  </si>
  <si>
    <t>[13, 14, 3]</t>
  </si>
  <si>
    <t>[13, 15, 13, 3]</t>
  </si>
  <si>
    <t>[13, 15, 18, 3]</t>
  </si>
  <si>
    <t>[13, 15, 23, 3]</t>
  </si>
  <si>
    <t>[13, 17, 13, 3]</t>
  </si>
  <si>
    <t>[13, 17, 18, 3]</t>
  </si>
  <si>
    <t>[13, 17, 23, 3]</t>
  </si>
  <si>
    <t>[13, 19, 13, 3]</t>
  </si>
  <si>
    <t>[13, 19, 18, 3]</t>
  </si>
  <si>
    <t>[13, 19, 23, 3]</t>
  </si>
  <si>
    <t>[13, 19, 3]</t>
  </si>
  <si>
    <t>[13, 21, 13, 3]</t>
  </si>
  <si>
    <t>[13, 21, 18, 3]</t>
  </si>
  <si>
    <t>[13, 21, 23, 3]</t>
  </si>
  <si>
    <t>[13, 24, 3]</t>
  </si>
  <si>
    <t>[13, 9, 3]</t>
  </si>
  <si>
    <t>params</t>
  </si>
  <si>
    <t>kan train</t>
  </si>
  <si>
    <t>kan val</t>
  </si>
  <si>
    <t>kan test</t>
  </si>
  <si>
    <t>mlp test</t>
  </si>
  <si>
    <t>mlp val</t>
  </si>
  <si>
    <t>mlp train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</si>
</sst>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</cellXfs>
  <cellStyles count="1">
    <cellStyle name="Normalny" xfId="0" builtinId="0"/>
  </cellStyles>
  <dxfs count="20"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border outline="0">
        <top style="thin">
          <color theme="9" tint="0.39997558519241921"/>
        </top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charset val="238"/>
        <scheme val="minor"/>
      </font>
      <fill>
        <patternFill patternType="solid">
          <fgColor theme="9"/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Digits!$AE$1</c:f>
              <c:strCache>
                <c:ptCount val="1"/>
                <c:pt idx="0">
                  <c:v>kan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Digits!$AE$2:$AE$304</c:f>
              <c:numCache>
                <c:formatCode>General</c:formatCode>
                <c:ptCount val="303"/>
                <c:pt idx="0">
                  <c:v>0.78235840996106465</c:v>
                </c:pt>
                <c:pt idx="1">
                  <c:v>0.67353761196136475</c:v>
                </c:pt>
                <c:pt idx="2">
                  <c:v>0.66053853034973142</c:v>
                </c:pt>
                <c:pt idx="3">
                  <c:v>0.47038068175315856</c:v>
                </c:pt>
                <c:pt idx="4">
                  <c:v>0.5442896962165833</c:v>
                </c:pt>
                <c:pt idx="5">
                  <c:v>0.6248839378356934</c:v>
                </c:pt>
                <c:pt idx="6">
                  <c:v>0.62302692532539372</c:v>
                </c:pt>
                <c:pt idx="7">
                  <c:v>0.23881151378154755</c:v>
                </c:pt>
                <c:pt idx="8">
                  <c:v>0.79034354686737063</c:v>
                </c:pt>
                <c:pt idx="9">
                  <c:v>0.64735375642776494</c:v>
                </c:pt>
                <c:pt idx="10">
                  <c:v>0.80705664157867429</c:v>
                </c:pt>
                <c:pt idx="11">
                  <c:v>0.18644382655620576</c:v>
                </c:pt>
                <c:pt idx="12">
                  <c:v>0.67223769426345825</c:v>
                </c:pt>
                <c:pt idx="13">
                  <c:v>0.85533888339996333</c:v>
                </c:pt>
                <c:pt idx="14">
                  <c:v>0.72516249418258671</c:v>
                </c:pt>
                <c:pt idx="15">
                  <c:v>8.8393686711788183E-2</c:v>
                </c:pt>
                <c:pt idx="16">
                  <c:v>0.20631383955478669</c:v>
                </c:pt>
                <c:pt idx="17">
                  <c:v>0.7013927698135376</c:v>
                </c:pt>
                <c:pt idx="18">
                  <c:v>0.64661094546318054</c:v>
                </c:pt>
                <c:pt idx="19">
                  <c:v>0.80724234580993648</c:v>
                </c:pt>
                <c:pt idx="20">
                  <c:v>0.11104921214282512</c:v>
                </c:pt>
                <c:pt idx="21">
                  <c:v>0.30139275491237638</c:v>
                </c:pt>
                <c:pt idx="22">
                  <c:v>0.71346331834793086</c:v>
                </c:pt>
                <c:pt idx="23">
                  <c:v>0.71216340065002437</c:v>
                </c:pt>
                <c:pt idx="24">
                  <c:v>0.64271123409271236</c:v>
                </c:pt>
                <c:pt idx="25">
                  <c:v>0.12720520049333572</c:v>
                </c:pt>
                <c:pt idx="26">
                  <c:v>0.69322189688682556</c:v>
                </c:pt>
                <c:pt idx="27">
                  <c:v>0.11142061427235603</c:v>
                </c:pt>
                <c:pt idx="28">
                  <c:v>0.75097494125366215</c:v>
                </c:pt>
                <c:pt idx="29">
                  <c:v>0.68430827856063847</c:v>
                </c:pt>
                <c:pt idx="30">
                  <c:v>0.26666667163372038</c:v>
                </c:pt>
                <c:pt idx="31">
                  <c:v>0.67353761196136475</c:v>
                </c:pt>
                <c:pt idx="32">
                  <c:v>0.71197772026062012</c:v>
                </c:pt>
                <c:pt idx="33">
                  <c:v>0.12219127416610717</c:v>
                </c:pt>
                <c:pt idx="34">
                  <c:v>0.18607242554426193</c:v>
                </c:pt>
                <c:pt idx="35">
                  <c:v>0.46908078491687777</c:v>
                </c:pt>
                <c:pt idx="36">
                  <c:v>0.20371402353048323</c:v>
                </c:pt>
                <c:pt idx="37">
                  <c:v>0.73184771537780757</c:v>
                </c:pt>
                <c:pt idx="38">
                  <c:v>0.70250695943832397</c:v>
                </c:pt>
                <c:pt idx="39">
                  <c:v>6.2766946107149127E-2</c:v>
                </c:pt>
                <c:pt idx="40">
                  <c:v>0.77474467754364018</c:v>
                </c:pt>
                <c:pt idx="41">
                  <c:v>0.16768802404403688</c:v>
                </c:pt>
                <c:pt idx="42">
                  <c:v>0.74317549467086796</c:v>
                </c:pt>
                <c:pt idx="43">
                  <c:v>0.23175487220287322</c:v>
                </c:pt>
                <c:pt idx="44">
                  <c:v>0.72869081497192378</c:v>
                </c:pt>
                <c:pt idx="45">
                  <c:v>0.73184772729873659</c:v>
                </c:pt>
                <c:pt idx="46">
                  <c:v>0.10194986164569855</c:v>
                </c:pt>
                <c:pt idx="47">
                  <c:v>0.71420613527297971</c:v>
                </c:pt>
                <c:pt idx="48">
                  <c:v>0.26610955893993377</c:v>
                </c:pt>
                <c:pt idx="49">
                  <c:v>0.65571030378341677</c:v>
                </c:pt>
                <c:pt idx="50">
                  <c:v>0.17567316591739654</c:v>
                </c:pt>
                <c:pt idx="51">
                  <c:v>0.79108636379241948</c:v>
                </c:pt>
                <c:pt idx="52">
                  <c:v>0.10436397455632687</c:v>
                </c:pt>
                <c:pt idx="53">
                  <c:v>0.63175488114356992</c:v>
                </c:pt>
                <c:pt idx="54">
                  <c:v>0.17418755292892457</c:v>
                </c:pt>
                <c:pt idx="55">
                  <c:v>0.79034353494644161</c:v>
                </c:pt>
                <c:pt idx="56">
                  <c:v>0.63881150484085081</c:v>
                </c:pt>
                <c:pt idx="57">
                  <c:v>0.1892293393611908</c:v>
                </c:pt>
                <c:pt idx="58">
                  <c:v>0.63528318405151363</c:v>
                </c:pt>
                <c:pt idx="59">
                  <c:v>0.11977716088294983</c:v>
                </c:pt>
                <c:pt idx="60">
                  <c:v>0.21039926111698151</c:v>
                </c:pt>
                <c:pt idx="61">
                  <c:v>0.12999071180820465</c:v>
                </c:pt>
                <c:pt idx="62">
                  <c:v>0.15951717793941497</c:v>
                </c:pt>
                <c:pt idx="63">
                  <c:v>0.66183843612670901</c:v>
                </c:pt>
                <c:pt idx="64">
                  <c:v>0.12609099298715593</c:v>
                </c:pt>
                <c:pt idx="65">
                  <c:v>0.75097492933273313</c:v>
                </c:pt>
                <c:pt idx="66">
                  <c:v>0.14410399347543718</c:v>
                </c:pt>
                <c:pt idx="67">
                  <c:v>0.81374187469482417</c:v>
                </c:pt>
                <c:pt idx="68">
                  <c:v>0.13184772431850433</c:v>
                </c:pt>
                <c:pt idx="69">
                  <c:v>0.20612813532352448</c:v>
                </c:pt>
                <c:pt idx="70">
                  <c:v>9.5636025071144104E-2</c:v>
                </c:pt>
                <c:pt idx="71">
                  <c:v>0.47892293930053709</c:v>
                </c:pt>
                <c:pt idx="72">
                  <c:v>8.8393689692020411E-2</c:v>
                </c:pt>
                <c:pt idx="73">
                  <c:v>0.21337047517299651</c:v>
                </c:pt>
                <c:pt idx="74">
                  <c:v>0.69897863864898679</c:v>
                </c:pt>
                <c:pt idx="75">
                  <c:v>0.15246053934097289</c:v>
                </c:pt>
                <c:pt idx="76">
                  <c:v>0.23491179049015046</c:v>
                </c:pt>
                <c:pt idx="77">
                  <c:v>0.23119777739048003</c:v>
                </c:pt>
                <c:pt idx="78">
                  <c:v>0.12887650877237319</c:v>
                </c:pt>
                <c:pt idx="79">
                  <c:v>0.1689879298210144</c:v>
                </c:pt>
                <c:pt idx="80">
                  <c:v>0.12999071627855302</c:v>
                </c:pt>
                <c:pt idx="81">
                  <c:v>0.14763230979442596</c:v>
                </c:pt>
                <c:pt idx="82">
                  <c:v>0.22636954933404924</c:v>
                </c:pt>
                <c:pt idx="83">
                  <c:v>0.317920146882534</c:v>
                </c:pt>
                <c:pt idx="84">
                  <c:v>0.16453110575675964</c:v>
                </c:pt>
                <c:pt idx="85">
                  <c:v>0.12720520049333572</c:v>
                </c:pt>
                <c:pt idx="86">
                  <c:v>0.10863509774208069</c:v>
                </c:pt>
                <c:pt idx="87">
                  <c:v>9.0622100420296198E-2</c:v>
                </c:pt>
                <c:pt idx="88">
                  <c:v>0.14558959901332855</c:v>
                </c:pt>
                <c:pt idx="89">
                  <c:v>0.26462396085262296</c:v>
                </c:pt>
                <c:pt idx="90">
                  <c:v>0.11272052079439163</c:v>
                </c:pt>
                <c:pt idx="91">
                  <c:v>0.12033426091074943</c:v>
                </c:pt>
                <c:pt idx="92">
                  <c:v>0.15208913534879684</c:v>
                </c:pt>
                <c:pt idx="93">
                  <c:v>0.17585886418819427</c:v>
                </c:pt>
                <c:pt idx="94">
                  <c:v>0.14336118996143341</c:v>
                </c:pt>
                <c:pt idx="95">
                  <c:v>0.10027855187654496</c:v>
                </c:pt>
                <c:pt idx="96">
                  <c:v>0.12646239548921584</c:v>
                </c:pt>
                <c:pt idx="97">
                  <c:v>0.40315692126750946</c:v>
                </c:pt>
                <c:pt idx="98">
                  <c:v>0.23862581551074982</c:v>
                </c:pt>
                <c:pt idx="99">
                  <c:v>0.17455896139144897</c:v>
                </c:pt>
                <c:pt idx="100">
                  <c:v>0.11643454283475876</c:v>
                </c:pt>
                <c:pt idx="101">
                  <c:v>0.18718662858009338</c:v>
                </c:pt>
                <c:pt idx="102">
                  <c:v>0.13407613784074784</c:v>
                </c:pt>
                <c:pt idx="103">
                  <c:v>0.188115131855011</c:v>
                </c:pt>
                <c:pt idx="104">
                  <c:v>0.10733518935739994</c:v>
                </c:pt>
                <c:pt idx="105">
                  <c:v>0.28802229017019271</c:v>
                </c:pt>
                <c:pt idx="106">
                  <c:v>0.10232126340270042</c:v>
                </c:pt>
                <c:pt idx="107">
                  <c:v>0.20891364365816117</c:v>
                </c:pt>
                <c:pt idx="108">
                  <c:v>0.11272052079439163</c:v>
                </c:pt>
                <c:pt idx="109">
                  <c:v>0.11123491376638413</c:v>
                </c:pt>
                <c:pt idx="110">
                  <c:v>0.10399257391691208</c:v>
                </c:pt>
                <c:pt idx="111">
                  <c:v>0.26072423607110978</c:v>
                </c:pt>
                <c:pt idx="112">
                  <c:v>9.5636025816202161E-2</c:v>
                </c:pt>
                <c:pt idx="113">
                  <c:v>0.31624884605407716</c:v>
                </c:pt>
                <c:pt idx="114">
                  <c:v>0.14688950926065444</c:v>
                </c:pt>
                <c:pt idx="115">
                  <c:v>8.3751160651445389E-2</c:v>
                </c:pt>
                <c:pt idx="116">
                  <c:v>0.13147632330656051</c:v>
                </c:pt>
                <c:pt idx="117">
                  <c:v>8.8579390197992325E-2</c:v>
                </c:pt>
                <c:pt idx="118">
                  <c:v>9.1550602763891223E-2</c:v>
                </c:pt>
                <c:pt idx="119">
                  <c:v>9.0436399728059766E-2</c:v>
                </c:pt>
                <c:pt idx="120">
                  <c:v>0.18440111577510834</c:v>
                </c:pt>
                <c:pt idx="121">
                  <c:v>0.1812441974878311</c:v>
                </c:pt>
                <c:pt idx="122">
                  <c:v>0.16174558848142623</c:v>
                </c:pt>
                <c:pt idx="123">
                  <c:v>0.28189414441585542</c:v>
                </c:pt>
                <c:pt idx="124">
                  <c:v>0.15227483808994294</c:v>
                </c:pt>
                <c:pt idx="125">
                  <c:v>9.972144961357117E-2</c:v>
                </c:pt>
                <c:pt idx="126">
                  <c:v>0.10510677695274354</c:v>
                </c:pt>
                <c:pt idx="127">
                  <c:v>0.11420612707734108</c:v>
                </c:pt>
                <c:pt idx="128">
                  <c:v>0.13686165362596511</c:v>
                </c:pt>
                <c:pt idx="129">
                  <c:v>0.10232126340270042</c:v>
                </c:pt>
                <c:pt idx="130">
                  <c:v>9.0807799994945523E-2</c:v>
                </c:pt>
                <c:pt idx="131">
                  <c:v>0.36508821099996569</c:v>
                </c:pt>
                <c:pt idx="132">
                  <c:v>0.14707520902156829</c:v>
                </c:pt>
                <c:pt idx="133">
                  <c:v>0.11364902555942535</c:v>
                </c:pt>
                <c:pt idx="134">
                  <c:v>0.11513463705778122</c:v>
                </c:pt>
                <c:pt idx="135">
                  <c:v>0.17753017842769622</c:v>
                </c:pt>
                <c:pt idx="136">
                  <c:v>0.24048282206058502</c:v>
                </c:pt>
                <c:pt idx="137">
                  <c:v>0.11977715790271759</c:v>
                </c:pt>
                <c:pt idx="138">
                  <c:v>8.393686190247536E-2</c:v>
                </c:pt>
                <c:pt idx="139">
                  <c:v>0.24531105011701584</c:v>
                </c:pt>
                <c:pt idx="140">
                  <c:v>0.18402971029281617</c:v>
                </c:pt>
                <c:pt idx="141">
                  <c:v>0.19182915389537811</c:v>
                </c:pt>
                <c:pt idx="142">
                  <c:v>9.1736305505037308E-2</c:v>
                </c:pt>
                <c:pt idx="143">
                  <c:v>0.1370473548769951</c:v>
                </c:pt>
                <c:pt idx="144">
                  <c:v>0.10362117141485214</c:v>
                </c:pt>
                <c:pt idx="145">
                  <c:v>0.1114206150174141</c:v>
                </c:pt>
                <c:pt idx="146">
                  <c:v>0.1199628584086895</c:v>
                </c:pt>
                <c:pt idx="147">
                  <c:v>0.10083565413951874</c:v>
                </c:pt>
                <c:pt idx="148">
                  <c:v>0.18440111875534057</c:v>
                </c:pt>
                <c:pt idx="149">
                  <c:v>0.2181987002491951</c:v>
                </c:pt>
                <c:pt idx="150">
                  <c:v>0.12033426314592362</c:v>
                </c:pt>
                <c:pt idx="151">
                  <c:v>0.26648096591234205</c:v>
                </c:pt>
                <c:pt idx="152">
                  <c:v>0.10974930375814437</c:v>
                </c:pt>
                <c:pt idx="153">
                  <c:v>0.11730114494760831</c:v>
                </c:pt>
                <c:pt idx="154">
                  <c:v>7.8737232834100723E-2</c:v>
                </c:pt>
                <c:pt idx="155">
                  <c:v>0.11012070626020432</c:v>
                </c:pt>
                <c:pt idx="156">
                  <c:v>0.12423398494720458</c:v>
                </c:pt>
                <c:pt idx="157">
                  <c:v>0.18885793685913085</c:v>
                </c:pt>
                <c:pt idx="158">
                  <c:v>0.14466109871864319</c:v>
                </c:pt>
                <c:pt idx="159">
                  <c:v>0.12423398196697236</c:v>
                </c:pt>
                <c:pt idx="160">
                  <c:v>0.11179201602935791</c:v>
                </c:pt>
                <c:pt idx="161">
                  <c:v>0.26555246412754058</c:v>
                </c:pt>
                <c:pt idx="162">
                  <c:v>0.32274838238954545</c:v>
                </c:pt>
                <c:pt idx="163">
                  <c:v>9.4707519933581355E-2</c:v>
                </c:pt>
                <c:pt idx="164">
                  <c:v>0.10454967617988586</c:v>
                </c:pt>
                <c:pt idx="165">
                  <c:v>9.3221914023160934E-2</c:v>
                </c:pt>
                <c:pt idx="166">
                  <c:v>0.14670380800962449</c:v>
                </c:pt>
                <c:pt idx="167">
                  <c:v>0.12033426016569138</c:v>
                </c:pt>
                <c:pt idx="168">
                  <c:v>0.1021355614066124</c:v>
                </c:pt>
                <c:pt idx="169">
                  <c:v>0.31847724914550779</c:v>
                </c:pt>
                <c:pt idx="170">
                  <c:v>0.19071495234966279</c:v>
                </c:pt>
                <c:pt idx="171">
                  <c:v>0.11272051967680455</c:v>
                </c:pt>
                <c:pt idx="172">
                  <c:v>0.13853296339511872</c:v>
                </c:pt>
                <c:pt idx="173">
                  <c:v>0.23026926964521408</c:v>
                </c:pt>
                <c:pt idx="174">
                  <c:v>0.14280408322811128</c:v>
                </c:pt>
                <c:pt idx="175">
                  <c:v>0.10659238845109939</c:v>
                </c:pt>
                <c:pt idx="176">
                  <c:v>0.10733519047498703</c:v>
                </c:pt>
                <c:pt idx="177">
                  <c:v>0.31067781299352648</c:v>
                </c:pt>
                <c:pt idx="178">
                  <c:v>0.18867223858833312</c:v>
                </c:pt>
                <c:pt idx="179">
                  <c:v>8.8393686711788183E-2</c:v>
                </c:pt>
                <c:pt idx="180">
                  <c:v>0.10324976891279221</c:v>
                </c:pt>
                <c:pt idx="181">
                  <c:v>0.12739090025424957</c:v>
                </c:pt>
                <c:pt idx="182">
                  <c:v>9.3593315035104749E-2</c:v>
                </c:pt>
                <c:pt idx="183">
                  <c:v>9.3964718282222748E-2</c:v>
                </c:pt>
                <c:pt idx="184">
                  <c:v>0.11494893282651901</c:v>
                </c:pt>
                <c:pt idx="185">
                  <c:v>0.11309192329645157</c:v>
                </c:pt>
                <c:pt idx="186">
                  <c:v>0.21708449274301528</c:v>
                </c:pt>
                <c:pt idx="187">
                  <c:v>9.9535749107599256E-2</c:v>
                </c:pt>
                <c:pt idx="188">
                  <c:v>0.11309192180633545</c:v>
                </c:pt>
                <c:pt idx="189">
                  <c:v>0.18458681106567382</c:v>
                </c:pt>
                <c:pt idx="190">
                  <c:v>0.11829155236482621</c:v>
                </c:pt>
                <c:pt idx="191">
                  <c:v>0.1277623012661934</c:v>
                </c:pt>
                <c:pt idx="192">
                  <c:v>0.10454967468976975</c:v>
                </c:pt>
                <c:pt idx="193">
                  <c:v>0.1129062220454216</c:v>
                </c:pt>
                <c:pt idx="194">
                  <c:v>0.12126276940107346</c:v>
                </c:pt>
                <c:pt idx="195">
                  <c:v>6.982358247041702E-2</c:v>
                </c:pt>
                <c:pt idx="196">
                  <c:v>0.13667595088481904</c:v>
                </c:pt>
                <c:pt idx="197">
                  <c:v>0.14168987870216371</c:v>
                </c:pt>
                <c:pt idx="198">
                  <c:v>0.21949860453605652</c:v>
                </c:pt>
                <c:pt idx="199">
                  <c:v>0.13686165809631348</c:v>
                </c:pt>
                <c:pt idx="200">
                  <c:v>0.1015784576535225</c:v>
                </c:pt>
                <c:pt idx="201">
                  <c:v>0.11717734485864639</c:v>
                </c:pt>
                <c:pt idx="202">
                  <c:v>0.15673165917396545</c:v>
                </c:pt>
                <c:pt idx="203">
                  <c:v>8.9507892727851868E-2</c:v>
                </c:pt>
                <c:pt idx="204">
                  <c:v>9.3779017527898148E-2</c:v>
                </c:pt>
                <c:pt idx="205">
                  <c:v>9.4893223047256475E-2</c:v>
                </c:pt>
                <c:pt idx="206">
                  <c:v>9.2479109019041064E-2</c:v>
                </c:pt>
                <c:pt idx="207">
                  <c:v>0.12906221151351929</c:v>
                </c:pt>
                <c:pt idx="208">
                  <c:v>0.19610027670860292</c:v>
                </c:pt>
                <c:pt idx="209">
                  <c:v>0.11643453985452652</c:v>
                </c:pt>
                <c:pt idx="210">
                  <c:v>0.11662024110555649</c:v>
                </c:pt>
                <c:pt idx="211">
                  <c:v>8.2079851627349848E-2</c:v>
                </c:pt>
                <c:pt idx="212">
                  <c:v>0.11494893282651901</c:v>
                </c:pt>
                <c:pt idx="213">
                  <c:v>0.13351903408765792</c:v>
                </c:pt>
                <c:pt idx="214">
                  <c:v>0.10529247969388962</c:v>
                </c:pt>
                <c:pt idx="215">
                  <c:v>0.16583100855350494</c:v>
                </c:pt>
                <c:pt idx="216">
                  <c:v>0.11847725063562393</c:v>
                </c:pt>
                <c:pt idx="217">
                  <c:v>0.1405756726861</c:v>
                </c:pt>
                <c:pt idx="218">
                  <c:v>0.11996285766363143</c:v>
                </c:pt>
                <c:pt idx="219">
                  <c:v>0.10677808672189712</c:v>
                </c:pt>
                <c:pt idx="220">
                  <c:v>0.12256267368793487</c:v>
                </c:pt>
                <c:pt idx="221">
                  <c:v>0.11959145739674568</c:v>
                </c:pt>
                <c:pt idx="222">
                  <c:v>8.1894151121377948E-2</c:v>
                </c:pt>
                <c:pt idx="223">
                  <c:v>0.21039925813674926</c:v>
                </c:pt>
                <c:pt idx="224">
                  <c:v>0.11847725361585618</c:v>
                </c:pt>
                <c:pt idx="225">
                  <c:v>0.28152274936437605</c:v>
                </c:pt>
                <c:pt idx="226">
                  <c:v>9.5821724832057947E-2</c:v>
                </c:pt>
                <c:pt idx="227">
                  <c:v>0.10603528469800949</c:v>
                </c:pt>
                <c:pt idx="228">
                  <c:v>0.10399257317185402</c:v>
                </c:pt>
                <c:pt idx="229">
                  <c:v>0.10547817945480346</c:v>
                </c:pt>
                <c:pt idx="230">
                  <c:v>8.8950788974761968E-2</c:v>
                </c:pt>
                <c:pt idx="231">
                  <c:v>0.10882080048322677</c:v>
                </c:pt>
                <c:pt idx="232">
                  <c:v>0.20241411626338959</c:v>
                </c:pt>
                <c:pt idx="233">
                  <c:v>0.10584958344697952</c:v>
                </c:pt>
                <c:pt idx="234">
                  <c:v>0.15023212879896164</c:v>
                </c:pt>
                <c:pt idx="235">
                  <c:v>0.15803157091140746</c:v>
                </c:pt>
                <c:pt idx="236">
                  <c:v>0.10993500500917434</c:v>
                </c:pt>
                <c:pt idx="237">
                  <c:v>0.13277623206377029</c:v>
                </c:pt>
                <c:pt idx="238">
                  <c:v>8.1151346117258077E-2</c:v>
                </c:pt>
                <c:pt idx="239">
                  <c:v>0.13649025261402131</c:v>
                </c:pt>
                <c:pt idx="240">
                  <c:v>0.10473537445068359</c:v>
                </c:pt>
                <c:pt idx="241">
                  <c:v>0.19294336140155793</c:v>
                </c:pt>
                <c:pt idx="242">
                  <c:v>0.23491179049015046</c:v>
                </c:pt>
                <c:pt idx="243">
                  <c:v>0.2228412300348282</c:v>
                </c:pt>
                <c:pt idx="244">
                  <c:v>0.28616527915000917</c:v>
                </c:pt>
                <c:pt idx="245">
                  <c:v>0.12739089876413345</c:v>
                </c:pt>
                <c:pt idx="246">
                  <c:v>9.7864438593387601E-2</c:v>
                </c:pt>
                <c:pt idx="247">
                  <c:v>0.16137418597936631</c:v>
                </c:pt>
                <c:pt idx="248">
                  <c:v>0.10139275789260864</c:v>
                </c:pt>
                <c:pt idx="249">
                  <c:v>0.13091922104358672</c:v>
                </c:pt>
                <c:pt idx="250">
                  <c:v>0.18031569123268126</c:v>
                </c:pt>
                <c:pt idx="251">
                  <c:v>0.27539461702108381</c:v>
                </c:pt>
                <c:pt idx="252">
                  <c:v>0.11606313809752464</c:v>
                </c:pt>
                <c:pt idx="253">
                  <c:v>0.21504178643226624</c:v>
                </c:pt>
                <c:pt idx="254">
                  <c:v>0.1877437338232994</c:v>
                </c:pt>
                <c:pt idx="255">
                  <c:v>8.5886724293231964E-2</c:v>
                </c:pt>
                <c:pt idx="256">
                  <c:v>6.3695449382066727E-2</c:v>
                </c:pt>
                <c:pt idx="257">
                  <c:v>0.2189415067434311</c:v>
                </c:pt>
                <c:pt idx="258">
                  <c:v>0.33630454540252686</c:v>
                </c:pt>
                <c:pt idx="259">
                  <c:v>0.22766945213079454</c:v>
                </c:pt>
                <c:pt idx="260">
                  <c:v>0.14261838644742966</c:v>
                </c:pt>
                <c:pt idx="261">
                  <c:v>9.1922004520893094E-2</c:v>
                </c:pt>
                <c:pt idx="262">
                  <c:v>0.23714020997285842</c:v>
                </c:pt>
                <c:pt idx="263">
                  <c:v>0.18644382655620576</c:v>
                </c:pt>
                <c:pt idx="264">
                  <c:v>0.1604456827044487</c:v>
                </c:pt>
                <c:pt idx="265">
                  <c:v>0.21448467969894408</c:v>
                </c:pt>
                <c:pt idx="266">
                  <c:v>8.8207984715700155E-2</c:v>
                </c:pt>
                <c:pt idx="267">
                  <c:v>0.15078922957181931</c:v>
                </c:pt>
                <c:pt idx="268">
                  <c:v>0.23119777292013169</c:v>
                </c:pt>
                <c:pt idx="269">
                  <c:v>0.15896007418632507</c:v>
                </c:pt>
                <c:pt idx="270">
                  <c:v>0.27632311582565305</c:v>
                </c:pt>
                <c:pt idx="271">
                  <c:v>0.14893221855163574</c:v>
                </c:pt>
                <c:pt idx="272">
                  <c:v>0.28820798397064207</c:v>
                </c:pt>
                <c:pt idx="273">
                  <c:v>0.14298978447914124</c:v>
                </c:pt>
                <c:pt idx="274">
                  <c:v>0.22878365814685822</c:v>
                </c:pt>
                <c:pt idx="275">
                  <c:v>0.21467038094997407</c:v>
                </c:pt>
                <c:pt idx="276">
                  <c:v>0.19721448570489883</c:v>
                </c:pt>
                <c:pt idx="277">
                  <c:v>0.17641597241163254</c:v>
                </c:pt>
                <c:pt idx="278">
                  <c:v>0.2826369494199753</c:v>
                </c:pt>
                <c:pt idx="279">
                  <c:v>0.26926648318767549</c:v>
                </c:pt>
                <c:pt idx="280">
                  <c:v>0.30343546867370608</c:v>
                </c:pt>
                <c:pt idx="281">
                  <c:v>0.34911792278289794</c:v>
                </c:pt>
                <c:pt idx="282">
                  <c:v>0.26685237288475039</c:v>
                </c:pt>
                <c:pt idx="283">
                  <c:v>0.22432683110237123</c:v>
                </c:pt>
                <c:pt idx="284">
                  <c:v>0.16917362958192825</c:v>
                </c:pt>
                <c:pt idx="285">
                  <c:v>0.25032497793436048</c:v>
                </c:pt>
                <c:pt idx="286">
                  <c:v>0.1988857939839363</c:v>
                </c:pt>
                <c:pt idx="287">
                  <c:v>0.25199628770351412</c:v>
                </c:pt>
                <c:pt idx="288">
                  <c:v>0.23676880598068237</c:v>
                </c:pt>
                <c:pt idx="289">
                  <c:v>0.1773444727063179</c:v>
                </c:pt>
                <c:pt idx="290">
                  <c:v>0.18607242554426193</c:v>
                </c:pt>
                <c:pt idx="291">
                  <c:v>0.27075209021568297</c:v>
                </c:pt>
                <c:pt idx="292">
                  <c:v>0.19814299196004867</c:v>
                </c:pt>
                <c:pt idx="293">
                  <c:v>0.11104921251535416</c:v>
                </c:pt>
                <c:pt idx="294">
                  <c:v>0.17920148819684983</c:v>
                </c:pt>
                <c:pt idx="295">
                  <c:v>0.19665738046169282</c:v>
                </c:pt>
                <c:pt idx="296">
                  <c:v>0.17400185912847518</c:v>
                </c:pt>
                <c:pt idx="297">
                  <c:v>0.25236769020557404</c:v>
                </c:pt>
                <c:pt idx="298">
                  <c:v>0.18365830928087234</c:v>
                </c:pt>
                <c:pt idx="299">
                  <c:v>0.13779015913605691</c:v>
                </c:pt>
                <c:pt idx="300">
                  <c:v>0.21875580251216889</c:v>
                </c:pt>
                <c:pt idx="301">
                  <c:v>0.22841225862503051</c:v>
                </c:pt>
                <c:pt idx="302">
                  <c:v>0.24103992581367492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D6-414F-A54F-21F0C936B869}"/>
            </c:ext>
          </c:extLst>
        </c:ser>
        <c:ser>
          <c:idx val="1"/>
          <c:order val="1"/>
          <c:tx>
            <c:strRef>
              <c:f>Digits!$AF$1</c:f>
              <c:strCache>
                <c:ptCount val="1"/>
                <c:pt idx="0">
                  <c:v>kan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Digits!$AF$2:$AF$304</c:f>
              <c:numCache>
                <c:formatCode>General</c:formatCode>
                <c:ptCount val="303"/>
                <c:pt idx="0">
                  <c:v>0.79802469015121458</c:v>
                </c:pt>
                <c:pt idx="1">
                  <c:v>0.72148147821426389</c:v>
                </c:pt>
                <c:pt idx="2">
                  <c:v>0.69629629850387575</c:v>
                </c:pt>
                <c:pt idx="3">
                  <c:v>0.52444445490837099</c:v>
                </c:pt>
                <c:pt idx="4">
                  <c:v>0.61037036776542664</c:v>
                </c:pt>
                <c:pt idx="5">
                  <c:v>0.70370371341705318</c:v>
                </c:pt>
                <c:pt idx="6">
                  <c:v>0.67407406568527217</c:v>
                </c:pt>
                <c:pt idx="7">
                  <c:v>0.33851851820945739</c:v>
                </c:pt>
                <c:pt idx="8">
                  <c:v>0.79333333969116215</c:v>
                </c:pt>
                <c:pt idx="9">
                  <c:v>0.68962963819503786</c:v>
                </c:pt>
                <c:pt idx="10">
                  <c:v>0.79333332777023313</c:v>
                </c:pt>
                <c:pt idx="11">
                  <c:v>0.31111110448837281</c:v>
                </c:pt>
                <c:pt idx="12">
                  <c:v>0.70296295881271365</c:v>
                </c:pt>
                <c:pt idx="13">
                  <c:v>0.84370369911193843</c:v>
                </c:pt>
                <c:pt idx="14">
                  <c:v>0.73703705072402959</c:v>
                </c:pt>
                <c:pt idx="15">
                  <c:v>0.26222221851348876</c:v>
                </c:pt>
                <c:pt idx="16">
                  <c:v>0.39555555582046509</c:v>
                </c:pt>
                <c:pt idx="17">
                  <c:v>0.76370369195938115</c:v>
                </c:pt>
                <c:pt idx="18">
                  <c:v>0.70222222805023193</c:v>
                </c:pt>
                <c:pt idx="19">
                  <c:v>0.79629629850387573</c:v>
                </c:pt>
                <c:pt idx="20">
                  <c:v>0.21333333551883699</c:v>
                </c:pt>
                <c:pt idx="21">
                  <c:v>0.5088888823986053</c:v>
                </c:pt>
                <c:pt idx="22">
                  <c:v>0.72740740776062007</c:v>
                </c:pt>
                <c:pt idx="23">
                  <c:v>0.76666666269302364</c:v>
                </c:pt>
                <c:pt idx="24">
                  <c:v>0.67481480836868291</c:v>
                </c:pt>
                <c:pt idx="25">
                  <c:v>0.28592593669891359</c:v>
                </c:pt>
                <c:pt idx="26">
                  <c:v>0.72296296358108525</c:v>
                </c:pt>
                <c:pt idx="27">
                  <c:v>0.2088888853788376</c:v>
                </c:pt>
                <c:pt idx="28">
                  <c:v>0.75407407283782957</c:v>
                </c:pt>
                <c:pt idx="29">
                  <c:v>0.78148149251937871</c:v>
                </c:pt>
                <c:pt idx="30">
                  <c:v>0.39037036895751953</c:v>
                </c:pt>
                <c:pt idx="31">
                  <c:v>0.75777778625488279</c:v>
                </c:pt>
                <c:pt idx="32">
                  <c:v>0.73185185194015501</c:v>
                </c:pt>
                <c:pt idx="33">
                  <c:v>0.23407407402992247</c:v>
                </c:pt>
                <c:pt idx="34">
                  <c:v>0.31777777671813967</c:v>
                </c:pt>
                <c:pt idx="35">
                  <c:v>0.53777776956558232</c:v>
                </c:pt>
                <c:pt idx="36">
                  <c:v>0.36814814805984497</c:v>
                </c:pt>
                <c:pt idx="37">
                  <c:v>0.79037036895751955</c:v>
                </c:pt>
                <c:pt idx="38">
                  <c:v>0.76592592000961301</c:v>
                </c:pt>
                <c:pt idx="39">
                  <c:v>0.21111111342906952</c:v>
                </c:pt>
                <c:pt idx="40">
                  <c:v>0.81999999284744263</c:v>
                </c:pt>
                <c:pt idx="41">
                  <c:v>0.34518518447875979</c:v>
                </c:pt>
                <c:pt idx="42">
                  <c:v>0.75259259939193723</c:v>
                </c:pt>
                <c:pt idx="43">
                  <c:v>0.36370369791984558</c:v>
                </c:pt>
                <c:pt idx="44">
                  <c:v>0.71407407522201538</c:v>
                </c:pt>
                <c:pt idx="45">
                  <c:v>0.74592591524124141</c:v>
                </c:pt>
                <c:pt idx="46">
                  <c:v>0.25333333015441895</c:v>
                </c:pt>
                <c:pt idx="47">
                  <c:v>0.75111110210418697</c:v>
                </c:pt>
                <c:pt idx="48">
                  <c:v>0.36444444656372071</c:v>
                </c:pt>
                <c:pt idx="49">
                  <c:v>0.71333332061767574</c:v>
                </c:pt>
                <c:pt idx="50">
                  <c:v>0.2977777808904648</c:v>
                </c:pt>
                <c:pt idx="51">
                  <c:v>0.8051851868629456</c:v>
                </c:pt>
                <c:pt idx="52">
                  <c:v>0.28148148059844968</c:v>
                </c:pt>
                <c:pt idx="53">
                  <c:v>0.68370370864868169</c:v>
                </c:pt>
                <c:pt idx="54">
                  <c:v>0.28814814984798431</c:v>
                </c:pt>
                <c:pt idx="55">
                  <c:v>0.79777777194976807</c:v>
                </c:pt>
                <c:pt idx="56">
                  <c:v>0.7</c:v>
                </c:pt>
                <c:pt idx="57">
                  <c:v>0.2911111146211624</c:v>
                </c:pt>
                <c:pt idx="58">
                  <c:v>0.680740749835968</c:v>
                </c:pt>
                <c:pt idx="59">
                  <c:v>0.26592592597007753</c:v>
                </c:pt>
                <c:pt idx="60">
                  <c:v>0.2970370352268219</c:v>
                </c:pt>
                <c:pt idx="61">
                  <c:v>0.30370369553565979</c:v>
                </c:pt>
                <c:pt idx="62">
                  <c:v>0.25407407283782957</c:v>
                </c:pt>
                <c:pt idx="63">
                  <c:v>0.68592592477798464</c:v>
                </c:pt>
                <c:pt idx="64">
                  <c:v>0.22444444000720978</c:v>
                </c:pt>
                <c:pt idx="65">
                  <c:v>0.78370369672775264</c:v>
                </c:pt>
                <c:pt idx="66">
                  <c:v>0.24074074029922485</c:v>
                </c:pt>
                <c:pt idx="67">
                  <c:v>0.78962962627410893</c:v>
                </c:pt>
                <c:pt idx="68">
                  <c:v>0.31111112236976624</c:v>
                </c:pt>
                <c:pt idx="69">
                  <c:v>0.35407407879829406</c:v>
                </c:pt>
                <c:pt idx="70">
                  <c:v>0.14444445073604584</c:v>
                </c:pt>
                <c:pt idx="71">
                  <c:v>0.51629630327224729</c:v>
                </c:pt>
                <c:pt idx="72">
                  <c:v>0.23629629313945771</c:v>
                </c:pt>
                <c:pt idx="73">
                  <c:v>0.33555556237697604</c:v>
                </c:pt>
                <c:pt idx="74">
                  <c:v>0.74740740060806277</c:v>
                </c:pt>
                <c:pt idx="75">
                  <c:v>0.31925926208496092</c:v>
                </c:pt>
                <c:pt idx="76">
                  <c:v>0.29407407045364381</c:v>
                </c:pt>
                <c:pt idx="77">
                  <c:v>0.35925925970077516</c:v>
                </c:pt>
                <c:pt idx="78">
                  <c:v>0.30518518090248109</c:v>
                </c:pt>
                <c:pt idx="79">
                  <c:v>0.23555555641651155</c:v>
                </c:pt>
                <c:pt idx="80">
                  <c:v>0.18518518507480622</c:v>
                </c:pt>
                <c:pt idx="81">
                  <c:v>0.2214814841747284</c:v>
                </c:pt>
                <c:pt idx="82">
                  <c:v>0.3711111068725586</c:v>
                </c:pt>
                <c:pt idx="83">
                  <c:v>0.49925926923751829</c:v>
                </c:pt>
                <c:pt idx="84">
                  <c:v>0.25703704059123994</c:v>
                </c:pt>
                <c:pt idx="85">
                  <c:v>0.21407407224178315</c:v>
                </c:pt>
                <c:pt idx="86">
                  <c:v>0.23555555641651155</c:v>
                </c:pt>
                <c:pt idx="87">
                  <c:v>0.19185185432434082</c:v>
                </c:pt>
                <c:pt idx="88">
                  <c:v>0.2133333295583725</c:v>
                </c:pt>
                <c:pt idx="89">
                  <c:v>0.41851852536201478</c:v>
                </c:pt>
                <c:pt idx="90">
                  <c:v>0.23259259462356568</c:v>
                </c:pt>
                <c:pt idx="91">
                  <c:v>0.20962962806224822</c:v>
                </c:pt>
                <c:pt idx="92">
                  <c:v>0.32074073851108553</c:v>
                </c:pt>
                <c:pt idx="93">
                  <c:v>0.28962963521480561</c:v>
                </c:pt>
                <c:pt idx="94">
                  <c:v>0.30296297073364259</c:v>
                </c:pt>
                <c:pt idx="95">
                  <c:v>0.20148148536682128</c:v>
                </c:pt>
                <c:pt idx="96">
                  <c:v>0.21333333253860473</c:v>
                </c:pt>
                <c:pt idx="97">
                  <c:v>0.5274074107408524</c:v>
                </c:pt>
                <c:pt idx="98">
                  <c:v>0.409629625082016</c:v>
                </c:pt>
                <c:pt idx="99">
                  <c:v>0.31629629731178283</c:v>
                </c:pt>
                <c:pt idx="100">
                  <c:v>0.21111111342906952</c:v>
                </c:pt>
                <c:pt idx="101">
                  <c:v>0.31259258985519411</c:v>
                </c:pt>
                <c:pt idx="102">
                  <c:v>0.18962962925434113</c:v>
                </c:pt>
                <c:pt idx="103">
                  <c:v>0.29037037193775178</c:v>
                </c:pt>
                <c:pt idx="104">
                  <c:v>0.19407407641410829</c:v>
                </c:pt>
                <c:pt idx="105">
                  <c:v>0.34074074625968931</c:v>
                </c:pt>
                <c:pt idx="106">
                  <c:v>0.19111111462116243</c:v>
                </c:pt>
                <c:pt idx="107">
                  <c:v>0.3</c:v>
                </c:pt>
                <c:pt idx="108">
                  <c:v>0.18962963223457335</c:v>
                </c:pt>
                <c:pt idx="109">
                  <c:v>0.27851851880550382</c:v>
                </c:pt>
                <c:pt idx="110">
                  <c:v>0.18740740567445754</c:v>
                </c:pt>
                <c:pt idx="111">
                  <c:v>0.40222222805023194</c:v>
                </c:pt>
                <c:pt idx="112">
                  <c:v>0.20666666924953461</c:v>
                </c:pt>
                <c:pt idx="113">
                  <c:v>0.42814814448356631</c:v>
                </c:pt>
                <c:pt idx="114">
                  <c:v>0.29037036597728727</c:v>
                </c:pt>
                <c:pt idx="115">
                  <c:v>0.23037037253379822</c:v>
                </c:pt>
                <c:pt idx="116">
                  <c:v>0.19851851761341094</c:v>
                </c:pt>
                <c:pt idx="117">
                  <c:v>0.19407407939434052</c:v>
                </c:pt>
                <c:pt idx="118">
                  <c:v>0.2088888853788376</c:v>
                </c:pt>
                <c:pt idx="119">
                  <c:v>0.20962962806224822</c:v>
                </c:pt>
                <c:pt idx="120">
                  <c:v>0.29851851463317869</c:v>
                </c:pt>
                <c:pt idx="121">
                  <c:v>0.2703703701496124</c:v>
                </c:pt>
                <c:pt idx="122">
                  <c:v>0.26222222149372099</c:v>
                </c:pt>
                <c:pt idx="123">
                  <c:v>0.38740740716457367</c:v>
                </c:pt>
                <c:pt idx="124">
                  <c:v>0.24000000655651094</c:v>
                </c:pt>
                <c:pt idx="125">
                  <c:v>0.18740740716457366</c:v>
                </c:pt>
                <c:pt idx="126">
                  <c:v>0.1925925925374031</c:v>
                </c:pt>
                <c:pt idx="127">
                  <c:v>0.21037037074565887</c:v>
                </c:pt>
                <c:pt idx="128">
                  <c:v>0.3303703725337982</c:v>
                </c:pt>
                <c:pt idx="129">
                  <c:v>0.25555557012557983</c:v>
                </c:pt>
                <c:pt idx="130">
                  <c:v>0.19333333075046538</c:v>
                </c:pt>
                <c:pt idx="131">
                  <c:v>0.51259259283542635</c:v>
                </c:pt>
                <c:pt idx="132">
                  <c:v>0.27703703343868258</c:v>
                </c:pt>
                <c:pt idx="133">
                  <c:v>0.16592592597007752</c:v>
                </c:pt>
                <c:pt idx="134">
                  <c:v>0.17925926446914672</c:v>
                </c:pt>
                <c:pt idx="135">
                  <c:v>0.22518518865108489</c:v>
                </c:pt>
                <c:pt idx="136">
                  <c:v>0.33259259462356566</c:v>
                </c:pt>
                <c:pt idx="137">
                  <c:v>0.19703703522682189</c:v>
                </c:pt>
                <c:pt idx="138">
                  <c:v>0.22666666805744171</c:v>
                </c:pt>
                <c:pt idx="139">
                  <c:v>0.33407407701015474</c:v>
                </c:pt>
                <c:pt idx="140">
                  <c:v>0.2622222274541855</c:v>
                </c:pt>
                <c:pt idx="141">
                  <c:v>0.34888888895511627</c:v>
                </c:pt>
                <c:pt idx="142">
                  <c:v>0.17111110985279082</c:v>
                </c:pt>
                <c:pt idx="143">
                  <c:v>0.19037036597728729</c:v>
                </c:pt>
                <c:pt idx="144">
                  <c:v>0.27555555403232573</c:v>
                </c:pt>
                <c:pt idx="145">
                  <c:v>0.22370370626449584</c:v>
                </c:pt>
                <c:pt idx="146">
                  <c:v>0.16148148179054261</c:v>
                </c:pt>
                <c:pt idx="147">
                  <c:v>0.19185185134410859</c:v>
                </c:pt>
                <c:pt idx="148">
                  <c:v>0.31185185313224795</c:v>
                </c:pt>
                <c:pt idx="149">
                  <c:v>0.31111111938953401</c:v>
                </c:pt>
                <c:pt idx="150">
                  <c:v>0.21925925910472871</c:v>
                </c:pt>
                <c:pt idx="151">
                  <c:v>0.33037036955356597</c:v>
                </c:pt>
                <c:pt idx="152">
                  <c:v>0.20814814865589143</c:v>
                </c:pt>
                <c:pt idx="153">
                  <c:v>0.20000000298023224</c:v>
                </c:pt>
                <c:pt idx="154">
                  <c:v>0.18888888657093048</c:v>
                </c:pt>
                <c:pt idx="155">
                  <c:v>0.19629628956317902</c:v>
                </c:pt>
                <c:pt idx="156">
                  <c:v>0.23629629611968994</c:v>
                </c:pt>
                <c:pt idx="157">
                  <c:v>0.27185184955596925</c:v>
                </c:pt>
                <c:pt idx="158">
                  <c:v>0.27037037312984469</c:v>
                </c:pt>
                <c:pt idx="159">
                  <c:v>0.1770370364189148</c:v>
                </c:pt>
                <c:pt idx="160">
                  <c:v>0.16222222447395324</c:v>
                </c:pt>
                <c:pt idx="161">
                  <c:v>0.41777777671813965</c:v>
                </c:pt>
                <c:pt idx="162">
                  <c:v>0.42962962985038755</c:v>
                </c:pt>
                <c:pt idx="163">
                  <c:v>0.2155555546283722</c:v>
                </c:pt>
                <c:pt idx="164">
                  <c:v>0.18444444239139557</c:v>
                </c:pt>
                <c:pt idx="165">
                  <c:v>0.20074073970317841</c:v>
                </c:pt>
                <c:pt idx="166">
                  <c:v>0.20518518388271331</c:v>
                </c:pt>
                <c:pt idx="167">
                  <c:v>0.21111110746860504</c:v>
                </c:pt>
                <c:pt idx="168">
                  <c:v>0.21185185313224791</c:v>
                </c:pt>
                <c:pt idx="169">
                  <c:v>0.44888889193534853</c:v>
                </c:pt>
                <c:pt idx="170">
                  <c:v>0.30666666924953462</c:v>
                </c:pt>
                <c:pt idx="171">
                  <c:v>0.21629629731178285</c:v>
                </c:pt>
                <c:pt idx="172">
                  <c:v>0.2155555546283722</c:v>
                </c:pt>
                <c:pt idx="173">
                  <c:v>0.28296296149492262</c:v>
                </c:pt>
                <c:pt idx="174">
                  <c:v>0.29111111164093018</c:v>
                </c:pt>
                <c:pt idx="175">
                  <c:v>0.20074074268341063</c:v>
                </c:pt>
                <c:pt idx="176">
                  <c:v>0.22592592537403106</c:v>
                </c:pt>
                <c:pt idx="177">
                  <c:v>0.46222221255302431</c:v>
                </c:pt>
                <c:pt idx="178">
                  <c:v>0.35555555224418639</c:v>
                </c:pt>
                <c:pt idx="179">
                  <c:v>0.23185185790061952</c:v>
                </c:pt>
                <c:pt idx="180">
                  <c:v>0.18148148059844971</c:v>
                </c:pt>
                <c:pt idx="181">
                  <c:v>0.25703703463077543</c:v>
                </c:pt>
                <c:pt idx="182">
                  <c:v>0.21111111342906952</c:v>
                </c:pt>
                <c:pt idx="183">
                  <c:v>0.19851851761341094</c:v>
                </c:pt>
                <c:pt idx="184">
                  <c:v>0.1770370364189148</c:v>
                </c:pt>
                <c:pt idx="185">
                  <c:v>0.1874074086546898</c:v>
                </c:pt>
                <c:pt idx="186">
                  <c:v>0.36148148179054262</c:v>
                </c:pt>
                <c:pt idx="187">
                  <c:v>0.2155555546283722</c:v>
                </c:pt>
                <c:pt idx="188">
                  <c:v>0.21481481194496155</c:v>
                </c:pt>
                <c:pt idx="189">
                  <c:v>0.28814814686775209</c:v>
                </c:pt>
                <c:pt idx="190">
                  <c:v>0.25703704059123994</c:v>
                </c:pt>
                <c:pt idx="191">
                  <c:v>0.2392592579126358</c:v>
                </c:pt>
                <c:pt idx="192">
                  <c:v>0.19037037193775178</c:v>
                </c:pt>
                <c:pt idx="193">
                  <c:v>0.18814814984798431</c:v>
                </c:pt>
                <c:pt idx="194">
                  <c:v>0.25851851999759673</c:v>
                </c:pt>
                <c:pt idx="195">
                  <c:v>0.16740740835666656</c:v>
                </c:pt>
                <c:pt idx="196">
                  <c:v>0.22296296060085297</c:v>
                </c:pt>
                <c:pt idx="197">
                  <c:v>0.23259259164333343</c:v>
                </c:pt>
                <c:pt idx="198">
                  <c:v>0.26592592895030975</c:v>
                </c:pt>
                <c:pt idx="199">
                  <c:v>0.22592592537403106</c:v>
                </c:pt>
                <c:pt idx="200">
                  <c:v>0.21703703701496124</c:v>
                </c:pt>
                <c:pt idx="201">
                  <c:v>0.21925926506519317</c:v>
                </c:pt>
                <c:pt idx="202">
                  <c:v>0.24666666984558105</c:v>
                </c:pt>
                <c:pt idx="203">
                  <c:v>0.15925925970077515</c:v>
                </c:pt>
                <c:pt idx="204">
                  <c:v>0.30123457312583923</c:v>
                </c:pt>
                <c:pt idx="205">
                  <c:v>0.17259259521961212</c:v>
                </c:pt>
                <c:pt idx="206">
                  <c:v>0.16444444358348848</c:v>
                </c:pt>
                <c:pt idx="207">
                  <c:v>0.22592592537403106</c:v>
                </c:pt>
                <c:pt idx="208">
                  <c:v>0.33925926089286806</c:v>
                </c:pt>
                <c:pt idx="209">
                  <c:v>0.19851852059364319</c:v>
                </c:pt>
                <c:pt idx="210">
                  <c:v>0.2155555546283722</c:v>
                </c:pt>
                <c:pt idx="211">
                  <c:v>0.17259259223937989</c:v>
                </c:pt>
                <c:pt idx="212">
                  <c:v>0.1651851862668991</c:v>
                </c:pt>
                <c:pt idx="213">
                  <c:v>0.27037037611007692</c:v>
                </c:pt>
                <c:pt idx="214">
                  <c:v>0.16888888478279113</c:v>
                </c:pt>
                <c:pt idx="215">
                  <c:v>0.26000000536441803</c:v>
                </c:pt>
                <c:pt idx="216">
                  <c:v>0.21259259283542634</c:v>
                </c:pt>
                <c:pt idx="217">
                  <c:v>0.24222222715616226</c:v>
                </c:pt>
                <c:pt idx="218">
                  <c:v>0.17629629671573638</c:v>
                </c:pt>
                <c:pt idx="219">
                  <c:v>0.23407407701015473</c:v>
                </c:pt>
                <c:pt idx="220">
                  <c:v>0.20888888835906982</c:v>
                </c:pt>
                <c:pt idx="221">
                  <c:v>0.24592593014240266</c:v>
                </c:pt>
                <c:pt idx="222">
                  <c:v>0.21481482088565826</c:v>
                </c:pt>
                <c:pt idx="223">
                  <c:v>0.2718518555164337</c:v>
                </c:pt>
                <c:pt idx="224">
                  <c:v>0.25111110806465148</c:v>
                </c:pt>
                <c:pt idx="225">
                  <c:v>0.3281481474637985</c:v>
                </c:pt>
                <c:pt idx="226">
                  <c:v>0.17777777463197708</c:v>
                </c:pt>
                <c:pt idx="227">
                  <c:v>0.2207407385110855</c:v>
                </c:pt>
                <c:pt idx="228">
                  <c:v>0.19777777791023254</c:v>
                </c:pt>
                <c:pt idx="229">
                  <c:v>0.22518518567085266</c:v>
                </c:pt>
                <c:pt idx="230">
                  <c:v>0.20740740895271301</c:v>
                </c:pt>
                <c:pt idx="231">
                  <c:v>0.19777777791023254</c:v>
                </c:pt>
                <c:pt idx="232">
                  <c:v>0.26444444954395296</c:v>
                </c:pt>
                <c:pt idx="233">
                  <c:v>0.22074074149131775</c:v>
                </c:pt>
                <c:pt idx="234">
                  <c:v>0.21777777969837189</c:v>
                </c:pt>
                <c:pt idx="235">
                  <c:v>0.26296296715736389</c:v>
                </c:pt>
                <c:pt idx="236">
                  <c:v>0.22740741074085236</c:v>
                </c:pt>
                <c:pt idx="237">
                  <c:v>0.25925925374031067</c:v>
                </c:pt>
                <c:pt idx="238">
                  <c:v>0.16814814507961273</c:v>
                </c:pt>
                <c:pt idx="239">
                  <c:v>0.22444444298744201</c:v>
                </c:pt>
                <c:pt idx="240">
                  <c:v>0.17555555701255798</c:v>
                </c:pt>
                <c:pt idx="241">
                  <c:v>0.27777777314186097</c:v>
                </c:pt>
                <c:pt idx="242">
                  <c:v>0.30370370447635653</c:v>
                </c:pt>
                <c:pt idx="243">
                  <c:v>0.28888889551162722</c:v>
                </c:pt>
                <c:pt idx="244">
                  <c:v>0.37333332896232607</c:v>
                </c:pt>
                <c:pt idx="245">
                  <c:v>0.24296296536922454</c:v>
                </c:pt>
                <c:pt idx="246">
                  <c:v>0.19925926029682159</c:v>
                </c:pt>
                <c:pt idx="247">
                  <c:v>0.27037037611007692</c:v>
                </c:pt>
                <c:pt idx="248">
                  <c:v>0.19555555582046508</c:v>
                </c:pt>
                <c:pt idx="249">
                  <c:v>0.19851852059364319</c:v>
                </c:pt>
                <c:pt idx="250">
                  <c:v>0.27851852178573611</c:v>
                </c:pt>
                <c:pt idx="251">
                  <c:v>0.33777777850627899</c:v>
                </c:pt>
                <c:pt idx="252">
                  <c:v>0.23185185492038726</c:v>
                </c:pt>
                <c:pt idx="253">
                  <c:v>0.33333333730697634</c:v>
                </c:pt>
                <c:pt idx="254">
                  <c:v>0.27999999821186067</c:v>
                </c:pt>
                <c:pt idx="255">
                  <c:v>0.18703703582286835</c:v>
                </c:pt>
                <c:pt idx="256">
                  <c:v>0.21629630029201508</c:v>
                </c:pt>
                <c:pt idx="257">
                  <c:v>0.32740740776062011</c:v>
                </c:pt>
                <c:pt idx="258">
                  <c:v>0.39777776598930359</c:v>
                </c:pt>
                <c:pt idx="259">
                  <c:v>0.3088888883590698</c:v>
                </c:pt>
                <c:pt idx="260">
                  <c:v>0.21629629731178285</c:v>
                </c:pt>
                <c:pt idx="261">
                  <c:v>0.1733333334326744</c:v>
                </c:pt>
                <c:pt idx="262">
                  <c:v>0.31999999880790708</c:v>
                </c:pt>
                <c:pt idx="263">
                  <c:v>0.31185185313224795</c:v>
                </c:pt>
                <c:pt idx="264">
                  <c:v>0.25259259045124055</c:v>
                </c:pt>
                <c:pt idx="265">
                  <c:v>0.30888889431953431</c:v>
                </c:pt>
                <c:pt idx="266">
                  <c:v>0.17185184955596924</c:v>
                </c:pt>
                <c:pt idx="267">
                  <c:v>0.2222222238779068</c:v>
                </c:pt>
                <c:pt idx="268">
                  <c:v>0.27851852476596833</c:v>
                </c:pt>
                <c:pt idx="269">
                  <c:v>0.22296296358108519</c:v>
                </c:pt>
                <c:pt idx="270">
                  <c:v>0.31777778565883635</c:v>
                </c:pt>
                <c:pt idx="271">
                  <c:v>0.22666666209697722</c:v>
                </c:pt>
                <c:pt idx="272">
                  <c:v>0.37259259223937991</c:v>
                </c:pt>
                <c:pt idx="273">
                  <c:v>0.21703703701496124</c:v>
                </c:pt>
                <c:pt idx="274">
                  <c:v>0.30740740597248079</c:v>
                </c:pt>
                <c:pt idx="275">
                  <c:v>0.31555555760860443</c:v>
                </c:pt>
                <c:pt idx="276">
                  <c:v>0.27111110985279085</c:v>
                </c:pt>
                <c:pt idx="277">
                  <c:v>0.24444444477558136</c:v>
                </c:pt>
                <c:pt idx="278">
                  <c:v>0.40222222208976743</c:v>
                </c:pt>
                <c:pt idx="279">
                  <c:v>0.35777777731418609</c:v>
                </c:pt>
                <c:pt idx="280">
                  <c:v>0.37111111283302306</c:v>
                </c:pt>
                <c:pt idx="281">
                  <c:v>0.41777777671813965</c:v>
                </c:pt>
                <c:pt idx="282">
                  <c:v>0.38666666746139527</c:v>
                </c:pt>
                <c:pt idx="283">
                  <c:v>0.31555554866790769</c:v>
                </c:pt>
                <c:pt idx="284">
                  <c:v>0.33629630506038666</c:v>
                </c:pt>
                <c:pt idx="285">
                  <c:v>0.33851851820945739</c:v>
                </c:pt>
                <c:pt idx="286">
                  <c:v>0.25777778327465056</c:v>
                </c:pt>
                <c:pt idx="287">
                  <c:v>0.29851851761341097</c:v>
                </c:pt>
                <c:pt idx="288">
                  <c:v>0.3466666668653488</c:v>
                </c:pt>
                <c:pt idx="289">
                  <c:v>0.29111110866069795</c:v>
                </c:pt>
                <c:pt idx="290">
                  <c:v>0.2600000023841858</c:v>
                </c:pt>
                <c:pt idx="291">
                  <c:v>0.4044444441795349</c:v>
                </c:pt>
                <c:pt idx="292">
                  <c:v>0.33777777850627899</c:v>
                </c:pt>
                <c:pt idx="293">
                  <c:v>0.2</c:v>
                </c:pt>
                <c:pt idx="294">
                  <c:v>0.26962962746620178</c:v>
                </c:pt>
                <c:pt idx="295">
                  <c:v>0.30666666626930239</c:v>
                </c:pt>
                <c:pt idx="296">
                  <c:v>0.29037036895751955</c:v>
                </c:pt>
                <c:pt idx="297">
                  <c:v>0.35629630088806152</c:v>
                </c:pt>
                <c:pt idx="298">
                  <c:v>0.27703703343868258</c:v>
                </c:pt>
                <c:pt idx="299">
                  <c:v>0.21037037372589112</c:v>
                </c:pt>
                <c:pt idx="300">
                  <c:v>0.41851851344108582</c:v>
                </c:pt>
                <c:pt idx="301">
                  <c:v>0.32740740776062011</c:v>
                </c:pt>
                <c:pt idx="302">
                  <c:v>0.35629630088806152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D6-414F-A54F-21F0C936B869}"/>
            </c:ext>
          </c:extLst>
        </c:ser>
        <c:ser>
          <c:idx val="2"/>
          <c:order val="2"/>
          <c:tx>
            <c:strRef>
              <c:f>Digits!$AG$1</c:f>
              <c:strCache>
                <c:ptCount val="1"/>
                <c:pt idx="0">
                  <c:v>kan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Digits!$AG$2:$AG$304</c:f>
              <c:numCache>
                <c:formatCode>General</c:formatCode>
                <c:ptCount val="303"/>
                <c:pt idx="0">
                  <c:v>0.75125926136970522</c:v>
                </c:pt>
                <c:pt idx="1">
                  <c:v>0.65066666603088374</c:v>
                </c:pt>
                <c:pt idx="2">
                  <c:v>0.63911111354827876</c:v>
                </c:pt>
                <c:pt idx="3">
                  <c:v>0.47244444489479065</c:v>
                </c:pt>
                <c:pt idx="4">
                  <c:v>0.52755555510520935</c:v>
                </c:pt>
                <c:pt idx="5">
                  <c:v>0.60400000810623167</c:v>
                </c:pt>
                <c:pt idx="6">
                  <c:v>0.59644444584846501</c:v>
                </c:pt>
                <c:pt idx="7">
                  <c:v>0.23777777850627901</c:v>
                </c:pt>
                <c:pt idx="8">
                  <c:v>0.75866665840148928</c:v>
                </c:pt>
                <c:pt idx="9">
                  <c:v>0.6253333210945129</c:v>
                </c:pt>
                <c:pt idx="10">
                  <c:v>0.77688889503479008</c:v>
                </c:pt>
                <c:pt idx="11">
                  <c:v>0.18888888806104659</c:v>
                </c:pt>
                <c:pt idx="12">
                  <c:v>0.6595555424690247</c:v>
                </c:pt>
                <c:pt idx="13">
                  <c:v>0.82177778482437136</c:v>
                </c:pt>
                <c:pt idx="14">
                  <c:v>0.7195555567741394</c:v>
                </c:pt>
                <c:pt idx="15">
                  <c:v>8.7111112102866178E-2</c:v>
                </c:pt>
                <c:pt idx="16">
                  <c:v>0.20400000214576722</c:v>
                </c:pt>
                <c:pt idx="17">
                  <c:v>0.68044445514678953</c:v>
                </c:pt>
                <c:pt idx="18">
                  <c:v>0.63422222733497624</c:v>
                </c:pt>
                <c:pt idx="19">
                  <c:v>0.78177777528762815</c:v>
                </c:pt>
                <c:pt idx="20">
                  <c:v>0.11288888975977898</c:v>
                </c:pt>
                <c:pt idx="21">
                  <c:v>0.28355555683374406</c:v>
                </c:pt>
                <c:pt idx="22">
                  <c:v>0.68844444751739498</c:v>
                </c:pt>
                <c:pt idx="23">
                  <c:v>0.69999998807907104</c:v>
                </c:pt>
                <c:pt idx="24">
                  <c:v>0.6439999997615814</c:v>
                </c:pt>
                <c:pt idx="25">
                  <c:v>0.11200000047683716</c:v>
                </c:pt>
                <c:pt idx="26">
                  <c:v>0.66933333277702334</c:v>
                </c:pt>
                <c:pt idx="27">
                  <c:v>0.10844444558024406</c:v>
                </c:pt>
                <c:pt idx="28">
                  <c:v>0.73555555343627932</c:v>
                </c:pt>
                <c:pt idx="29">
                  <c:v>0.65822223424911497</c:v>
                </c:pt>
                <c:pt idx="30">
                  <c:v>0.27511111199855803</c:v>
                </c:pt>
                <c:pt idx="31">
                  <c:v>0.633777791261673</c:v>
                </c:pt>
                <c:pt idx="32">
                  <c:v>0.70133333206176762</c:v>
                </c:pt>
                <c:pt idx="33">
                  <c:v>0.11733333319425583</c:v>
                </c:pt>
                <c:pt idx="34">
                  <c:v>0.18622222244739534</c:v>
                </c:pt>
                <c:pt idx="35">
                  <c:v>0.43911110758781435</c:v>
                </c:pt>
                <c:pt idx="36">
                  <c:v>0.2151111125946045</c:v>
                </c:pt>
                <c:pt idx="37">
                  <c:v>0.70266665220260616</c:v>
                </c:pt>
                <c:pt idx="38">
                  <c:v>0.67599999904632568</c:v>
                </c:pt>
                <c:pt idx="39">
                  <c:v>5.2444444410502909E-2</c:v>
                </c:pt>
                <c:pt idx="40">
                  <c:v>0.7453333377838135</c:v>
                </c:pt>
                <c:pt idx="41">
                  <c:v>0.16177777796983719</c:v>
                </c:pt>
                <c:pt idx="42">
                  <c:v>0.71288887262344358</c:v>
                </c:pt>
                <c:pt idx="43">
                  <c:v>0.22266666889190673</c:v>
                </c:pt>
                <c:pt idx="44">
                  <c:v>0.71377778053283691</c:v>
                </c:pt>
                <c:pt idx="45">
                  <c:v>0.71022222042083738</c:v>
                </c:pt>
                <c:pt idx="46">
                  <c:v>0.1173333317041397</c:v>
                </c:pt>
                <c:pt idx="47">
                  <c:v>0.6999999940395355</c:v>
                </c:pt>
                <c:pt idx="48">
                  <c:v>0.26800000220537185</c:v>
                </c:pt>
                <c:pt idx="49">
                  <c:v>0.62755556106567378</c:v>
                </c:pt>
                <c:pt idx="50">
                  <c:v>0.16177777796983719</c:v>
                </c:pt>
                <c:pt idx="51">
                  <c:v>0.75955556631088261</c:v>
                </c:pt>
                <c:pt idx="52">
                  <c:v>9.9111112020909789E-2</c:v>
                </c:pt>
                <c:pt idx="53">
                  <c:v>0.60888888239860539</c:v>
                </c:pt>
                <c:pt idx="54">
                  <c:v>0.19199999868869783</c:v>
                </c:pt>
                <c:pt idx="55">
                  <c:v>0.76133332252502439</c:v>
                </c:pt>
                <c:pt idx="56">
                  <c:v>0.61911111474037173</c:v>
                </c:pt>
                <c:pt idx="57">
                  <c:v>0.17777777910232545</c:v>
                </c:pt>
                <c:pt idx="58">
                  <c:v>0.63288889527320857</c:v>
                </c:pt>
                <c:pt idx="59">
                  <c:v>0.13333333358168603</c:v>
                </c:pt>
                <c:pt idx="60">
                  <c:v>0.21511111408472061</c:v>
                </c:pt>
                <c:pt idx="61">
                  <c:v>0.1111111119389534</c:v>
                </c:pt>
                <c:pt idx="62">
                  <c:v>0.15955555588006973</c:v>
                </c:pt>
                <c:pt idx="63">
                  <c:v>0.65333334803581233</c:v>
                </c:pt>
                <c:pt idx="64">
                  <c:v>0.12577777802944184</c:v>
                </c:pt>
                <c:pt idx="65">
                  <c:v>0.71555556058883663</c:v>
                </c:pt>
                <c:pt idx="66">
                  <c:v>0.12933333367109298</c:v>
                </c:pt>
                <c:pt idx="67">
                  <c:v>0.78088887929916384</c:v>
                </c:pt>
                <c:pt idx="68">
                  <c:v>0.14666666090488434</c:v>
                </c:pt>
                <c:pt idx="69">
                  <c:v>0.20266666859388352</c:v>
                </c:pt>
                <c:pt idx="70">
                  <c:v>8.6666665971279144E-2</c:v>
                </c:pt>
                <c:pt idx="71">
                  <c:v>0.45599999725818635</c:v>
                </c:pt>
                <c:pt idx="72">
                  <c:v>8.0888889729976654E-2</c:v>
                </c:pt>
                <c:pt idx="73">
                  <c:v>0.2071111097931862</c:v>
                </c:pt>
                <c:pt idx="74">
                  <c:v>0.68044444322586062</c:v>
                </c:pt>
                <c:pt idx="75">
                  <c:v>0.14844444319605826</c:v>
                </c:pt>
                <c:pt idx="76">
                  <c:v>0.24355555474758148</c:v>
                </c:pt>
                <c:pt idx="77">
                  <c:v>0.22133333384990692</c:v>
                </c:pt>
                <c:pt idx="78">
                  <c:v>0.12399999946355819</c:v>
                </c:pt>
                <c:pt idx="79">
                  <c:v>0.16400000154972078</c:v>
                </c:pt>
                <c:pt idx="80">
                  <c:v>0.13111111372709275</c:v>
                </c:pt>
                <c:pt idx="81">
                  <c:v>0.15066666752099991</c:v>
                </c:pt>
                <c:pt idx="82">
                  <c:v>0.21288888901472092</c:v>
                </c:pt>
                <c:pt idx="83">
                  <c:v>0.31599999964237213</c:v>
                </c:pt>
                <c:pt idx="84">
                  <c:v>0.15288888663053513</c:v>
                </c:pt>
                <c:pt idx="85">
                  <c:v>0.11644444167613983</c:v>
                </c:pt>
                <c:pt idx="86">
                  <c:v>0.10222222059965133</c:v>
                </c:pt>
                <c:pt idx="87">
                  <c:v>8.6666666157543662E-2</c:v>
                </c:pt>
                <c:pt idx="88">
                  <c:v>0.14177777916193007</c:v>
                </c:pt>
                <c:pt idx="89">
                  <c:v>0.26622222363948822</c:v>
                </c:pt>
                <c:pt idx="90">
                  <c:v>0.12311111241579056</c:v>
                </c:pt>
                <c:pt idx="91">
                  <c:v>0.11244444623589515</c:v>
                </c:pt>
                <c:pt idx="92">
                  <c:v>0.15022222250699996</c:v>
                </c:pt>
                <c:pt idx="93">
                  <c:v>0.17999999821186066</c:v>
                </c:pt>
                <c:pt idx="94">
                  <c:v>0.13155555427074433</c:v>
                </c:pt>
                <c:pt idx="95">
                  <c:v>9.4222222268581388E-2</c:v>
                </c:pt>
                <c:pt idx="96">
                  <c:v>0.12088888734579087</c:v>
                </c:pt>
                <c:pt idx="97">
                  <c:v>0.40399999916553497</c:v>
                </c:pt>
                <c:pt idx="98">
                  <c:v>0.23866666257381439</c:v>
                </c:pt>
                <c:pt idx="99">
                  <c:v>0.17555555552244187</c:v>
                </c:pt>
                <c:pt idx="100">
                  <c:v>0.10400000214576721</c:v>
                </c:pt>
                <c:pt idx="101">
                  <c:v>0.18933333456516266</c:v>
                </c:pt>
                <c:pt idx="102">
                  <c:v>0.13733333200216294</c:v>
                </c:pt>
                <c:pt idx="103">
                  <c:v>0.18088888823986055</c:v>
                </c:pt>
                <c:pt idx="104">
                  <c:v>0.10666666962206364</c:v>
                </c:pt>
                <c:pt idx="105">
                  <c:v>0.26666666567325592</c:v>
                </c:pt>
                <c:pt idx="106">
                  <c:v>9.5555556565523142E-2</c:v>
                </c:pt>
                <c:pt idx="107">
                  <c:v>0.21955555379390718</c:v>
                </c:pt>
                <c:pt idx="108">
                  <c:v>0.10711110979318619</c:v>
                </c:pt>
                <c:pt idx="109">
                  <c:v>0.10977778062224389</c:v>
                </c:pt>
                <c:pt idx="110">
                  <c:v>0.10088888853788376</c:v>
                </c:pt>
                <c:pt idx="111">
                  <c:v>0.26311111748218535</c:v>
                </c:pt>
                <c:pt idx="112">
                  <c:v>9.8222222179174423E-2</c:v>
                </c:pt>
                <c:pt idx="113">
                  <c:v>0.33644444942474366</c:v>
                </c:pt>
                <c:pt idx="114">
                  <c:v>0.15999999940395354</c:v>
                </c:pt>
                <c:pt idx="115">
                  <c:v>8.7555555254220957E-2</c:v>
                </c:pt>
                <c:pt idx="116">
                  <c:v>0.1284444436430931</c:v>
                </c:pt>
                <c:pt idx="117">
                  <c:v>9.066666588187218E-2</c:v>
                </c:pt>
                <c:pt idx="118">
                  <c:v>9.7333334013819689E-2</c:v>
                </c:pt>
                <c:pt idx="119">
                  <c:v>8.2222222909331316E-2</c:v>
                </c:pt>
                <c:pt idx="120">
                  <c:v>0.18799999505281448</c:v>
                </c:pt>
                <c:pt idx="121">
                  <c:v>0.1684444472193718</c:v>
                </c:pt>
                <c:pt idx="122">
                  <c:v>0.16355555206537248</c:v>
                </c:pt>
                <c:pt idx="123">
                  <c:v>0.28977777957916262</c:v>
                </c:pt>
                <c:pt idx="124">
                  <c:v>0.17066666632890701</c:v>
                </c:pt>
                <c:pt idx="125">
                  <c:v>9.0666666626930237E-2</c:v>
                </c:pt>
                <c:pt idx="126">
                  <c:v>0.10622222125530242</c:v>
                </c:pt>
                <c:pt idx="127">
                  <c:v>0.10533333346247672</c:v>
                </c:pt>
                <c:pt idx="128">
                  <c:v>0.13333333283662796</c:v>
                </c:pt>
                <c:pt idx="129">
                  <c:v>0.10933333337306976</c:v>
                </c:pt>
                <c:pt idx="130">
                  <c:v>9.1999999433755877E-2</c:v>
                </c:pt>
                <c:pt idx="131">
                  <c:v>0.37688889205455778</c:v>
                </c:pt>
                <c:pt idx="132">
                  <c:v>0.15511111468076705</c:v>
                </c:pt>
                <c:pt idx="133">
                  <c:v>0.12044444531202317</c:v>
                </c:pt>
                <c:pt idx="134">
                  <c:v>0.11466666758060455</c:v>
                </c:pt>
                <c:pt idx="135">
                  <c:v>0.1737777829170227</c:v>
                </c:pt>
                <c:pt idx="136">
                  <c:v>0.23733333349227906</c:v>
                </c:pt>
                <c:pt idx="137">
                  <c:v>0.13200000077486038</c:v>
                </c:pt>
                <c:pt idx="138">
                  <c:v>8.3111111447215086E-2</c:v>
                </c:pt>
                <c:pt idx="139">
                  <c:v>0.22799999862909318</c:v>
                </c:pt>
                <c:pt idx="140">
                  <c:v>0.19066666513681413</c:v>
                </c:pt>
                <c:pt idx="141">
                  <c:v>0.18755555301904678</c:v>
                </c:pt>
                <c:pt idx="142">
                  <c:v>9.0222222357988352E-2</c:v>
                </c:pt>
                <c:pt idx="143">
                  <c:v>0.15288888812065124</c:v>
                </c:pt>
                <c:pt idx="144">
                  <c:v>0.10000000149011612</c:v>
                </c:pt>
                <c:pt idx="145">
                  <c:v>0.11199999898672104</c:v>
                </c:pt>
                <c:pt idx="146">
                  <c:v>0.11422222480177879</c:v>
                </c:pt>
                <c:pt idx="147">
                  <c:v>0.10933333188295365</c:v>
                </c:pt>
                <c:pt idx="148">
                  <c:v>0.2079999938607216</c:v>
                </c:pt>
                <c:pt idx="149">
                  <c:v>0.2080000013113022</c:v>
                </c:pt>
                <c:pt idx="150">
                  <c:v>0.12622222155332566</c:v>
                </c:pt>
                <c:pt idx="151">
                  <c:v>0.26400000303983689</c:v>
                </c:pt>
                <c:pt idx="152">
                  <c:v>0.11244444400072098</c:v>
                </c:pt>
                <c:pt idx="153">
                  <c:v>0.11407407373189926</c:v>
                </c:pt>
                <c:pt idx="154">
                  <c:v>7.8666666895151144E-2</c:v>
                </c:pt>
                <c:pt idx="155">
                  <c:v>0.10666666701436042</c:v>
                </c:pt>
                <c:pt idx="156">
                  <c:v>0.12577777802944184</c:v>
                </c:pt>
                <c:pt idx="157">
                  <c:v>0.17600000351667405</c:v>
                </c:pt>
                <c:pt idx="158">
                  <c:v>0.14355555623769761</c:v>
                </c:pt>
                <c:pt idx="159">
                  <c:v>0.11288888901472091</c:v>
                </c:pt>
                <c:pt idx="160">
                  <c:v>0.10266666561365127</c:v>
                </c:pt>
                <c:pt idx="161">
                  <c:v>0.2760000005364418</c:v>
                </c:pt>
                <c:pt idx="162">
                  <c:v>0.33022222816944125</c:v>
                </c:pt>
                <c:pt idx="163">
                  <c:v>9.2444444447755819E-2</c:v>
                </c:pt>
                <c:pt idx="164">
                  <c:v>0.10311111062765121</c:v>
                </c:pt>
                <c:pt idx="165">
                  <c:v>9.6888891607522967E-2</c:v>
                </c:pt>
                <c:pt idx="166">
                  <c:v>0.14400000125169754</c:v>
                </c:pt>
                <c:pt idx="167">
                  <c:v>0.10444444417953491</c:v>
                </c:pt>
                <c:pt idx="168">
                  <c:v>9.7333332896232611E-2</c:v>
                </c:pt>
                <c:pt idx="169">
                  <c:v>0.3177777722477913</c:v>
                </c:pt>
                <c:pt idx="170">
                  <c:v>0.20400000363588333</c:v>
                </c:pt>
                <c:pt idx="171">
                  <c:v>0.10888888910412789</c:v>
                </c:pt>
                <c:pt idx="172">
                  <c:v>0.13733333498239517</c:v>
                </c:pt>
                <c:pt idx="173">
                  <c:v>0.21911110505461692</c:v>
                </c:pt>
                <c:pt idx="174">
                  <c:v>0.14044444411993026</c:v>
                </c:pt>
                <c:pt idx="175">
                  <c:v>0.11511110961437225</c:v>
                </c:pt>
                <c:pt idx="176">
                  <c:v>0.11111110895872116</c:v>
                </c:pt>
                <c:pt idx="177">
                  <c:v>0.30488889515399931</c:v>
                </c:pt>
                <c:pt idx="178">
                  <c:v>0.19422222375869752</c:v>
                </c:pt>
                <c:pt idx="179">
                  <c:v>9.8666667193174365E-2</c:v>
                </c:pt>
                <c:pt idx="180">
                  <c:v>0.1097777783870697</c:v>
                </c:pt>
                <c:pt idx="181">
                  <c:v>0.10444444417953491</c:v>
                </c:pt>
                <c:pt idx="182">
                  <c:v>9.066666588187218E-2</c:v>
                </c:pt>
                <c:pt idx="183">
                  <c:v>8.8888889551162725E-2</c:v>
                </c:pt>
                <c:pt idx="184">
                  <c:v>0.12622222304344177</c:v>
                </c:pt>
                <c:pt idx="185">
                  <c:v>0.10088888853788376</c:v>
                </c:pt>
                <c:pt idx="186">
                  <c:v>0.23288889229297638</c:v>
                </c:pt>
                <c:pt idx="187">
                  <c:v>0.10133333168923855</c:v>
                </c:pt>
                <c:pt idx="188">
                  <c:v>0.11244444251060486</c:v>
                </c:pt>
                <c:pt idx="189">
                  <c:v>0.17955555319786071</c:v>
                </c:pt>
                <c:pt idx="190">
                  <c:v>0.11911111176013947</c:v>
                </c:pt>
                <c:pt idx="191">
                  <c:v>0.13066666871309279</c:v>
                </c:pt>
                <c:pt idx="192">
                  <c:v>0.1102222204208374</c:v>
                </c:pt>
                <c:pt idx="193">
                  <c:v>0.12488888949155807</c:v>
                </c:pt>
                <c:pt idx="194">
                  <c:v>0.13111111223697663</c:v>
                </c:pt>
                <c:pt idx="195">
                  <c:v>7.6888889819383618E-2</c:v>
                </c:pt>
                <c:pt idx="196">
                  <c:v>0.12755555510520936</c:v>
                </c:pt>
                <c:pt idx="197">
                  <c:v>0.13511111140251159</c:v>
                </c:pt>
                <c:pt idx="198">
                  <c:v>0.21866666525602341</c:v>
                </c:pt>
                <c:pt idx="199">
                  <c:v>0.13066666722297668</c:v>
                </c:pt>
                <c:pt idx="200">
                  <c:v>0.10311111211776733</c:v>
                </c:pt>
                <c:pt idx="201">
                  <c:v>0.12088888734579087</c:v>
                </c:pt>
                <c:pt idx="202">
                  <c:v>0.14311111569404603</c:v>
                </c:pt>
                <c:pt idx="203">
                  <c:v>9.9111112952232364E-2</c:v>
                </c:pt>
                <c:pt idx="204">
                  <c:v>8.6666667213042572E-2</c:v>
                </c:pt>
                <c:pt idx="205">
                  <c:v>8.7555555999279028E-2</c:v>
                </c:pt>
                <c:pt idx="206">
                  <c:v>9.1111110895872122E-2</c:v>
                </c:pt>
                <c:pt idx="207">
                  <c:v>0.13066666722297668</c:v>
                </c:pt>
                <c:pt idx="208">
                  <c:v>0.18844444602727889</c:v>
                </c:pt>
                <c:pt idx="209">
                  <c:v>0.10755555778741836</c:v>
                </c:pt>
                <c:pt idx="210">
                  <c:v>0.11777777671813965</c:v>
                </c:pt>
                <c:pt idx="211">
                  <c:v>8.4000001102685934E-2</c:v>
                </c:pt>
                <c:pt idx="212">
                  <c:v>0.11511110961437225</c:v>
                </c:pt>
                <c:pt idx="213">
                  <c:v>0.13200000226497649</c:v>
                </c:pt>
                <c:pt idx="214">
                  <c:v>0.11555555611848831</c:v>
                </c:pt>
                <c:pt idx="215">
                  <c:v>0.16088889241218568</c:v>
                </c:pt>
                <c:pt idx="216">
                  <c:v>0.12400000095367432</c:v>
                </c:pt>
                <c:pt idx="217">
                  <c:v>0.14133333414793015</c:v>
                </c:pt>
                <c:pt idx="218">
                  <c:v>0.10488888919353485</c:v>
                </c:pt>
                <c:pt idx="219">
                  <c:v>0.1035555586218834</c:v>
                </c:pt>
                <c:pt idx="220">
                  <c:v>0.12755555510520936</c:v>
                </c:pt>
                <c:pt idx="221">
                  <c:v>0.11244444251060486</c:v>
                </c:pt>
                <c:pt idx="222">
                  <c:v>8.0888888984918597E-2</c:v>
                </c:pt>
                <c:pt idx="223">
                  <c:v>0.21688888669013978</c:v>
                </c:pt>
                <c:pt idx="224">
                  <c:v>0.12355555593967438</c:v>
                </c:pt>
                <c:pt idx="225">
                  <c:v>0.27822222411632536</c:v>
                </c:pt>
                <c:pt idx="226">
                  <c:v>9.2444445192813876E-2</c:v>
                </c:pt>
                <c:pt idx="227">
                  <c:v>0.10399999916553497</c:v>
                </c:pt>
                <c:pt idx="228">
                  <c:v>0.10666666626930237</c:v>
                </c:pt>
                <c:pt idx="229">
                  <c:v>0.11155555546283721</c:v>
                </c:pt>
                <c:pt idx="230">
                  <c:v>9.155555665493012E-2</c:v>
                </c:pt>
                <c:pt idx="231">
                  <c:v>0.11599999964237213</c:v>
                </c:pt>
                <c:pt idx="232">
                  <c:v>0.19866666793823243</c:v>
                </c:pt>
                <c:pt idx="233">
                  <c:v>0.11111111044883729</c:v>
                </c:pt>
                <c:pt idx="234">
                  <c:v>0.14711111187934875</c:v>
                </c:pt>
                <c:pt idx="235">
                  <c:v>0.15599999874830245</c:v>
                </c:pt>
                <c:pt idx="236">
                  <c:v>0.10355555415153503</c:v>
                </c:pt>
                <c:pt idx="237">
                  <c:v>0.12844444215297698</c:v>
                </c:pt>
                <c:pt idx="238">
                  <c:v>8.3555556088685992E-2</c:v>
                </c:pt>
                <c:pt idx="239">
                  <c:v>0.13377777636051177</c:v>
                </c:pt>
                <c:pt idx="240">
                  <c:v>0.10044444352388382</c:v>
                </c:pt>
                <c:pt idx="241">
                  <c:v>0.17955555766820908</c:v>
                </c:pt>
                <c:pt idx="242">
                  <c:v>0.24399999678134918</c:v>
                </c:pt>
                <c:pt idx="243">
                  <c:v>0.21111111342906952</c:v>
                </c:pt>
                <c:pt idx="244">
                  <c:v>0.26399999856948853</c:v>
                </c:pt>
                <c:pt idx="245">
                  <c:v>0.11733333468437195</c:v>
                </c:pt>
                <c:pt idx="246">
                  <c:v>0.10755555629730225</c:v>
                </c:pt>
                <c:pt idx="247">
                  <c:v>0.16133333295583724</c:v>
                </c:pt>
                <c:pt idx="248">
                  <c:v>0.10666666775941849</c:v>
                </c:pt>
                <c:pt idx="249">
                  <c:v>0.12711111158132554</c:v>
                </c:pt>
                <c:pt idx="250">
                  <c:v>0.16088888943195342</c:v>
                </c:pt>
                <c:pt idx="251">
                  <c:v>0.26533333063125608</c:v>
                </c:pt>
                <c:pt idx="252">
                  <c:v>0.12266666740179062</c:v>
                </c:pt>
                <c:pt idx="253">
                  <c:v>0.20933333337306975</c:v>
                </c:pt>
                <c:pt idx="254">
                  <c:v>0.17422222197055817</c:v>
                </c:pt>
                <c:pt idx="255">
                  <c:v>9.388889092952013E-2</c:v>
                </c:pt>
                <c:pt idx="256">
                  <c:v>6.3111110776662829E-2</c:v>
                </c:pt>
                <c:pt idx="257">
                  <c:v>0.21555555313825608</c:v>
                </c:pt>
                <c:pt idx="258">
                  <c:v>0.30711110532283781</c:v>
                </c:pt>
                <c:pt idx="259">
                  <c:v>0.21422221958637239</c:v>
                </c:pt>
                <c:pt idx="260">
                  <c:v>0.14533333331346512</c:v>
                </c:pt>
                <c:pt idx="261">
                  <c:v>8.5333333909511561E-2</c:v>
                </c:pt>
                <c:pt idx="262">
                  <c:v>0.23244443982839585</c:v>
                </c:pt>
                <c:pt idx="263">
                  <c:v>0.18088889122009277</c:v>
                </c:pt>
                <c:pt idx="264">
                  <c:v>0.14444444626569747</c:v>
                </c:pt>
                <c:pt idx="265">
                  <c:v>0.20666666328907013</c:v>
                </c:pt>
                <c:pt idx="266">
                  <c:v>8.3111112564802164E-2</c:v>
                </c:pt>
                <c:pt idx="267">
                  <c:v>0.14133333265781403</c:v>
                </c:pt>
                <c:pt idx="268">
                  <c:v>0.22800000011920929</c:v>
                </c:pt>
                <c:pt idx="269">
                  <c:v>0.15422222167253494</c:v>
                </c:pt>
                <c:pt idx="270">
                  <c:v>0.27288889288902285</c:v>
                </c:pt>
                <c:pt idx="271">
                  <c:v>0.14844444245100022</c:v>
                </c:pt>
                <c:pt idx="272">
                  <c:v>0.27733333110809327</c:v>
                </c:pt>
                <c:pt idx="273">
                  <c:v>0.13555555492639543</c:v>
                </c:pt>
                <c:pt idx="274">
                  <c:v>0.21866666972637178</c:v>
                </c:pt>
                <c:pt idx="275">
                  <c:v>0.21377777457237243</c:v>
                </c:pt>
                <c:pt idx="276">
                  <c:v>0.20844444185495375</c:v>
                </c:pt>
                <c:pt idx="277">
                  <c:v>0.17644444704055787</c:v>
                </c:pt>
                <c:pt idx="278">
                  <c:v>0.2777777761220932</c:v>
                </c:pt>
                <c:pt idx="279">
                  <c:v>0.27688888907432557</c:v>
                </c:pt>
                <c:pt idx="280">
                  <c:v>0.28933333456516264</c:v>
                </c:pt>
                <c:pt idx="281">
                  <c:v>0.34088888764381409</c:v>
                </c:pt>
                <c:pt idx="282">
                  <c:v>0.27955555617809297</c:v>
                </c:pt>
                <c:pt idx="283">
                  <c:v>0.22844444513320922</c:v>
                </c:pt>
                <c:pt idx="284">
                  <c:v>0.16755555421113968</c:v>
                </c:pt>
                <c:pt idx="285">
                  <c:v>0.23733332902193069</c:v>
                </c:pt>
                <c:pt idx="286">
                  <c:v>0.21377777755260469</c:v>
                </c:pt>
                <c:pt idx="287">
                  <c:v>0.24266667366027833</c:v>
                </c:pt>
                <c:pt idx="288">
                  <c:v>0.23288889229297638</c:v>
                </c:pt>
                <c:pt idx="289">
                  <c:v>0.17822222262620926</c:v>
                </c:pt>
                <c:pt idx="290">
                  <c:v>0.18888889253139496</c:v>
                </c:pt>
                <c:pt idx="291">
                  <c:v>0.27911111414432527</c:v>
                </c:pt>
                <c:pt idx="292">
                  <c:v>0.17866666465997696</c:v>
                </c:pt>
                <c:pt idx="293">
                  <c:v>0.11111111342906951</c:v>
                </c:pt>
                <c:pt idx="294">
                  <c:v>0.18888889104127884</c:v>
                </c:pt>
                <c:pt idx="295">
                  <c:v>0.19111110866069794</c:v>
                </c:pt>
                <c:pt idx="296">
                  <c:v>0.16800000071525573</c:v>
                </c:pt>
                <c:pt idx="297">
                  <c:v>0.23911111503839494</c:v>
                </c:pt>
                <c:pt idx="298">
                  <c:v>0.18933333158493043</c:v>
                </c:pt>
                <c:pt idx="299">
                  <c:v>0.13466666564345359</c:v>
                </c:pt>
                <c:pt idx="300">
                  <c:v>0.22444444745779038</c:v>
                </c:pt>
                <c:pt idx="301">
                  <c:v>0.23022222071886062</c:v>
                </c:pt>
                <c:pt idx="302">
                  <c:v>0.23022222369909287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D6-414F-A54F-21F0C936B869}"/>
            </c:ext>
          </c:extLst>
        </c:ser>
        <c:ser>
          <c:idx val="3"/>
          <c:order val="3"/>
          <c:tx>
            <c:strRef>
              <c:f>Digits!$AH$1</c:f>
              <c:strCache>
                <c:ptCount val="1"/>
                <c:pt idx="0">
                  <c:v>mlp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Digits!$AH$2:$AH$304</c:f>
              <c:numCache>
                <c:formatCode>General</c:formatCode>
                <c:ptCount val="303"/>
                <c:pt idx="0">
                  <c:v>0.96237037037037032</c:v>
                </c:pt>
                <c:pt idx="1">
                  <c:v>0.95866666666666667</c:v>
                </c:pt>
                <c:pt idx="2">
                  <c:v>0.96044444444444443</c:v>
                </c:pt>
                <c:pt idx="3">
                  <c:v>0.96</c:v>
                </c:pt>
                <c:pt idx="4">
                  <c:v>0.9582222222222222</c:v>
                </c:pt>
                <c:pt idx="5">
                  <c:v>0.95644444444444443</c:v>
                </c:pt>
                <c:pt idx="6">
                  <c:v>0.9582222222222222</c:v>
                </c:pt>
                <c:pt idx="7">
                  <c:v>0.97199999999999998</c:v>
                </c:pt>
                <c:pt idx="8">
                  <c:v>0.95911111111111114</c:v>
                </c:pt>
                <c:pt idx="9">
                  <c:v>0.96177777777777773</c:v>
                </c:pt>
                <c:pt idx="10">
                  <c:v>0.9622222222222222</c:v>
                </c:pt>
                <c:pt idx="11">
                  <c:v>0.97377777777777785</c:v>
                </c:pt>
                <c:pt idx="12">
                  <c:v>0.95555555555555549</c:v>
                </c:pt>
                <c:pt idx="13">
                  <c:v>0.9608888888888889</c:v>
                </c:pt>
                <c:pt idx="14">
                  <c:v>0.96533333333333338</c:v>
                </c:pt>
                <c:pt idx="15">
                  <c:v>0.96888888888888891</c:v>
                </c:pt>
                <c:pt idx="16">
                  <c:v>0.97199999999999998</c:v>
                </c:pt>
                <c:pt idx="17">
                  <c:v>0.96</c:v>
                </c:pt>
                <c:pt idx="18">
                  <c:v>0.95955555555555549</c:v>
                </c:pt>
                <c:pt idx="19">
                  <c:v>0.9555555555555556</c:v>
                </c:pt>
                <c:pt idx="20">
                  <c:v>0.97688888888888881</c:v>
                </c:pt>
                <c:pt idx="21">
                  <c:v>0.97199999999999998</c:v>
                </c:pt>
                <c:pt idx="22">
                  <c:v>0.95955555555555549</c:v>
                </c:pt>
                <c:pt idx="23">
                  <c:v>0.96044444444444443</c:v>
                </c:pt>
                <c:pt idx="24">
                  <c:v>0.96177777777777773</c:v>
                </c:pt>
                <c:pt idx="25">
                  <c:v>0.97644444444444445</c:v>
                </c:pt>
                <c:pt idx="26">
                  <c:v>0.9608888888888889</c:v>
                </c:pt>
                <c:pt idx="27">
                  <c:v>0.97555555555555551</c:v>
                </c:pt>
                <c:pt idx="28">
                  <c:v>0.96266666666666667</c:v>
                </c:pt>
                <c:pt idx="29">
                  <c:v>0.9622222222222222</c:v>
                </c:pt>
                <c:pt idx="30">
                  <c:v>0.97466666666666668</c:v>
                </c:pt>
                <c:pt idx="31">
                  <c:v>0.95466666666666666</c:v>
                </c:pt>
                <c:pt idx="32">
                  <c:v>0.96044444444444443</c:v>
                </c:pt>
                <c:pt idx="33">
                  <c:v>0.96844444444444444</c:v>
                </c:pt>
                <c:pt idx="34">
                  <c:v>0.97199999999999998</c:v>
                </c:pt>
                <c:pt idx="35">
                  <c:v>0.96444444444444444</c:v>
                </c:pt>
                <c:pt idx="36">
                  <c:v>0.97066666666666668</c:v>
                </c:pt>
                <c:pt idx="37">
                  <c:v>0.95955555555555549</c:v>
                </c:pt>
                <c:pt idx="38">
                  <c:v>0.96044444444444443</c:v>
                </c:pt>
                <c:pt idx="39">
                  <c:v>0.96444444444444444</c:v>
                </c:pt>
                <c:pt idx="40">
                  <c:v>0.95955555555555561</c:v>
                </c:pt>
                <c:pt idx="41">
                  <c:v>0.97066666666666668</c:v>
                </c:pt>
                <c:pt idx="42">
                  <c:v>0.9622222222222222</c:v>
                </c:pt>
                <c:pt idx="43">
                  <c:v>0.9622222222222222</c:v>
                </c:pt>
                <c:pt idx="44">
                  <c:v>0.96666666666666667</c:v>
                </c:pt>
                <c:pt idx="45">
                  <c:v>0.9635555555555555</c:v>
                </c:pt>
                <c:pt idx="46">
                  <c:v>0.97111111111111115</c:v>
                </c:pt>
                <c:pt idx="47">
                  <c:v>0.9662222222222222</c:v>
                </c:pt>
                <c:pt idx="48">
                  <c:v>0.96044444444444443</c:v>
                </c:pt>
                <c:pt idx="49">
                  <c:v>0.9635555555555555</c:v>
                </c:pt>
                <c:pt idx="50">
                  <c:v>0.96888888888888891</c:v>
                </c:pt>
                <c:pt idx="51">
                  <c:v>0.9662222222222222</c:v>
                </c:pt>
                <c:pt idx="52">
                  <c:v>0.97111111111111115</c:v>
                </c:pt>
                <c:pt idx="53">
                  <c:v>0.95466666666666666</c:v>
                </c:pt>
                <c:pt idx="54">
                  <c:v>0.95866666666666667</c:v>
                </c:pt>
                <c:pt idx="55">
                  <c:v>0.96355555555555561</c:v>
                </c:pt>
                <c:pt idx="56">
                  <c:v>0.9608888888888889</c:v>
                </c:pt>
                <c:pt idx="57">
                  <c:v>0.96444444444444444</c:v>
                </c:pt>
                <c:pt idx="58">
                  <c:v>0.9635555555555555</c:v>
                </c:pt>
                <c:pt idx="59">
                  <c:v>0.95599999999999996</c:v>
                </c:pt>
                <c:pt idx="60">
                  <c:v>0.97511111111111115</c:v>
                </c:pt>
                <c:pt idx="61">
                  <c:v>0.97111111111111115</c:v>
                </c:pt>
                <c:pt idx="62">
                  <c:v>0.96577777777777774</c:v>
                </c:pt>
                <c:pt idx="63">
                  <c:v>0.96488888888888891</c:v>
                </c:pt>
                <c:pt idx="64">
                  <c:v>0.96799999999999997</c:v>
                </c:pt>
                <c:pt idx="65">
                  <c:v>0.96044444444444443</c:v>
                </c:pt>
                <c:pt idx="66">
                  <c:v>0.95866666666666667</c:v>
                </c:pt>
                <c:pt idx="67">
                  <c:v>0.96711111111111114</c:v>
                </c:pt>
                <c:pt idx="68">
                  <c:v>0.97333333333333338</c:v>
                </c:pt>
                <c:pt idx="69">
                  <c:v>0.95422222222222219</c:v>
                </c:pt>
                <c:pt idx="70">
                  <c:v>0.94666666666666666</c:v>
                </c:pt>
                <c:pt idx="71">
                  <c:v>0.96133333333333326</c:v>
                </c:pt>
                <c:pt idx="72">
                  <c:v>0.97111111111111115</c:v>
                </c:pt>
                <c:pt idx="73">
                  <c:v>0.97333333333333338</c:v>
                </c:pt>
                <c:pt idx="74">
                  <c:v>0.96266666666666667</c:v>
                </c:pt>
                <c:pt idx="75">
                  <c:v>0.97466666666666668</c:v>
                </c:pt>
                <c:pt idx="76">
                  <c:v>0.97466666666666668</c:v>
                </c:pt>
                <c:pt idx="77">
                  <c:v>0.96</c:v>
                </c:pt>
                <c:pt idx="78">
                  <c:v>0.97466666666666668</c:v>
                </c:pt>
                <c:pt idx="79">
                  <c:v>0.97377777777777774</c:v>
                </c:pt>
                <c:pt idx="80">
                  <c:v>0.97022222222222221</c:v>
                </c:pt>
                <c:pt idx="81">
                  <c:v>0.97155555555555562</c:v>
                </c:pt>
                <c:pt idx="82">
                  <c:v>0.97377777777777785</c:v>
                </c:pt>
                <c:pt idx="83">
                  <c:v>0.9622222222222222</c:v>
                </c:pt>
                <c:pt idx="84">
                  <c:v>0.97377777777777785</c:v>
                </c:pt>
                <c:pt idx="85">
                  <c:v>0.97555555555555551</c:v>
                </c:pt>
                <c:pt idx="86">
                  <c:v>0.97288888888888891</c:v>
                </c:pt>
                <c:pt idx="87">
                  <c:v>0.97244444444444444</c:v>
                </c:pt>
                <c:pt idx="88">
                  <c:v>0.97422222222222221</c:v>
                </c:pt>
                <c:pt idx="89">
                  <c:v>0.96044444444444443</c:v>
                </c:pt>
                <c:pt idx="90">
                  <c:v>0.97244444444444444</c:v>
                </c:pt>
                <c:pt idx="91">
                  <c:v>0.9635555555555555</c:v>
                </c:pt>
                <c:pt idx="92">
                  <c:v>0.97244444444444444</c:v>
                </c:pt>
                <c:pt idx="93">
                  <c:v>0.97244444444444444</c:v>
                </c:pt>
                <c:pt idx="94">
                  <c:v>0.97244444444444444</c:v>
                </c:pt>
                <c:pt idx="95">
                  <c:v>0.96888888888888891</c:v>
                </c:pt>
                <c:pt idx="96">
                  <c:v>0.96</c:v>
                </c:pt>
                <c:pt idx="97">
                  <c:v>0.97199999999999998</c:v>
                </c:pt>
                <c:pt idx="98">
                  <c:v>0.9608888888888889</c:v>
                </c:pt>
                <c:pt idx="99">
                  <c:v>0.97111111111111115</c:v>
                </c:pt>
                <c:pt idx="100">
                  <c:v>0.96444444444444444</c:v>
                </c:pt>
                <c:pt idx="101">
                  <c:v>0.97333333333333327</c:v>
                </c:pt>
                <c:pt idx="102">
                  <c:v>0.9622222222222222</c:v>
                </c:pt>
                <c:pt idx="103">
                  <c:v>0.97511111111111115</c:v>
                </c:pt>
                <c:pt idx="104">
                  <c:v>0.96266666666666667</c:v>
                </c:pt>
                <c:pt idx="105">
                  <c:v>0.96177777777777773</c:v>
                </c:pt>
                <c:pt idx="106">
                  <c:v>0.96977777777777785</c:v>
                </c:pt>
                <c:pt idx="107">
                  <c:v>0.97244444444444444</c:v>
                </c:pt>
                <c:pt idx="108">
                  <c:v>0.96266666666666667</c:v>
                </c:pt>
                <c:pt idx="109">
                  <c:v>0.97599999999999998</c:v>
                </c:pt>
                <c:pt idx="110">
                  <c:v>0.96</c:v>
                </c:pt>
                <c:pt idx="111">
                  <c:v>0.97377777777777774</c:v>
                </c:pt>
                <c:pt idx="112">
                  <c:v>0.96266666666666667</c:v>
                </c:pt>
                <c:pt idx="113">
                  <c:v>0.97244444444444444</c:v>
                </c:pt>
                <c:pt idx="114">
                  <c:v>0.97199999999999998</c:v>
                </c:pt>
                <c:pt idx="115">
                  <c:v>0.96488888888888891</c:v>
                </c:pt>
                <c:pt idx="116">
                  <c:v>0.97199999999999998</c:v>
                </c:pt>
                <c:pt idx="117">
                  <c:v>0.97155555555555562</c:v>
                </c:pt>
                <c:pt idx="118">
                  <c:v>0.9622222222222222</c:v>
                </c:pt>
                <c:pt idx="119">
                  <c:v>0.96444444444444444</c:v>
                </c:pt>
                <c:pt idx="120">
                  <c:v>0.97333333333333338</c:v>
                </c:pt>
                <c:pt idx="121">
                  <c:v>0.97422222222222221</c:v>
                </c:pt>
                <c:pt idx="122">
                  <c:v>0.96488888888888891</c:v>
                </c:pt>
                <c:pt idx="123">
                  <c:v>0.97377777777777774</c:v>
                </c:pt>
                <c:pt idx="124">
                  <c:v>0.97422222222222221</c:v>
                </c:pt>
                <c:pt idx="125">
                  <c:v>0.96044444444444443</c:v>
                </c:pt>
                <c:pt idx="126">
                  <c:v>0.97333333333333338</c:v>
                </c:pt>
                <c:pt idx="127">
                  <c:v>0.9622222222222222</c:v>
                </c:pt>
                <c:pt idx="128">
                  <c:v>0.97422222222222221</c:v>
                </c:pt>
                <c:pt idx="129">
                  <c:v>0.97333333333333338</c:v>
                </c:pt>
                <c:pt idx="130">
                  <c:v>0.96</c:v>
                </c:pt>
                <c:pt idx="131">
                  <c:v>0.97422222222222221</c:v>
                </c:pt>
                <c:pt idx="132">
                  <c:v>0.97422222222222221</c:v>
                </c:pt>
                <c:pt idx="133">
                  <c:v>0.97555555555555551</c:v>
                </c:pt>
                <c:pt idx="134">
                  <c:v>0.96488888888888891</c:v>
                </c:pt>
                <c:pt idx="135">
                  <c:v>0.96133333333333326</c:v>
                </c:pt>
                <c:pt idx="136">
                  <c:v>0.97466666666666668</c:v>
                </c:pt>
                <c:pt idx="137">
                  <c:v>0.96977777777777774</c:v>
                </c:pt>
                <c:pt idx="138">
                  <c:v>0.9622222222222222</c:v>
                </c:pt>
                <c:pt idx="139">
                  <c:v>0.97422222222222221</c:v>
                </c:pt>
                <c:pt idx="140">
                  <c:v>0.97466666666666668</c:v>
                </c:pt>
                <c:pt idx="141">
                  <c:v>0.97644444444444445</c:v>
                </c:pt>
                <c:pt idx="142">
                  <c:v>0.97155555555555562</c:v>
                </c:pt>
                <c:pt idx="143">
                  <c:v>0.96177777777777773</c:v>
                </c:pt>
                <c:pt idx="144">
                  <c:v>0.97288888888888891</c:v>
                </c:pt>
                <c:pt idx="145">
                  <c:v>0.9622222222222222</c:v>
                </c:pt>
                <c:pt idx="146">
                  <c:v>0.97244444444444444</c:v>
                </c:pt>
                <c:pt idx="147">
                  <c:v>0.96177777777777773</c:v>
                </c:pt>
                <c:pt idx="148">
                  <c:v>0.97377777777777785</c:v>
                </c:pt>
                <c:pt idx="149">
                  <c:v>0.97466666666666668</c:v>
                </c:pt>
                <c:pt idx="150">
                  <c:v>0.9608888888888889</c:v>
                </c:pt>
                <c:pt idx="151">
                  <c:v>0.97244444444444444</c:v>
                </c:pt>
                <c:pt idx="152">
                  <c:v>0.97244444444444444</c:v>
                </c:pt>
                <c:pt idx="153">
                  <c:v>0.97</c:v>
                </c:pt>
                <c:pt idx="154">
                  <c:v>0.97066666666666668</c:v>
                </c:pt>
                <c:pt idx="155">
                  <c:v>0.96888888888888891</c:v>
                </c:pt>
                <c:pt idx="156">
                  <c:v>0.9608888888888889</c:v>
                </c:pt>
                <c:pt idx="157">
                  <c:v>0.96888888888888891</c:v>
                </c:pt>
                <c:pt idx="158">
                  <c:v>0.97199999999999998</c:v>
                </c:pt>
                <c:pt idx="159">
                  <c:v>0.97511111111111115</c:v>
                </c:pt>
                <c:pt idx="160">
                  <c:v>0.96044444444444443</c:v>
                </c:pt>
                <c:pt idx="161">
                  <c:v>0.97377777777777785</c:v>
                </c:pt>
                <c:pt idx="162">
                  <c:v>0.97555555555555562</c:v>
                </c:pt>
                <c:pt idx="163">
                  <c:v>0.9608888888888889</c:v>
                </c:pt>
                <c:pt idx="164">
                  <c:v>0.97288888888888891</c:v>
                </c:pt>
                <c:pt idx="165">
                  <c:v>0.97288888888888891</c:v>
                </c:pt>
                <c:pt idx="166">
                  <c:v>0.97244444444444444</c:v>
                </c:pt>
                <c:pt idx="167">
                  <c:v>0.96444444444444444</c:v>
                </c:pt>
                <c:pt idx="168">
                  <c:v>0.96888888888888891</c:v>
                </c:pt>
                <c:pt idx="169">
                  <c:v>0.97377777777777785</c:v>
                </c:pt>
                <c:pt idx="170">
                  <c:v>0.97288888888888891</c:v>
                </c:pt>
                <c:pt idx="171">
                  <c:v>0.9635555555555555</c:v>
                </c:pt>
                <c:pt idx="172">
                  <c:v>0.9622222222222222</c:v>
                </c:pt>
                <c:pt idx="173">
                  <c:v>0.97111111111111115</c:v>
                </c:pt>
                <c:pt idx="174">
                  <c:v>0.97377777777777774</c:v>
                </c:pt>
                <c:pt idx="175">
                  <c:v>0.97022222222222221</c:v>
                </c:pt>
                <c:pt idx="176">
                  <c:v>0.97466666666666668</c:v>
                </c:pt>
                <c:pt idx="177">
                  <c:v>0.97466666666666668</c:v>
                </c:pt>
                <c:pt idx="178">
                  <c:v>0.97288888888888891</c:v>
                </c:pt>
                <c:pt idx="179">
                  <c:v>0.96399999999999997</c:v>
                </c:pt>
                <c:pt idx="180">
                  <c:v>0.96666666666666667</c:v>
                </c:pt>
                <c:pt idx="181">
                  <c:v>0.96311111111111114</c:v>
                </c:pt>
                <c:pt idx="182">
                  <c:v>0.97333333333333338</c:v>
                </c:pt>
                <c:pt idx="183">
                  <c:v>0.9622222222222222</c:v>
                </c:pt>
                <c:pt idx="184">
                  <c:v>0.97377777777777774</c:v>
                </c:pt>
                <c:pt idx="185">
                  <c:v>0.97244444444444444</c:v>
                </c:pt>
                <c:pt idx="186">
                  <c:v>0.97288888888888891</c:v>
                </c:pt>
                <c:pt idx="187">
                  <c:v>0.97111111111111115</c:v>
                </c:pt>
                <c:pt idx="188">
                  <c:v>0.96444444444444444</c:v>
                </c:pt>
                <c:pt idx="189">
                  <c:v>0.97777777777777775</c:v>
                </c:pt>
                <c:pt idx="190">
                  <c:v>0.96044444444444443</c:v>
                </c:pt>
                <c:pt idx="191">
                  <c:v>0.96044444444444443</c:v>
                </c:pt>
                <c:pt idx="192">
                  <c:v>0.9622222222222222</c:v>
                </c:pt>
                <c:pt idx="193">
                  <c:v>0.97377777777777774</c:v>
                </c:pt>
                <c:pt idx="194">
                  <c:v>0.96177777777777773</c:v>
                </c:pt>
                <c:pt idx="195">
                  <c:v>0.96844444444444444</c:v>
                </c:pt>
                <c:pt idx="196">
                  <c:v>0.97333333333333338</c:v>
                </c:pt>
                <c:pt idx="197">
                  <c:v>0.97244444444444444</c:v>
                </c:pt>
                <c:pt idx="198">
                  <c:v>0.9635555555555555</c:v>
                </c:pt>
                <c:pt idx="199">
                  <c:v>0.9635555555555555</c:v>
                </c:pt>
                <c:pt idx="200">
                  <c:v>0.96488888888888891</c:v>
                </c:pt>
                <c:pt idx="201">
                  <c:v>0.96399999999999997</c:v>
                </c:pt>
                <c:pt idx="202">
                  <c:v>0.96177777777777773</c:v>
                </c:pt>
                <c:pt idx="203">
                  <c:v>0.97555555555555551</c:v>
                </c:pt>
                <c:pt idx="204">
                  <c:v>0.97555555555555551</c:v>
                </c:pt>
                <c:pt idx="205">
                  <c:v>0.97199999999999998</c:v>
                </c:pt>
                <c:pt idx="206">
                  <c:v>0.97555555555555551</c:v>
                </c:pt>
                <c:pt idx="207">
                  <c:v>0.9635555555555555</c:v>
                </c:pt>
                <c:pt idx="208">
                  <c:v>0.97155555555555562</c:v>
                </c:pt>
                <c:pt idx="209">
                  <c:v>0.97555555555555551</c:v>
                </c:pt>
                <c:pt idx="210">
                  <c:v>0.96444444444444444</c:v>
                </c:pt>
                <c:pt idx="211">
                  <c:v>0.96177777777777773</c:v>
                </c:pt>
                <c:pt idx="212">
                  <c:v>0.96711111111111114</c:v>
                </c:pt>
                <c:pt idx="213">
                  <c:v>0.96444444444444444</c:v>
                </c:pt>
                <c:pt idx="214">
                  <c:v>0.97111111111111115</c:v>
                </c:pt>
                <c:pt idx="215">
                  <c:v>0.9608888888888889</c:v>
                </c:pt>
                <c:pt idx="216">
                  <c:v>0.97555555555555551</c:v>
                </c:pt>
                <c:pt idx="217">
                  <c:v>0.97288888888888891</c:v>
                </c:pt>
                <c:pt idx="218">
                  <c:v>0.97199999999999998</c:v>
                </c:pt>
                <c:pt idx="219">
                  <c:v>0.96977777777777774</c:v>
                </c:pt>
                <c:pt idx="220">
                  <c:v>0.96266666666666667</c:v>
                </c:pt>
                <c:pt idx="221">
                  <c:v>0.96133333333333326</c:v>
                </c:pt>
                <c:pt idx="222">
                  <c:v>0.96399999999999997</c:v>
                </c:pt>
                <c:pt idx="223">
                  <c:v>0.96133333333333326</c:v>
                </c:pt>
                <c:pt idx="224">
                  <c:v>0.97333333333333327</c:v>
                </c:pt>
                <c:pt idx="225">
                  <c:v>0.96399999999999997</c:v>
                </c:pt>
                <c:pt idx="226">
                  <c:v>0.97288888888888891</c:v>
                </c:pt>
                <c:pt idx="227">
                  <c:v>0.97333333333333338</c:v>
                </c:pt>
                <c:pt idx="228">
                  <c:v>0.97599999999999998</c:v>
                </c:pt>
                <c:pt idx="229">
                  <c:v>0.97377777777777785</c:v>
                </c:pt>
                <c:pt idx="230">
                  <c:v>0.96711111111111114</c:v>
                </c:pt>
                <c:pt idx="231">
                  <c:v>0.96533333333333338</c:v>
                </c:pt>
                <c:pt idx="232">
                  <c:v>0.96133333333333326</c:v>
                </c:pt>
                <c:pt idx="233">
                  <c:v>0.96888888888888891</c:v>
                </c:pt>
                <c:pt idx="234">
                  <c:v>0.96577777777777774</c:v>
                </c:pt>
                <c:pt idx="235">
                  <c:v>0.97155555555555562</c:v>
                </c:pt>
                <c:pt idx="236">
                  <c:v>0.97155555555555562</c:v>
                </c:pt>
                <c:pt idx="237">
                  <c:v>0.97244444444444444</c:v>
                </c:pt>
                <c:pt idx="238">
                  <c:v>0.97200000000000009</c:v>
                </c:pt>
                <c:pt idx="239">
                  <c:v>0.96488888888888891</c:v>
                </c:pt>
                <c:pt idx="240">
                  <c:v>0.97288888888888891</c:v>
                </c:pt>
                <c:pt idx="241">
                  <c:v>0.96533333333333338</c:v>
                </c:pt>
                <c:pt idx="242">
                  <c:v>0.96177777777777773</c:v>
                </c:pt>
                <c:pt idx="243">
                  <c:v>0.97377777777777774</c:v>
                </c:pt>
                <c:pt idx="244">
                  <c:v>0.96533333333333338</c:v>
                </c:pt>
                <c:pt idx="245">
                  <c:v>0.97288888888888891</c:v>
                </c:pt>
                <c:pt idx="246">
                  <c:v>0.97422222222222221</c:v>
                </c:pt>
                <c:pt idx="247">
                  <c:v>0.97422222222222221</c:v>
                </c:pt>
                <c:pt idx="248">
                  <c:v>0.97555555555555551</c:v>
                </c:pt>
                <c:pt idx="249">
                  <c:v>0.97422222222222221</c:v>
                </c:pt>
                <c:pt idx="250">
                  <c:v>0.96133333333333326</c:v>
                </c:pt>
                <c:pt idx="251">
                  <c:v>0.96266666666666667</c:v>
                </c:pt>
                <c:pt idx="252">
                  <c:v>0.97244444444444444</c:v>
                </c:pt>
                <c:pt idx="253">
                  <c:v>0.96177777777777773</c:v>
                </c:pt>
                <c:pt idx="254">
                  <c:v>0.97377777777777774</c:v>
                </c:pt>
                <c:pt idx="255">
                  <c:v>0.96944444444444444</c:v>
                </c:pt>
                <c:pt idx="256">
                  <c:v>0.97733333333333328</c:v>
                </c:pt>
                <c:pt idx="257">
                  <c:v>0.97066666666666668</c:v>
                </c:pt>
                <c:pt idx="258">
                  <c:v>0.96399999999999997</c:v>
                </c:pt>
                <c:pt idx="259">
                  <c:v>0.96399999999999997</c:v>
                </c:pt>
                <c:pt idx="260">
                  <c:v>0.96488888888888891</c:v>
                </c:pt>
                <c:pt idx="261">
                  <c:v>0.97244444444444444</c:v>
                </c:pt>
                <c:pt idx="262">
                  <c:v>0.97555555555555551</c:v>
                </c:pt>
                <c:pt idx="263">
                  <c:v>0.97599999999999998</c:v>
                </c:pt>
                <c:pt idx="264">
                  <c:v>0.96311111111111114</c:v>
                </c:pt>
                <c:pt idx="265">
                  <c:v>0.96311111111111114</c:v>
                </c:pt>
                <c:pt idx="266">
                  <c:v>0.97377777777777774</c:v>
                </c:pt>
                <c:pt idx="267">
                  <c:v>0.96311111111111114</c:v>
                </c:pt>
                <c:pt idx="268">
                  <c:v>0.97911111111111104</c:v>
                </c:pt>
                <c:pt idx="269">
                  <c:v>0.97599999999999998</c:v>
                </c:pt>
                <c:pt idx="270">
                  <c:v>0.96444444444444444</c:v>
                </c:pt>
                <c:pt idx="271">
                  <c:v>0.96266666666666667</c:v>
                </c:pt>
                <c:pt idx="272">
                  <c:v>0.96399999999999997</c:v>
                </c:pt>
                <c:pt idx="273">
                  <c:v>0.97733333333333339</c:v>
                </c:pt>
                <c:pt idx="274">
                  <c:v>0.97688888888888892</c:v>
                </c:pt>
                <c:pt idx="275">
                  <c:v>0.97688888888888892</c:v>
                </c:pt>
                <c:pt idx="276">
                  <c:v>0.96666666666666667</c:v>
                </c:pt>
                <c:pt idx="277">
                  <c:v>0.96266666666666667</c:v>
                </c:pt>
                <c:pt idx="278">
                  <c:v>0.97599999999999998</c:v>
                </c:pt>
                <c:pt idx="279">
                  <c:v>0.97333333333333338</c:v>
                </c:pt>
                <c:pt idx="280">
                  <c:v>0.97733333333333328</c:v>
                </c:pt>
                <c:pt idx="281">
                  <c:v>0.96399999999999997</c:v>
                </c:pt>
                <c:pt idx="282">
                  <c:v>0.96399999999999997</c:v>
                </c:pt>
                <c:pt idx="283">
                  <c:v>0.97199999999999998</c:v>
                </c:pt>
                <c:pt idx="284">
                  <c:v>0.97022222222222221</c:v>
                </c:pt>
                <c:pt idx="285">
                  <c:v>0.97422222222222221</c:v>
                </c:pt>
                <c:pt idx="286">
                  <c:v>0.96311111111111114</c:v>
                </c:pt>
                <c:pt idx="287">
                  <c:v>0.96399999999999997</c:v>
                </c:pt>
                <c:pt idx="288">
                  <c:v>0.97644444444444445</c:v>
                </c:pt>
                <c:pt idx="289">
                  <c:v>0.97511111111111115</c:v>
                </c:pt>
                <c:pt idx="290">
                  <c:v>0.97066666666666668</c:v>
                </c:pt>
                <c:pt idx="291">
                  <c:v>0.96444444444444444</c:v>
                </c:pt>
                <c:pt idx="292">
                  <c:v>0.96533333333333338</c:v>
                </c:pt>
                <c:pt idx="293">
                  <c:v>0.97022222222222221</c:v>
                </c:pt>
                <c:pt idx="294">
                  <c:v>0.97155555555555562</c:v>
                </c:pt>
                <c:pt idx="295">
                  <c:v>0.97288888888888891</c:v>
                </c:pt>
                <c:pt idx="296">
                  <c:v>0.96311111111111114</c:v>
                </c:pt>
                <c:pt idx="297">
                  <c:v>0.97199999999999998</c:v>
                </c:pt>
                <c:pt idx="298">
                  <c:v>0.97555555555555551</c:v>
                </c:pt>
                <c:pt idx="299">
                  <c:v>0.97288888888888891</c:v>
                </c:pt>
                <c:pt idx="300">
                  <c:v>0.97511111111111104</c:v>
                </c:pt>
                <c:pt idx="301">
                  <c:v>0.97422222222222221</c:v>
                </c:pt>
                <c:pt idx="302">
                  <c:v>0.97644444444444445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D6-414F-A54F-21F0C936B869}"/>
            </c:ext>
          </c:extLst>
        </c:ser>
        <c:ser>
          <c:idx val="4"/>
          <c:order val="4"/>
          <c:tx>
            <c:strRef>
              <c:f>Digits!$AI$1</c:f>
              <c:strCache>
                <c:ptCount val="1"/>
                <c:pt idx="0">
                  <c:v>mlp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Digits!$AI$2:$AI$304</c:f>
              <c:numCache>
                <c:formatCode>General</c:formatCode>
                <c:ptCount val="303"/>
                <c:pt idx="0">
                  <c:v>0.96493827160493828</c:v>
                </c:pt>
                <c:pt idx="1">
                  <c:v>0.9555555555555556</c:v>
                </c:pt>
                <c:pt idx="2">
                  <c:v>0.95629629629629631</c:v>
                </c:pt>
                <c:pt idx="3">
                  <c:v>0.95333333333333337</c:v>
                </c:pt>
                <c:pt idx="4">
                  <c:v>0.9555555555555556</c:v>
                </c:pt>
                <c:pt idx="5">
                  <c:v>0.95111111111111113</c:v>
                </c:pt>
                <c:pt idx="6">
                  <c:v>0.95777777777777784</c:v>
                </c:pt>
                <c:pt idx="7">
                  <c:v>0.98</c:v>
                </c:pt>
                <c:pt idx="8">
                  <c:v>0.95925925925925926</c:v>
                </c:pt>
                <c:pt idx="9">
                  <c:v>0.96074074074074067</c:v>
                </c:pt>
                <c:pt idx="10">
                  <c:v>0.95629629629629631</c:v>
                </c:pt>
                <c:pt idx="11">
                  <c:v>0.98814814814814822</c:v>
                </c:pt>
                <c:pt idx="12">
                  <c:v>0.95703703703703702</c:v>
                </c:pt>
                <c:pt idx="13">
                  <c:v>0.95481481481481478</c:v>
                </c:pt>
                <c:pt idx="14">
                  <c:v>0.95925925925925926</c:v>
                </c:pt>
                <c:pt idx="15">
                  <c:v>0.97777777777777775</c:v>
                </c:pt>
                <c:pt idx="16">
                  <c:v>0.97555555555555551</c:v>
                </c:pt>
                <c:pt idx="17">
                  <c:v>0.95925925925925926</c:v>
                </c:pt>
                <c:pt idx="18">
                  <c:v>0.95481481481481478</c:v>
                </c:pt>
                <c:pt idx="19">
                  <c:v>0.95703703703703702</c:v>
                </c:pt>
                <c:pt idx="20">
                  <c:v>0.97555555555555551</c:v>
                </c:pt>
                <c:pt idx="21">
                  <c:v>0.97925925925925927</c:v>
                </c:pt>
                <c:pt idx="22">
                  <c:v>0.95407407407407407</c:v>
                </c:pt>
                <c:pt idx="23">
                  <c:v>0.9555555555555556</c:v>
                </c:pt>
                <c:pt idx="24">
                  <c:v>0.95703703703703702</c:v>
                </c:pt>
                <c:pt idx="25">
                  <c:v>0.97333333333333338</c:v>
                </c:pt>
                <c:pt idx="26">
                  <c:v>0.96074074074074067</c:v>
                </c:pt>
                <c:pt idx="27">
                  <c:v>0.98148148148148151</c:v>
                </c:pt>
                <c:pt idx="28">
                  <c:v>0.95259259259259255</c:v>
                </c:pt>
                <c:pt idx="29">
                  <c:v>0.95851851851851855</c:v>
                </c:pt>
                <c:pt idx="30">
                  <c:v>0.98518518518518516</c:v>
                </c:pt>
                <c:pt idx="31">
                  <c:v>0.95333333333333337</c:v>
                </c:pt>
                <c:pt idx="32">
                  <c:v>0.95629629629629631</c:v>
                </c:pt>
                <c:pt idx="33">
                  <c:v>0.97777777777777775</c:v>
                </c:pt>
                <c:pt idx="34">
                  <c:v>0.97925925925925927</c:v>
                </c:pt>
                <c:pt idx="35">
                  <c:v>0.95777777777777784</c:v>
                </c:pt>
                <c:pt idx="36">
                  <c:v>0.98148148148148151</c:v>
                </c:pt>
                <c:pt idx="37">
                  <c:v>0.95925925925925926</c:v>
                </c:pt>
                <c:pt idx="38">
                  <c:v>0.95925925925925926</c:v>
                </c:pt>
                <c:pt idx="39">
                  <c:v>0.97407407407407409</c:v>
                </c:pt>
                <c:pt idx="40">
                  <c:v>0.95407407407407407</c:v>
                </c:pt>
                <c:pt idx="41">
                  <c:v>0.97555555555555551</c:v>
                </c:pt>
                <c:pt idx="42">
                  <c:v>0.95629629629629631</c:v>
                </c:pt>
                <c:pt idx="43">
                  <c:v>0.97629629629629633</c:v>
                </c:pt>
                <c:pt idx="44">
                  <c:v>0.96074074074074078</c:v>
                </c:pt>
                <c:pt idx="45">
                  <c:v>0.96</c:v>
                </c:pt>
                <c:pt idx="46">
                  <c:v>0.97777777777777775</c:v>
                </c:pt>
                <c:pt idx="47">
                  <c:v>0.95777777777777784</c:v>
                </c:pt>
                <c:pt idx="48">
                  <c:v>0.97407407407407409</c:v>
                </c:pt>
                <c:pt idx="49">
                  <c:v>0.95777777777777773</c:v>
                </c:pt>
                <c:pt idx="50">
                  <c:v>0.97259259259259256</c:v>
                </c:pt>
                <c:pt idx="51">
                  <c:v>0.96444444444444444</c:v>
                </c:pt>
                <c:pt idx="52">
                  <c:v>0.98148148148148151</c:v>
                </c:pt>
                <c:pt idx="53">
                  <c:v>0.95703703703703702</c:v>
                </c:pt>
                <c:pt idx="54">
                  <c:v>0.97703703703703704</c:v>
                </c:pt>
                <c:pt idx="55">
                  <c:v>0.95851851851851855</c:v>
                </c:pt>
                <c:pt idx="56">
                  <c:v>0.9555555555555556</c:v>
                </c:pt>
                <c:pt idx="57">
                  <c:v>0.95851851851851855</c:v>
                </c:pt>
                <c:pt idx="58">
                  <c:v>0.96296296296296291</c:v>
                </c:pt>
                <c:pt idx="59">
                  <c:v>0.97185185185185186</c:v>
                </c:pt>
                <c:pt idx="60">
                  <c:v>0.97925925925925927</c:v>
                </c:pt>
                <c:pt idx="61">
                  <c:v>0.98518518518518516</c:v>
                </c:pt>
                <c:pt idx="62">
                  <c:v>0.95629629629629631</c:v>
                </c:pt>
                <c:pt idx="63">
                  <c:v>0.95925925925925926</c:v>
                </c:pt>
                <c:pt idx="64">
                  <c:v>0.96444444444444444</c:v>
                </c:pt>
                <c:pt idx="65">
                  <c:v>0.95481481481481478</c:v>
                </c:pt>
                <c:pt idx="66">
                  <c:v>0.96740740740740738</c:v>
                </c:pt>
                <c:pt idx="67">
                  <c:v>0.95777777777777773</c:v>
                </c:pt>
                <c:pt idx="68">
                  <c:v>0.98518518518518516</c:v>
                </c:pt>
                <c:pt idx="69">
                  <c:v>0.97703703703703704</c:v>
                </c:pt>
                <c:pt idx="70">
                  <c:v>0.98888888888888893</c:v>
                </c:pt>
                <c:pt idx="71">
                  <c:v>0.95851851851851855</c:v>
                </c:pt>
                <c:pt idx="72">
                  <c:v>0.97777777777777775</c:v>
                </c:pt>
                <c:pt idx="73">
                  <c:v>0.98444444444444446</c:v>
                </c:pt>
                <c:pt idx="74">
                  <c:v>0.9622222222222222</c:v>
                </c:pt>
                <c:pt idx="75">
                  <c:v>0.9748148148148148</c:v>
                </c:pt>
                <c:pt idx="76">
                  <c:v>0.98222222222222222</c:v>
                </c:pt>
                <c:pt idx="77">
                  <c:v>0.97629629629629633</c:v>
                </c:pt>
                <c:pt idx="78">
                  <c:v>0.98296296296296304</c:v>
                </c:pt>
                <c:pt idx="79">
                  <c:v>0.98370370370370375</c:v>
                </c:pt>
                <c:pt idx="80">
                  <c:v>0.97777777777777775</c:v>
                </c:pt>
                <c:pt idx="81">
                  <c:v>0.98074074074074069</c:v>
                </c:pt>
                <c:pt idx="82">
                  <c:v>0.98222222222222222</c:v>
                </c:pt>
                <c:pt idx="83">
                  <c:v>0.97703703703703704</c:v>
                </c:pt>
                <c:pt idx="84">
                  <c:v>0.97111111111111104</c:v>
                </c:pt>
                <c:pt idx="85">
                  <c:v>0.97851851851851845</c:v>
                </c:pt>
                <c:pt idx="86">
                  <c:v>0.98148148148148151</c:v>
                </c:pt>
                <c:pt idx="87">
                  <c:v>0.98</c:v>
                </c:pt>
                <c:pt idx="88">
                  <c:v>0.98148148148148151</c:v>
                </c:pt>
                <c:pt idx="89">
                  <c:v>0.97259259259259256</c:v>
                </c:pt>
                <c:pt idx="90">
                  <c:v>0.98</c:v>
                </c:pt>
                <c:pt idx="91">
                  <c:v>0.97777777777777775</c:v>
                </c:pt>
                <c:pt idx="92">
                  <c:v>0.98296296296296293</c:v>
                </c:pt>
                <c:pt idx="93">
                  <c:v>0.98296296296296293</c:v>
                </c:pt>
                <c:pt idx="94">
                  <c:v>0.97629629629629633</c:v>
                </c:pt>
                <c:pt idx="95">
                  <c:v>0.9748148148148148</c:v>
                </c:pt>
                <c:pt idx="96">
                  <c:v>0.97407407407407409</c:v>
                </c:pt>
                <c:pt idx="97">
                  <c:v>0.98296296296296293</c:v>
                </c:pt>
                <c:pt idx="98">
                  <c:v>0.97333333333333338</c:v>
                </c:pt>
                <c:pt idx="99">
                  <c:v>0.98518518518518516</c:v>
                </c:pt>
                <c:pt idx="100">
                  <c:v>0.97629629629629633</c:v>
                </c:pt>
                <c:pt idx="101">
                  <c:v>0.9748148148148148</c:v>
                </c:pt>
                <c:pt idx="102">
                  <c:v>0.97555555555555551</c:v>
                </c:pt>
                <c:pt idx="103">
                  <c:v>0.98296296296296293</c:v>
                </c:pt>
                <c:pt idx="104">
                  <c:v>0.9748148148148148</c:v>
                </c:pt>
                <c:pt idx="105">
                  <c:v>0.97555555555555551</c:v>
                </c:pt>
                <c:pt idx="106">
                  <c:v>0.98296296296296293</c:v>
                </c:pt>
                <c:pt idx="107">
                  <c:v>0.97777777777777775</c:v>
                </c:pt>
                <c:pt idx="108">
                  <c:v>0.97555555555555551</c:v>
                </c:pt>
                <c:pt idx="109">
                  <c:v>0.97555555555555551</c:v>
                </c:pt>
                <c:pt idx="110">
                  <c:v>0.97555555555555551</c:v>
                </c:pt>
                <c:pt idx="111">
                  <c:v>0.98074074074074069</c:v>
                </c:pt>
                <c:pt idx="112">
                  <c:v>0.9748148148148148</c:v>
                </c:pt>
                <c:pt idx="113">
                  <c:v>0.98666666666666669</c:v>
                </c:pt>
                <c:pt idx="114">
                  <c:v>0.97925925925925927</c:v>
                </c:pt>
                <c:pt idx="115">
                  <c:v>0.97629629629629633</c:v>
                </c:pt>
                <c:pt idx="116">
                  <c:v>0.9807407407407408</c:v>
                </c:pt>
                <c:pt idx="117">
                  <c:v>0.97777777777777775</c:v>
                </c:pt>
                <c:pt idx="118">
                  <c:v>0.97629629629629622</c:v>
                </c:pt>
                <c:pt idx="119">
                  <c:v>0.97777777777777775</c:v>
                </c:pt>
                <c:pt idx="120">
                  <c:v>0.98148148148148151</c:v>
                </c:pt>
                <c:pt idx="121">
                  <c:v>0.98370370370370375</c:v>
                </c:pt>
                <c:pt idx="122">
                  <c:v>0.97555555555555551</c:v>
                </c:pt>
                <c:pt idx="123">
                  <c:v>0.98222222222222222</c:v>
                </c:pt>
                <c:pt idx="124">
                  <c:v>0.97703703703703704</c:v>
                </c:pt>
                <c:pt idx="125">
                  <c:v>0.97259259259259256</c:v>
                </c:pt>
                <c:pt idx="126">
                  <c:v>0.98</c:v>
                </c:pt>
                <c:pt idx="127">
                  <c:v>0.97333333333333327</c:v>
                </c:pt>
                <c:pt idx="128">
                  <c:v>0.98296296296296293</c:v>
                </c:pt>
                <c:pt idx="129">
                  <c:v>0.98148148148148151</c:v>
                </c:pt>
                <c:pt idx="130">
                  <c:v>0.97407407407407409</c:v>
                </c:pt>
                <c:pt idx="131">
                  <c:v>0.98444444444444446</c:v>
                </c:pt>
                <c:pt idx="132">
                  <c:v>0.9874074074074074</c:v>
                </c:pt>
                <c:pt idx="133">
                  <c:v>0.98296296296296293</c:v>
                </c:pt>
                <c:pt idx="134">
                  <c:v>0.97629629629629633</c:v>
                </c:pt>
                <c:pt idx="135">
                  <c:v>0.97703703703703704</c:v>
                </c:pt>
                <c:pt idx="136">
                  <c:v>0.98370370370370375</c:v>
                </c:pt>
                <c:pt idx="137">
                  <c:v>0.98222222222222222</c:v>
                </c:pt>
                <c:pt idx="138">
                  <c:v>0.9748148148148148</c:v>
                </c:pt>
                <c:pt idx="139">
                  <c:v>0.98222222222222222</c:v>
                </c:pt>
                <c:pt idx="140">
                  <c:v>0.9748148148148148</c:v>
                </c:pt>
                <c:pt idx="141">
                  <c:v>0.98370370370370375</c:v>
                </c:pt>
                <c:pt idx="142">
                  <c:v>0.97851851851851857</c:v>
                </c:pt>
                <c:pt idx="143">
                  <c:v>0.97407407407407409</c:v>
                </c:pt>
                <c:pt idx="144">
                  <c:v>0.98148148148148151</c:v>
                </c:pt>
                <c:pt idx="145">
                  <c:v>0.97111111111111115</c:v>
                </c:pt>
                <c:pt idx="146">
                  <c:v>0.97925925925925927</c:v>
                </c:pt>
                <c:pt idx="147">
                  <c:v>0.97555555555555551</c:v>
                </c:pt>
                <c:pt idx="148">
                  <c:v>0.97851851851851845</c:v>
                </c:pt>
                <c:pt idx="149">
                  <c:v>0.98222222222222222</c:v>
                </c:pt>
                <c:pt idx="150">
                  <c:v>0.97407407407407409</c:v>
                </c:pt>
                <c:pt idx="151">
                  <c:v>0.98222222222222222</c:v>
                </c:pt>
                <c:pt idx="152">
                  <c:v>0.98</c:v>
                </c:pt>
                <c:pt idx="153">
                  <c:v>0.97962962962962963</c:v>
                </c:pt>
                <c:pt idx="154">
                  <c:v>0.98148148148148151</c:v>
                </c:pt>
                <c:pt idx="155">
                  <c:v>0.98148148148148151</c:v>
                </c:pt>
                <c:pt idx="156">
                  <c:v>0.97555555555555551</c:v>
                </c:pt>
                <c:pt idx="157">
                  <c:v>0.97111111111111104</c:v>
                </c:pt>
                <c:pt idx="158">
                  <c:v>0.98074074074074069</c:v>
                </c:pt>
                <c:pt idx="159">
                  <c:v>0.98148148148148151</c:v>
                </c:pt>
                <c:pt idx="160">
                  <c:v>0.97185185185185186</c:v>
                </c:pt>
                <c:pt idx="161">
                  <c:v>0.98296296296296293</c:v>
                </c:pt>
                <c:pt idx="162">
                  <c:v>0.98074074074074069</c:v>
                </c:pt>
                <c:pt idx="163">
                  <c:v>0.9748148148148148</c:v>
                </c:pt>
                <c:pt idx="164">
                  <c:v>0.98148148148148151</c:v>
                </c:pt>
                <c:pt idx="165">
                  <c:v>0.97925925925925927</c:v>
                </c:pt>
                <c:pt idx="166">
                  <c:v>0.98370370370370364</c:v>
                </c:pt>
                <c:pt idx="167">
                  <c:v>0.97185185185185186</c:v>
                </c:pt>
                <c:pt idx="168">
                  <c:v>0.98148148148148151</c:v>
                </c:pt>
                <c:pt idx="169">
                  <c:v>0.98370370370370375</c:v>
                </c:pt>
                <c:pt idx="170">
                  <c:v>0.98074074074074069</c:v>
                </c:pt>
                <c:pt idx="171">
                  <c:v>0.97629629629629633</c:v>
                </c:pt>
                <c:pt idx="172">
                  <c:v>0.97259259259259256</c:v>
                </c:pt>
                <c:pt idx="173">
                  <c:v>0.98148148148148151</c:v>
                </c:pt>
                <c:pt idx="174">
                  <c:v>0.97259259259259256</c:v>
                </c:pt>
                <c:pt idx="175">
                  <c:v>0.97703703703703704</c:v>
                </c:pt>
                <c:pt idx="176">
                  <c:v>0.97925925925925927</c:v>
                </c:pt>
                <c:pt idx="177">
                  <c:v>0.98148148148148151</c:v>
                </c:pt>
                <c:pt idx="178">
                  <c:v>0.98370370370370375</c:v>
                </c:pt>
                <c:pt idx="179">
                  <c:v>0.97333333333333327</c:v>
                </c:pt>
                <c:pt idx="180">
                  <c:v>0.97259259259259256</c:v>
                </c:pt>
                <c:pt idx="181">
                  <c:v>0.96074074074074078</c:v>
                </c:pt>
                <c:pt idx="182">
                  <c:v>0.98148148148148151</c:v>
                </c:pt>
                <c:pt idx="183">
                  <c:v>0.97555555555555551</c:v>
                </c:pt>
                <c:pt idx="184">
                  <c:v>0.97925925925925927</c:v>
                </c:pt>
                <c:pt idx="185">
                  <c:v>0.98148148148148151</c:v>
                </c:pt>
                <c:pt idx="186">
                  <c:v>0.97925925925925927</c:v>
                </c:pt>
                <c:pt idx="187">
                  <c:v>0.98296296296296293</c:v>
                </c:pt>
                <c:pt idx="188">
                  <c:v>0.97407407407407409</c:v>
                </c:pt>
                <c:pt idx="189">
                  <c:v>0.97851851851851845</c:v>
                </c:pt>
                <c:pt idx="190">
                  <c:v>0.95925925925925926</c:v>
                </c:pt>
                <c:pt idx="191">
                  <c:v>0.97777777777777775</c:v>
                </c:pt>
                <c:pt idx="192">
                  <c:v>0.97703703703703704</c:v>
                </c:pt>
                <c:pt idx="193">
                  <c:v>0.9807407407407408</c:v>
                </c:pt>
                <c:pt idx="194">
                  <c:v>0.95925925925925926</c:v>
                </c:pt>
                <c:pt idx="195">
                  <c:v>0.98148148148148151</c:v>
                </c:pt>
                <c:pt idx="196">
                  <c:v>0.98296296296296293</c:v>
                </c:pt>
                <c:pt idx="197">
                  <c:v>0.98148148148148151</c:v>
                </c:pt>
                <c:pt idx="198">
                  <c:v>0.95703703703703702</c:v>
                </c:pt>
                <c:pt idx="199">
                  <c:v>0.97555555555555562</c:v>
                </c:pt>
                <c:pt idx="200">
                  <c:v>0.97629629629629633</c:v>
                </c:pt>
                <c:pt idx="201">
                  <c:v>0.97555555555555562</c:v>
                </c:pt>
                <c:pt idx="202">
                  <c:v>0.95925925925925926</c:v>
                </c:pt>
                <c:pt idx="203">
                  <c:v>0.98518518518518516</c:v>
                </c:pt>
                <c:pt idx="204">
                  <c:v>0.97530864197530864</c:v>
                </c:pt>
                <c:pt idx="205">
                  <c:v>0.98074074074074069</c:v>
                </c:pt>
                <c:pt idx="206">
                  <c:v>0.97407407407407409</c:v>
                </c:pt>
                <c:pt idx="207">
                  <c:v>0.96518518518518515</c:v>
                </c:pt>
                <c:pt idx="208">
                  <c:v>0.97407407407407409</c:v>
                </c:pt>
                <c:pt idx="209">
                  <c:v>0.97925925925925927</c:v>
                </c:pt>
                <c:pt idx="210">
                  <c:v>0.9748148148148148</c:v>
                </c:pt>
                <c:pt idx="211">
                  <c:v>0.97555555555555551</c:v>
                </c:pt>
                <c:pt idx="212">
                  <c:v>0.97777777777777775</c:v>
                </c:pt>
                <c:pt idx="213">
                  <c:v>0.96074074074074067</c:v>
                </c:pt>
                <c:pt idx="214">
                  <c:v>0.9807407407407408</c:v>
                </c:pt>
                <c:pt idx="215">
                  <c:v>0.9622222222222222</c:v>
                </c:pt>
                <c:pt idx="216">
                  <c:v>0.98148148148148151</c:v>
                </c:pt>
                <c:pt idx="217">
                  <c:v>0.97703703703703704</c:v>
                </c:pt>
                <c:pt idx="218">
                  <c:v>0.98296296296296293</c:v>
                </c:pt>
                <c:pt idx="219">
                  <c:v>0.97851851851851845</c:v>
                </c:pt>
                <c:pt idx="220">
                  <c:v>0.96888888888888891</c:v>
                </c:pt>
                <c:pt idx="221">
                  <c:v>0.97555555555555562</c:v>
                </c:pt>
                <c:pt idx="222">
                  <c:v>0.97703703703703704</c:v>
                </c:pt>
                <c:pt idx="223">
                  <c:v>0.96074074074074067</c:v>
                </c:pt>
                <c:pt idx="224">
                  <c:v>0.97851851851851857</c:v>
                </c:pt>
                <c:pt idx="225">
                  <c:v>0.95851851851851855</c:v>
                </c:pt>
                <c:pt idx="226">
                  <c:v>0.98148148148148151</c:v>
                </c:pt>
                <c:pt idx="227">
                  <c:v>0.97703703703703704</c:v>
                </c:pt>
                <c:pt idx="228">
                  <c:v>0.9807407407407408</c:v>
                </c:pt>
                <c:pt idx="229">
                  <c:v>0.98148148148148151</c:v>
                </c:pt>
                <c:pt idx="230">
                  <c:v>0.97407407407407409</c:v>
                </c:pt>
                <c:pt idx="231">
                  <c:v>0.9748148148148148</c:v>
                </c:pt>
                <c:pt idx="232">
                  <c:v>0.9622222222222222</c:v>
                </c:pt>
                <c:pt idx="233">
                  <c:v>0.97259259259259256</c:v>
                </c:pt>
                <c:pt idx="234">
                  <c:v>0.9555555555555556</c:v>
                </c:pt>
                <c:pt idx="235">
                  <c:v>0.9748148148148148</c:v>
                </c:pt>
                <c:pt idx="236">
                  <c:v>0.9807407407407408</c:v>
                </c:pt>
                <c:pt idx="237">
                  <c:v>0.97777777777777775</c:v>
                </c:pt>
                <c:pt idx="238">
                  <c:v>0.98296296296296293</c:v>
                </c:pt>
                <c:pt idx="239">
                  <c:v>0.97629629629629633</c:v>
                </c:pt>
                <c:pt idx="240">
                  <c:v>0.9807407407407408</c:v>
                </c:pt>
                <c:pt idx="241">
                  <c:v>0.96148148148148149</c:v>
                </c:pt>
                <c:pt idx="242">
                  <c:v>0.96296296296296291</c:v>
                </c:pt>
                <c:pt idx="243">
                  <c:v>0.97703703703703704</c:v>
                </c:pt>
                <c:pt idx="244">
                  <c:v>0.95777777777777773</c:v>
                </c:pt>
                <c:pt idx="245">
                  <c:v>0.98296296296296293</c:v>
                </c:pt>
                <c:pt idx="246">
                  <c:v>0.9807407407407408</c:v>
                </c:pt>
                <c:pt idx="247">
                  <c:v>0.97629629629629633</c:v>
                </c:pt>
                <c:pt idx="248">
                  <c:v>0.9807407407407408</c:v>
                </c:pt>
                <c:pt idx="249">
                  <c:v>0.98148148148148151</c:v>
                </c:pt>
                <c:pt idx="250">
                  <c:v>0.9622222222222222</c:v>
                </c:pt>
                <c:pt idx="251">
                  <c:v>0.96148148148148149</c:v>
                </c:pt>
                <c:pt idx="252">
                  <c:v>0.98148148148148151</c:v>
                </c:pt>
                <c:pt idx="253">
                  <c:v>0.96148148148148149</c:v>
                </c:pt>
                <c:pt idx="254">
                  <c:v>0.97703703703703704</c:v>
                </c:pt>
                <c:pt idx="255">
                  <c:v>0.9824074074074074</c:v>
                </c:pt>
                <c:pt idx="256">
                  <c:v>0.98444444444444446</c:v>
                </c:pt>
                <c:pt idx="257">
                  <c:v>0.97555555555555551</c:v>
                </c:pt>
                <c:pt idx="258">
                  <c:v>0.95925925925925926</c:v>
                </c:pt>
                <c:pt idx="259">
                  <c:v>0.95777777777777784</c:v>
                </c:pt>
                <c:pt idx="260">
                  <c:v>0.95777777777777773</c:v>
                </c:pt>
                <c:pt idx="261">
                  <c:v>0.98</c:v>
                </c:pt>
                <c:pt idx="262">
                  <c:v>0.9748148148148148</c:v>
                </c:pt>
                <c:pt idx="263">
                  <c:v>0.97851851851851857</c:v>
                </c:pt>
                <c:pt idx="264">
                  <c:v>0.96444444444444444</c:v>
                </c:pt>
                <c:pt idx="265">
                  <c:v>0.95703703703703702</c:v>
                </c:pt>
                <c:pt idx="266">
                  <c:v>0.98074074074074069</c:v>
                </c:pt>
                <c:pt idx="267">
                  <c:v>0.95925925925925926</c:v>
                </c:pt>
                <c:pt idx="268">
                  <c:v>0.98</c:v>
                </c:pt>
                <c:pt idx="269">
                  <c:v>0.97777777777777775</c:v>
                </c:pt>
                <c:pt idx="270">
                  <c:v>0.96444444444444444</c:v>
                </c:pt>
                <c:pt idx="271">
                  <c:v>0.96148148148148149</c:v>
                </c:pt>
                <c:pt idx="272">
                  <c:v>0.96148148148148149</c:v>
                </c:pt>
                <c:pt idx="273">
                  <c:v>0.97555555555555551</c:v>
                </c:pt>
                <c:pt idx="274">
                  <c:v>0.97629629629629633</c:v>
                </c:pt>
                <c:pt idx="275">
                  <c:v>0.97925925925925927</c:v>
                </c:pt>
                <c:pt idx="276">
                  <c:v>0.9622222222222222</c:v>
                </c:pt>
                <c:pt idx="277">
                  <c:v>0.96148148148148149</c:v>
                </c:pt>
                <c:pt idx="278">
                  <c:v>0.97777777777777775</c:v>
                </c:pt>
                <c:pt idx="279">
                  <c:v>0.97777777777777775</c:v>
                </c:pt>
                <c:pt idx="280">
                  <c:v>0.97703703703703704</c:v>
                </c:pt>
                <c:pt idx="281">
                  <c:v>0.96370370370370373</c:v>
                </c:pt>
                <c:pt idx="282">
                  <c:v>0.96370370370370373</c:v>
                </c:pt>
                <c:pt idx="283">
                  <c:v>0.97629629629629633</c:v>
                </c:pt>
                <c:pt idx="284">
                  <c:v>0.9748148148148148</c:v>
                </c:pt>
                <c:pt idx="285">
                  <c:v>0.97925925925925927</c:v>
                </c:pt>
                <c:pt idx="286">
                  <c:v>0.96</c:v>
                </c:pt>
                <c:pt idx="287">
                  <c:v>0.9622222222222222</c:v>
                </c:pt>
                <c:pt idx="288">
                  <c:v>0.97925925925925927</c:v>
                </c:pt>
                <c:pt idx="289">
                  <c:v>0.97555555555555551</c:v>
                </c:pt>
                <c:pt idx="290">
                  <c:v>0.97407407407407409</c:v>
                </c:pt>
                <c:pt idx="291">
                  <c:v>0.95851851851851855</c:v>
                </c:pt>
                <c:pt idx="292">
                  <c:v>0.96</c:v>
                </c:pt>
                <c:pt idx="293">
                  <c:v>0.97629629629629622</c:v>
                </c:pt>
                <c:pt idx="294">
                  <c:v>0.97629629629629633</c:v>
                </c:pt>
                <c:pt idx="295">
                  <c:v>0.97777777777777775</c:v>
                </c:pt>
                <c:pt idx="296">
                  <c:v>0.96074074074074067</c:v>
                </c:pt>
                <c:pt idx="297">
                  <c:v>0.97407407407407409</c:v>
                </c:pt>
                <c:pt idx="298">
                  <c:v>0.9748148148148148</c:v>
                </c:pt>
                <c:pt idx="299">
                  <c:v>0.97777777777777775</c:v>
                </c:pt>
                <c:pt idx="300">
                  <c:v>0.97629629629629633</c:v>
                </c:pt>
                <c:pt idx="301">
                  <c:v>0.97703703703703704</c:v>
                </c:pt>
                <c:pt idx="302">
                  <c:v>0.97629629629629633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CD6-414F-A54F-21F0C936B869}"/>
            </c:ext>
          </c:extLst>
        </c:ser>
        <c:ser>
          <c:idx val="5"/>
          <c:order val="5"/>
          <c:tx>
            <c:strRef>
              <c:f>Digits!$AJ$1</c:f>
              <c:strCache>
                <c:ptCount val="1"/>
                <c:pt idx="0">
                  <c:v>mlp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Digits!$AD$2:$AD$304</c:f>
              <c:numCache>
                <c:formatCode>General</c:formatCode>
                <c:ptCount val="303"/>
                <c:pt idx="0">
                  <c:v>46234</c:v>
                </c:pt>
                <c:pt idx="1">
                  <c:v>48160</c:v>
                </c:pt>
                <c:pt idx="2">
                  <c:v>50086</c:v>
                </c:pt>
                <c:pt idx="3">
                  <c:v>51049</c:v>
                </c:pt>
                <c:pt idx="4">
                  <c:v>52012</c:v>
                </c:pt>
                <c:pt idx="5">
                  <c:v>53938</c:v>
                </c:pt>
                <c:pt idx="6">
                  <c:v>55864</c:v>
                </c:pt>
                <c:pt idx="7">
                  <c:v>56890</c:v>
                </c:pt>
                <c:pt idx="8">
                  <c:v>57790</c:v>
                </c:pt>
                <c:pt idx="9">
                  <c:v>59716</c:v>
                </c:pt>
                <c:pt idx="10">
                  <c:v>61642</c:v>
                </c:pt>
                <c:pt idx="11">
                  <c:v>62815</c:v>
                </c:pt>
                <c:pt idx="12">
                  <c:v>63568</c:v>
                </c:pt>
                <c:pt idx="13">
                  <c:v>65494</c:v>
                </c:pt>
                <c:pt idx="14">
                  <c:v>67420</c:v>
                </c:pt>
                <c:pt idx="15">
                  <c:v>67546</c:v>
                </c:pt>
                <c:pt idx="16">
                  <c:v>68740</c:v>
                </c:pt>
                <c:pt idx="17">
                  <c:v>69346</c:v>
                </c:pt>
                <c:pt idx="18">
                  <c:v>71272</c:v>
                </c:pt>
                <c:pt idx="19">
                  <c:v>73198</c:v>
                </c:pt>
                <c:pt idx="20">
                  <c:v>74581</c:v>
                </c:pt>
                <c:pt idx="21">
                  <c:v>74665</c:v>
                </c:pt>
                <c:pt idx="22">
                  <c:v>75124</c:v>
                </c:pt>
                <c:pt idx="23">
                  <c:v>77050</c:v>
                </c:pt>
                <c:pt idx="24">
                  <c:v>78976</c:v>
                </c:pt>
                <c:pt idx="25">
                  <c:v>80590</c:v>
                </c:pt>
                <c:pt idx="26">
                  <c:v>80902</c:v>
                </c:pt>
                <c:pt idx="27">
                  <c:v>81616</c:v>
                </c:pt>
                <c:pt idx="28">
                  <c:v>82828</c:v>
                </c:pt>
                <c:pt idx="29">
                  <c:v>84754</c:v>
                </c:pt>
                <c:pt idx="30">
                  <c:v>86515</c:v>
                </c:pt>
                <c:pt idx="31">
                  <c:v>86680</c:v>
                </c:pt>
                <c:pt idx="32">
                  <c:v>88606</c:v>
                </c:pt>
                <c:pt idx="33">
                  <c:v>88651</c:v>
                </c:pt>
                <c:pt idx="34">
                  <c:v>88858</c:v>
                </c:pt>
                <c:pt idx="35">
                  <c:v>90532</c:v>
                </c:pt>
                <c:pt idx="36">
                  <c:v>92440</c:v>
                </c:pt>
                <c:pt idx="37">
                  <c:v>92458</c:v>
                </c:pt>
                <c:pt idx="38">
                  <c:v>94384</c:v>
                </c:pt>
                <c:pt idx="39">
                  <c:v>95686</c:v>
                </c:pt>
                <c:pt idx="40">
                  <c:v>96310</c:v>
                </c:pt>
                <c:pt idx="41">
                  <c:v>98113</c:v>
                </c:pt>
                <c:pt idx="42">
                  <c:v>98236</c:v>
                </c:pt>
                <c:pt idx="43">
                  <c:v>98365</c:v>
                </c:pt>
                <c:pt idx="44">
                  <c:v>100162</c:v>
                </c:pt>
                <c:pt idx="45">
                  <c:v>102088</c:v>
                </c:pt>
                <c:pt idx="46">
                  <c:v>102721</c:v>
                </c:pt>
                <c:pt idx="47">
                  <c:v>104014</c:v>
                </c:pt>
                <c:pt idx="48">
                  <c:v>104290</c:v>
                </c:pt>
                <c:pt idx="49">
                  <c:v>105940</c:v>
                </c:pt>
                <c:pt idx="50">
                  <c:v>107368</c:v>
                </c:pt>
                <c:pt idx="51">
                  <c:v>107866</c:v>
                </c:pt>
                <c:pt idx="52">
                  <c:v>109756</c:v>
                </c:pt>
                <c:pt idx="53">
                  <c:v>109792</c:v>
                </c:pt>
                <c:pt idx="54">
                  <c:v>110215</c:v>
                </c:pt>
                <c:pt idx="55">
                  <c:v>111718</c:v>
                </c:pt>
                <c:pt idx="56">
                  <c:v>113644</c:v>
                </c:pt>
                <c:pt idx="57">
                  <c:v>114954</c:v>
                </c:pt>
                <c:pt idx="58">
                  <c:v>115570</c:v>
                </c:pt>
                <c:pt idx="59">
                  <c:v>116140</c:v>
                </c:pt>
                <c:pt idx="60">
                  <c:v>116623</c:v>
                </c:pt>
                <c:pt idx="61">
                  <c:v>116791</c:v>
                </c:pt>
                <c:pt idx="62">
                  <c:v>116880</c:v>
                </c:pt>
                <c:pt idx="63">
                  <c:v>117496</c:v>
                </c:pt>
                <c:pt idx="64">
                  <c:v>118806</c:v>
                </c:pt>
                <c:pt idx="65">
                  <c:v>119422</c:v>
                </c:pt>
                <c:pt idx="66">
                  <c:v>120732</c:v>
                </c:pt>
                <c:pt idx="67">
                  <c:v>121348</c:v>
                </c:pt>
                <c:pt idx="68">
                  <c:v>121614</c:v>
                </c:pt>
                <c:pt idx="69">
                  <c:v>122065</c:v>
                </c:pt>
                <c:pt idx="70">
                  <c:v>122658</c:v>
                </c:pt>
                <c:pt idx="71">
                  <c:v>123274</c:v>
                </c:pt>
                <c:pt idx="72">
                  <c:v>123826</c:v>
                </c:pt>
                <c:pt idx="73">
                  <c:v>124944</c:v>
                </c:pt>
                <c:pt idx="74">
                  <c:v>125200</c:v>
                </c:pt>
                <c:pt idx="75">
                  <c:v>125878</c:v>
                </c:pt>
                <c:pt idx="76">
                  <c:v>126689</c:v>
                </c:pt>
                <c:pt idx="77">
                  <c:v>127990</c:v>
                </c:pt>
                <c:pt idx="78">
                  <c:v>128274</c:v>
                </c:pt>
                <c:pt idx="79">
                  <c:v>130149</c:v>
                </c:pt>
                <c:pt idx="80">
                  <c:v>130861</c:v>
                </c:pt>
                <c:pt idx="81">
                  <c:v>131764</c:v>
                </c:pt>
                <c:pt idx="82">
                  <c:v>133609</c:v>
                </c:pt>
                <c:pt idx="83">
                  <c:v>133915</c:v>
                </c:pt>
                <c:pt idx="84">
                  <c:v>135133</c:v>
                </c:pt>
                <c:pt idx="85">
                  <c:v>135354</c:v>
                </c:pt>
                <c:pt idx="86">
                  <c:v>136839</c:v>
                </c:pt>
                <c:pt idx="87">
                  <c:v>137896</c:v>
                </c:pt>
                <c:pt idx="88">
                  <c:v>138944</c:v>
                </c:pt>
                <c:pt idx="89">
                  <c:v>139840</c:v>
                </c:pt>
                <c:pt idx="90">
                  <c:v>140559</c:v>
                </c:pt>
                <c:pt idx="91">
                  <c:v>141450</c:v>
                </c:pt>
                <c:pt idx="92">
                  <c:v>141914</c:v>
                </c:pt>
                <c:pt idx="93">
                  <c:v>144279</c:v>
                </c:pt>
                <c:pt idx="94">
                  <c:v>144388</c:v>
                </c:pt>
                <c:pt idx="95">
                  <c:v>144931</c:v>
                </c:pt>
                <c:pt idx="96">
                  <c:v>145548</c:v>
                </c:pt>
                <c:pt idx="97">
                  <c:v>145764</c:v>
                </c:pt>
                <c:pt idx="98">
                  <c:v>145765</c:v>
                </c:pt>
                <c:pt idx="99">
                  <c:v>146989</c:v>
                </c:pt>
                <c:pt idx="100">
                  <c:v>147375</c:v>
                </c:pt>
                <c:pt idx="101">
                  <c:v>149614</c:v>
                </c:pt>
                <c:pt idx="102">
                  <c:v>149646</c:v>
                </c:pt>
                <c:pt idx="103">
                  <c:v>150969</c:v>
                </c:pt>
                <c:pt idx="104">
                  <c:v>151633</c:v>
                </c:pt>
                <c:pt idx="105">
                  <c:v>151690</c:v>
                </c:pt>
                <c:pt idx="106">
                  <c:v>151966</c:v>
                </c:pt>
                <c:pt idx="107">
                  <c:v>152064</c:v>
                </c:pt>
                <c:pt idx="108">
                  <c:v>153300</c:v>
                </c:pt>
                <c:pt idx="109">
                  <c:v>153643</c:v>
                </c:pt>
                <c:pt idx="110">
                  <c:v>153744</c:v>
                </c:pt>
                <c:pt idx="111">
                  <c:v>154949</c:v>
                </c:pt>
                <c:pt idx="112">
                  <c:v>155891</c:v>
                </c:pt>
                <c:pt idx="113">
                  <c:v>156174</c:v>
                </c:pt>
                <c:pt idx="114">
                  <c:v>157139</c:v>
                </c:pt>
                <c:pt idx="115">
                  <c:v>157718</c:v>
                </c:pt>
                <c:pt idx="116">
                  <c:v>157842</c:v>
                </c:pt>
                <c:pt idx="117">
                  <c:v>159001</c:v>
                </c:pt>
                <c:pt idx="118">
                  <c:v>159225</c:v>
                </c:pt>
                <c:pt idx="119">
                  <c:v>160149</c:v>
                </c:pt>
                <c:pt idx="120">
                  <c:v>160284</c:v>
                </c:pt>
                <c:pt idx="121">
                  <c:v>161379</c:v>
                </c:pt>
                <c:pt idx="122">
                  <c:v>162136</c:v>
                </c:pt>
                <c:pt idx="123">
                  <c:v>162214</c:v>
                </c:pt>
                <c:pt idx="124">
                  <c:v>162898</c:v>
                </c:pt>
                <c:pt idx="125">
                  <c:v>163803</c:v>
                </c:pt>
                <c:pt idx="126">
                  <c:v>164407</c:v>
                </c:pt>
                <c:pt idx="127">
                  <c:v>165150</c:v>
                </c:pt>
                <c:pt idx="128">
                  <c:v>165619</c:v>
                </c:pt>
                <c:pt idx="129">
                  <c:v>166036</c:v>
                </c:pt>
                <c:pt idx="130">
                  <c:v>166554</c:v>
                </c:pt>
                <c:pt idx="131">
                  <c:v>166584</c:v>
                </c:pt>
                <c:pt idx="132">
                  <c:v>167289</c:v>
                </c:pt>
                <c:pt idx="133">
                  <c:v>167946</c:v>
                </c:pt>
                <c:pt idx="134">
                  <c:v>168381</c:v>
                </c:pt>
                <c:pt idx="135">
                  <c:v>169888</c:v>
                </c:pt>
                <c:pt idx="136">
                  <c:v>170954</c:v>
                </c:pt>
                <c:pt idx="137">
                  <c:v>170972</c:v>
                </c:pt>
                <c:pt idx="138">
                  <c:v>171075</c:v>
                </c:pt>
                <c:pt idx="139">
                  <c:v>171789</c:v>
                </c:pt>
                <c:pt idx="140">
                  <c:v>172153</c:v>
                </c:pt>
                <c:pt idx="141">
                  <c:v>172364</c:v>
                </c:pt>
                <c:pt idx="142">
                  <c:v>172812</c:v>
                </c:pt>
                <c:pt idx="143">
                  <c:v>172959</c:v>
                </c:pt>
                <c:pt idx="144">
                  <c:v>173071</c:v>
                </c:pt>
                <c:pt idx="145">
                  <c:v>174626</c:v>
                </c:pt>
                <c:pt idx="146">
                  <c:v>174981</c:v>
                </c:pt>
                <c:pt idx="147">
                  <c:v>175973</c:v>
                </c:pt>
                <c:pt idx="148">
                  <c:v>176289</c:v>
                </c:pt>
                <c:pt idx="149">
                  <c:v>176994</c:v>
                </c:pt>
                <c:pt idx="150">
                  <c:v>177000</c:v>
                </c:pt>
                <c:pt idx="151">
                  <c:v>177439</c:v>
                </c:pt>
                <c:pt idx="152">
                  <c:v>177537</c:v>
                </c:pt>
                <c:pt idx="153">
                  <c:v>179364</c:v>
                </c:pt>
                <c:pt idx="154">
                  <c:v>180037</c:v>
                </c:pt>
                <c:pt idx="155">
                  <c:v>180106</c:v>
                </c:pt>
                <c:pt idx="156">
                  <c:v>180871</c:v>
                </c:pt>
                <c:pt idx="157">
                  <c:v>181408</c:v>
                </c:pt>
                <c:pt idx="158">
                  <c:v>181624</c:v>
                </c:pt>
                <c:pt idx="159">
                  <c:v>182016</c:v>
                </c:pt>
                <c:pt idx="160">
                  <c:v>182058</c:v>
                </c:pt>
                <c:pt idx="161">
                  <c:v>182199</c:v>
                </c:pt>
                <c:pt idx="162">
                  <c:v>182514</c:v>
                </c:pt>
                <c:pt idx="163">
                  <c:v>182925</c:v>
                </c:pt>
                <c:pt idx="164">
                  <c:v>184102</c:v>
                </c:pt>
                <c:pt idx="165">
                  <c:v>185769</c:v>
                </c:pt>
                <c:pt idx="166">
                  <c:v>186959</c:v>
                </c:pt>
                <c:pt idx="167">
                  <c:v>187116</c:v>
                </c:pt>
                <c:pt idx="168">
                  <c:v>187262</c:v>
                </c:pt>
                <c:pt idx="169">
                  <c:v>187404</c:v>
                </c:pt>
                <c:pt idx="170">
                  <c:v>187589</c:v>
                </c:pt>
                <c:pt idx="171">
                  <c:v>188143</c:v>
                </c:pt>
                <c:pt idx="172">
                  <c:v>188850</c:v>
                </c:pt>
                <c:pt idx="173">
                  <c:v>189051</c:v>
                </c:pt>
                <c:pt idx="174">
                  <c:v>190663</c:v>
                </c:pt>
                <c:pt idx="175">
                  <c:v>190667</c:v>
                </c:pt>
                <c:pt idx="176">
                  <c:v>192174</c:v>
                </c:pt>
                <c:pt idx="177">
                  <c:v>192294</c:v>
                </c:pt>
                <c:pt idx="178">
                  <c:v>192609</c:v>
                </c:pt>
                <c:pt idx="179">
                  <c:v>193361</c:v>
                </c:pt>
                <c:pt idx="180">
                  <c:v>194228</c:v>
                </c:pt>
                <c:pt idx="181">
                  <c:v>194442</c:v>
                </c:pt>
                <c:pt idx="182">
                  <c:v>194487</c:v>
                </c:pt>
                <c:pt idx="183">
                  <c:v>194775</c:v>
                </c:pt>
                <c:pt idx="184">
                  <c:v>196086</c:v>
                </c:pt>
                <c:pt idx="185">
                  <c:v>197232</c:v>
                </c:pt>
                <c:pt idx="186">
                  <c:v>197629</c:v>
                </c:pt>
                <c:pt idx="187">
                  <c:v>198579</c:v>
                </c:pt>
                <c:pt idx="188">
                  <c:v>199606</c:v>
                </c:pt>
                <c:pt idx="189">
                  <c:v>199918</c:v>
                </c:pt>
                <c:pt idx="190">
                  <c:v>200076</c:v>
                </c:pt>
                <c:pt idx="191">
                  <c:v>200313</c:v>
                </c:pt>
                <c:pt idx="192">
                  <c:v>200700</c:v>
                </c:pt>
                <c:pt idx="193">
                  <c:v>201712</c:v>
                </c:pt>
                <c:pt idx="194">
                  <c:v>202587</c:v>
                </c:pt>
                <c:pt idx="195">
                  <c:v>203121</c:v>
                </c:pt>
                <c:pt idx="196">
                  <c:v>203797</c:v>
                </c:pt>
                <c:pt idx="197">
                  <c:v>204984</c:v>
                </c:pt>
                <c:pt idx="198">
                  <c:v>205710</c:v>
                </c:pt>
                <c:pt idx="199">
                  <c:v>205851</c:v>
                </c:pt>
                <c:pt idx="200">
                  <c:v>206398</c:v>
                </c:pt>
                <c:pt idx="201">
                  <c:v>206625</c:v>
                </c:pt>
                <c:pt idx="202">
                  <c:v>208441</c:v>
                </c:pt>
                <c:pt idx="203">
                  <c:v>208937</c:v>
                </c:pt>
                <c:pt idx="204">
                  <c:v>209173</c:v>
                </c:pt>
                <c:pt idx="205">
                  <c:v>210156</c:v>
                </c:pt>
                <c:pt idx="206">
                  <c:v>210362</c:v>
                </c:pt>
                <c:pt idx="207">
                  <c:v>210732</c:v>
                </c:pt>
                <c:pt idx="208">
                  <c:v>211344</c:v>
                </c:pt>
                <c:pt idx="209">
                  <c:v>211389</c:v>
                </c:pt>
                <c:pt idx="210">
                  <c:v>212096</c:v>
                </c:pt>
                <c:pt idx="211">
                  <c:v>212483</c:v>
                </c:pt>
                <c:pt idx="212">
                  <c:v>212550</c:v>
                </c:pt>
                <c:pt idx="213">
                  <c:v>214295</c:v>
                </c:pt>
                <c:pt idx="214">
                  <c:v>216162</c:v>
                </c:pt>
                <c:pt idx="215">
                  <c:v>216806</c:v>
                </c:pt>
                <c:pt idx="216">
                  <c:v>216927</c:v>
                </c:pt>
                <c:pt idx="217">
                  <c:v>216978</c:v>
                </c:pt>
                <c:pt idx="218">
                  <c:v>217191</c:v>
                </c:pt>
                <c:pt idx="219">
                  <c:v>217794</c:v>
                </c:pt>
                <c:pt idx="220">
                  <c:v>218341</c:v>
                </c:pt>
                <c:pt idx="221">
                  <c:v>218475</c:v>
                </c:pt>
                <c:pt idx="222">
                  <c:v>218568</c:v>
                </c:pt>
                <c:pt idx="223">
                  <c:v>218877</c:v>
                </c:pt>
                <c:pt idx="224">
                  <c:v>220149</c:v>
                </c:pt>
                <c:pt idx="225">
                  <c:v>222880</c:v>
                </c:pt>
                <c:pt idx="226">
                  <c:v>223387</c:v>
                </c:pt>
                <c:pt idx="227">
                  <c:v>223492</c:v>
                </c:pt>
                <c:pt idx="228">
                  <c:v>224199</c:v>
                </c:pt>
                <c:pt idx="229">
                  <c:v>224226</c:v>
                </c:pt>
                <c:pt idx="230">
                  <c:v>224586</c:v>
                </c:pt>
                <c:pt idx="231">
                  <c:v>224653</c:v>
                </c:pt>
                <c:pt idx="232">
                  <c:v>225171</c:v>
                </c:pt>
                <c:pt idx="233">
                  <c:v>226003</c:v>
                </c:pt>
                <c:pt idx="234">
                  <c:v>227022</c:v>
                </c:pt>
                <c:pt idx="235">
                  <c:v>228954</c:v>
                </c:pt>
                <c:pt idx="236">
                  <c:v>230057</c:v>
                </c:pt>
                <c:pt idx="237">
                  <c:v>230604</c:v>
                </c:pt>
                <c:pt idx="238">
                  <c:v>230612</c:v>
                </c:pt>
                <c:pt idx="239">
                  <c:v>230831</c:v>
                </c:pt>
                <c:pt idx="240">
                  <c:v>231261</c:v>
                </c:pt>
                <c:pt idx="241">
                  <c:v>231465</c:v>
                </c:pt>
                <c:pt idx="242">
                  <c:v>233536</c:v>
                </c:pt>
                <c:pt idx="243">
                  <c:v>235028</c:v>
                </c:pt>
                <c:pt idx="244">
                  <c:v>235167</c:v>
                </c:pt>
                <c:pt idx="245">
                  <c:v>236622</c:v>
                </c:pt>
                <c:pt idx="246">
                  <c:v>237009</c:v>
                </c:pt>
                <c:pt idx="247">
                  <c:v>237759</c:v>
                </c:pt>
                <c:pt idx="248">
                  <c:v>237837</c:v>
                </c:pt>
                <c:pt idx="249">
                  <c:v>238296</c:v>
                </c:pt>
                <c:pt idx="250">
                  <c:v>240050</c:v>
                </c:pt>
                <c:pt idx="251">
                  <c:v>241901</c:v>
                </c:pt>
                <c:pt idx="252">
                  <c:v>243187</c:v>
                </c:pt>
                <c:pt idx="253">
                  <c:v>243312</c:v>
                </c:pt>
                <c:pt idx="254">
                  <c:v>244053</c:v>
                </c:pt>
                <c:pt idx="255">
                  <c:v>245062</c:v>
                </c:pt>
                <c:pt idx="256">
                  <c:v>245331</c:v>
                </c:pt>
                <c:pt idx="257">
                  <c:v>246564</c:v>
                </c:pt>
                <c:pt idx="258">
                  <c:v>248635</c:v>
                </c:pt>
                <c:pt idx="259">
                  <c:v>250266</c:v>
                </c:pt>
                <c:pt idx="260">
                  <c:v>251457</c:v>
                </c:pt>
                <c:pt idx="261">
                  <c:v>252366</c:v>
                </c:pt>
                <c:pt idx="262">
                  <c:v>253078</c:v>
                </c:pt>
                <c:pt idx="263">
                  <c:v>255369</c:v>
                </c:pt>
                <c:pt idx="264">
                  <c:v>257220</c:v>
                </c:pt>
                <c:pt idx="265">
                  <c:v>258631</c:v>
                </c:pt>
                <c:pt idx="266">
                  <c:v>259401</c:v>
                </c:pt>
                <c:pt idx="267">
                  <c:v>259602</c:v>
                </c:pt>
                <c:pt idx="268">
                  <c:v>262103</c:v>
                </c:pt>
                <c:pt idx="269">
                  <c:v>264174</c:v>
                </c:pt>
                <c:pt idx="270">
                  <c:v>265805</c:v>
                </c:pt>
                <c:pt idx="271">
                  <c:v>266996</c:v>
                </c:pt>
                <c:pt idx="272">
                  <c:v>267747</c:v>
                </c:pt>
                <c:pt idx="273">
                  <c:v>271128</c:v>
                </c:pt>
                <c:pt idx="274">
                  <c:v>272979</c:v>
                </c:pt>
                <c:pt idx="275">
                  <c:v>274390</c:v>
                </c:pt>
                <c:pt idx="276">
                  <c:v>275361</c:v>
                </c:pt>
                <c:pt idx="277">
                  <c:v>275892</c:v>
                </c:pt>
                <c:pt idx="278">
                  <c:v>280153</c:v>
                </c:pt>
                <c:pt idx="279">
                  <c:v>281784</c:v>
                </c:pt>
                <c:pt idx="280">
                  <c:v>282975</c:v>
                </c:pt>
                <c:pt idx="281">
                  <c:v>283726</c:v>
                </c:pt>
                <c:pt idx="282">
                  <c:v>284037</c:v>
                </c:pt>
                <c:pt idx="283">
                  <c:v>289178</c:v>
                </c:pt>
                <c:pt idx="284">
                  <c:v>290589</c:v>
                </c:pt>
                <c:pt idx="285">
                  <c:v>291560</c:v>
                </c:pt>
                <c:pt idx="286">
                  <c:v>292091</c:v>
                </c:pt>
                <c:pt idx="287">
                  <c:v>292182</c:v>
                </c:pt>
                <c:pt idx="288">
                  <c:v>298203</c:v>
                </c:pt>
                <c:pt idx="289">
                  <c:v>299394</c:v>
                </c:pt>
                <c:pt idx="290">
                  <c:v>300145</c:v>
                </c:pt>
                <c:pt idx="291">
                  <c:v>300327</c:v>
                </c:pt>
                <c:pt idx="292">
                  <c:v>300456</c:v>
                </c:pt>
                <c:pt idx="293">
                  <c:v>307228</c:v>
                </c:pt>
                <c:pt idx="294">
                  <c:v>308199</c:v>
                </c:pt>
                <c:pt idx="295">
                  <c:v>308730</c:v>
                </c:pt>
                <c:pt idx="296">
                  <c:v>308821</c:v>
                </c:pt>
                <c:pt idx="297">
                  <c:v>316253</c:v>
                </c:pt>
                <c:pt idx="298">
                  <c:v>317004</c:v>
                </c:pt>
                <c:pt idx="299">
                  <c:v>317315</c:v>
                </c:pt>
                <c:pt idx="300">
                  <c:v>325278</c:v>
                </c:pt>
                <c:pt idx="301">
                  <c:v>325809</c:v>
                </c:pt>
                <c:pt idx="302">
                  <c:v>334303</c:v>
                </c:pt>
              </c:numCache>
            </c:numRef>
          </c:xVal>
          <c:yVal>
            <c:numRef>
              <c:f>Digits!$AJ$2:$AJ$304</c:f>
              <c:numCache>
                <c:formatCode>General</c:formatCode>
                <c:ptCount val="303"/>
                <c:pt idx="0">
                  <c:v>0.98898173939956668</c:v>
                </c:pt>
                <c:pt idx="1">
                  <c:v>0.98997214484679663</c:v>
                </c:pt>
                <c:pt idx="2">
                  <c:v>0.98960074280408539</c:v>
                </c:pt>
                <c:pt idx="3">
                  <c:v>0.98254410399257197</c:v>
                </c:pt>
                <c:pt idx="4">
                  <c:v>0.98922934076137425</c:v>
                </c:pt>
                <c:pt idx="5">
                  <c:v>0.98700092850510679</c:v>
                </c:pt>
                <c:pt idx="6">
                  <c:v>0.99015784586815225</c:v>
                </c:pt>
                <c:pt idx="7">
                  <c:v>0.98328690807799435</c:v>
                </c:pt>
                <c:pt idx="8">
                  <c:v>0.98922934076137414</c:v>
                </c:pt>
                <c:pt idx="9">
                  <c:v>0.9931290622098421</c:v>
                </c:pt>
                <c:pt idx="10">
                  <c:v>0.99034354688950788</c:v>
                </c:pt>
                <c:pt idx="11">
                  <c:v>0.99182915506035285</c:v>
                </c:pt>
                <c:pt idx="12">
                  <c:v>0.98774373259052928</c:v>
                </c:pt>
                <c:pt idx="13">
                  <c:v>0.98811513463324052</c:v>
                </c:pt>
                <c:pt idx="14">
                  <c:v>0.99201485608170847</c:v>
                </c:pt>
                <c:pt idx="15">
                  <c:v>0.9888579387186629</c:v>
                </c:pt>
                <c:pt idx="16">
                  <c:v>0.98514391829155057</c:v>
                </c:pt>
                <c:pt idx="17">
                  <c:v>0.9879294336118849</c:v>
                </c:pt>
                <c:pt idx="18">
                  <c:v>0.98922934076137414</c:v>
                </c:pt>
                <c:pt idx="19">
                  <c:v>0.98978644382544101</c:v>
                </c:pt>
                <c:pt idx="20">
                  <c:v>0.98737233054781803</c:v>
                </c:pt>
                <c:pt idx="21">
                  <c:v>0.98681522748375117</c:v>
                </c:pt>
                <c:pt idx="22">
                  <c:v>0.98867223769730739</c:v>
                </c:pt>
                <c:pt idx="23">
                  <c:v>0.98941504178272976</c:v>
                </c:pt>
                <c:pt idx="24">
                  <c:v>0.99257195914577534</c:v>
                </c:pt>
                <c:pt idx="25">
                  <c:v>0.97938718662952651</c:v>
                </c:pt>
                <c:pt idx="26">
                  <c:v>0.98997214484679663</c:v>
                </c:pt>
                <c:pt idx="27">
                  <c:v>0.99071494893221912</c:v>
                </c:pt>
                <c:pt idx="28">
                  <c:v>0.98978644382544101</c:v>
                </c:pt>
                <c:pt idx="29">
                  <c:v>0.98941504178272976</c:v>
                </c:pt>
                <c:pt idx="30">
                  <c:v>0.99015784586815225</c:v>
                </c:pt>
                <c:pt idx="31">
                  <c:v>0.9845868152274837</c:v>
                </c:pt>
                <c:pt idx="32">
                  <c:v>0.99071494893221912</c:v>
                </c:pt>
                <c:pt idx="33">
                  <c:v>0.99145775301764161</c:v>
                </c:pt>
                <c:pt idx="34">
                  <c:v>0.98904363974001852</c:v>
                </c:pt>
                <c:pt idx="35">
                  <c:v>0.98997214484679663</c:v>
                </c:pt>
                <c:pt idx="36">
                  <c:v>0.98904363974001852</c:v>
                </c:pt>
                <c:pt idx="37">
                  <c:v>0.99071494893221912</c:v>
                </c:pt>
                <c:pt idx="38">
                  <c:v>0.99182915506035285</c:v>
                </c:pt>
                <c:pt idx="39">
                  <c:v>0.98607242339832868</c:v>
                </c:pt>
                <c:pt idx="40">
                  <c:v>0.9905292479108635</c:v>
                </c:pt>
                <c:pt idx="41">
                  <c:v>0.98681522748375117</c:v>
                </c:pt>
                <c:pt idx="42">
                  <c:v>0.99090064995357474</c:v>
                </c:pt>
                <c:pt idx="43">
                  <c:v>0.99164345403899723</c:v>
                </c:pt>
                <c:pt idx="44">
                  <c:v>0.99368616527390907</c:v>
                </c:pt>
                <c:pt idx="45">
                  <c:v>0.99238625812441972</c:v>
                </c:pt>
                <c:pt idx="46">
                  <c:v>0.9879294336118849</c:v>
                </c:pt>
                <c:pt idx="47">
                  <c:v>0.99145775301764161</c:v>
                </c:pt>
                <c:pt idx="48">
                  <c:v>0.98941504178272988</c:v>
                </c:pt>
                <c:pt idx="49">
                  <c:v>0.99108635097493036</c:v>
                </c:pt>
                <c:pt idx="50">
                  <c:v>0.9879294336118849</c:v>
                </c:pt>
                <c:pt idx="51">
                  <c:v>0.99442896935933145</c:v>
                </c:pt>
                <c:pt idx="52">
                  <c:v>0.99071494893221912</c:v>
                </c:pt>
                <c:pt idx="53">
                  <c:v>0.99127205199628599</c:v>
                </c:pt>
                <c:pt idx="54">
                  <c:v>0.99145775301764161</c:v>
                </c:pt>
                <c:pt idx="55">
                  <c:v>0.99182915506035285</c:v>
                </c:pt>
                <c:pt idx="56">
                  <c:v>0.99182915506035285</c:v>
                </c:pt>
                <c:pt idx="57">
                  <c:v>0.99127205199628599</c:v>
                </c:pt>
                <c:pt idx="58">
                  <c:v>0.99164345403899723</c:v>
                </c:pt>
                <c:pt idx="59">
                  <c:v>0.98922934076137414</c:v>
                </c:pt>
                <c:pt idx="60">
                  <c:v>0.99201485608170847</c:v>
                </c:pt>
                <c:pt idx="61">
                  <c:v>0.99071494893221912</c:v>
                </c:pt>
                <c:pt idx="62">
                  <c:v>0.99182915506035285</c:v>
                </c:pt>
                <c:pt idx="63">
                  <c:v>0.99145775301764161</c:v>
                </c:pt>
                <c:pt idx="64">
                  <c:v>0.99535747446610956</c:v>
                </c:pt>
                <c:pt idx="65">
                  <c:v>0.98867223769730728</c:v>
                </c:pt>
                <c:pt idx="66">
                  <c:v>0.99331476323119772</c:v>
                </c:pt>
                <c:pt idx="67">
                  <c:v>0.99368616527390907</c:v>
                </c:pt>
                <c:pt idx="68">
                  <c:v>0.98607242339832868</c:v>
                </c:pt>
                <c:pt idx="69">
                  <c:v>0.98978644382544101</c:v>
                </c:pt>
                <c:pt idx="70">
                  <c:v>0.99350046425255334</c:v>
                </c:pt>
                <c:pt idx="71">
                  <c:v>0.98960074280408539</c:v>
                </c:pt>
                <c:pt idx="72">
                  <c:v>0.98978644382544101</c:v>
                </c:pt>
                <c:pt idx="73">
                  <c:v>0.99108635097493036</c:v>
                </c:pt>
                <c:pt idx="74">
                  <c:v>0.99257195914577523</c:v>
                </c:pt>
                <c:pt idx="75">
                  <c:v>0.98737233054781803</c:v>
                </c:pt>
                <c:pt idx="76">
                  <c:v>0.99015784586815225</c:v>
                </c:pt>
                <c:pt idx="77">
                  <c:v>0.99257195914577534</c:v>
                </c:pt>
                <c:pt idx="78">
                  <c:v>0.99090064995357474</c:v>
                </c:pt>
                <c:pt idx="79">
                  <c:v>0.98960074280408539</c:v>
                </c:pt>
                <c:pt idx="80">
                  <c:v>0.98811513463324041</c:v>
                </c:pt>
                <c:pt idx="81">
                  <c:v>0.98830083565459603</c:v>
                </c:pt>
                <c:pt idx="82">
                  <c:v>0.98811513463324052</c:v>
                </c:pt>
                <c:pt idx="83">
                  <c:v>0.99201485608170847</c:v>
                </c:pt>
                <c:pt idx="84">
                  <c:v>0.98570102135561755</c:v>
                </c:pt>
                <c:pt idx="85">
                  <c:v>0.99071494893221912</c:v>
                </c:pt>
                <c:pt idx="86">
                  <c:v>0.98904363974001852</c:v>
                </c:pt>
                <c:pt idx="87">
                  <c:v>0.9931290622098421</c:v>
                </c:pt>
                <c:pt idx="88">
                  <c:v>0.98848653667595177</c:v>
                </c:pt>
                <c:pt idx="89">
                  <c:v>0.98960074280408539</c:v>
                </c:pt>
                <c:pt idx="90">
                  <c:v>0.99182915506035285</c:v>
                </c:pt>
                <c:pt idx="91">
                  <c:v>0.99164345403899723</c:v>
                </c:pt>
                <c:pt idx="92">
                  <c:v>0.9879294336118849</c:v>
                </c:pt>
                <c:pt idx="93">
                  <c:v>0.99090064995357474</c:v>
                </c:pt>
                <c:pt idx="94">
                  <c:v>0.98848653667595177</c:v>
                </c:pt>
                <c:pt idx="95">
                  <c:v>0.9879294336118849</c:v>
                </c:pt>
                <c:pt idx="96">
                  <c:v>0.98997214484679663</c:v>
                </c:pt>
                <c:pt idx="97">
                  <c:v>0.98830083565459614</c:v>
                </c:pt>
                <c:pt idx="98">
                  <c:v>0.98922934076137425</c:v>
                </c:pt>
                <c:pt idx="99">
                  <c:v>0.99275766016713096</c:v>
                </c:pt>
                <c:pt idx="100">
                  <c:v>0.99182915506035285</c:v>
                </c:pt>
                <c:pt idx="101">
                  <c:v>0.98997214484679663</c:v>
                </c:pt>
                <c:pt idx="102">
                  <c:v>0.99275766016713096</c:v>
                </c:pt>
                <c:pt idx="103">
                  <c:v>0.99127205199628599</c:v>
                </c:pt>
                <c:pt idx="104">
                  <c:v>0.99164345403899723</c:v>
                </c:pt>
                <c:pt idx="105">
                  <c:v>0.99127205199628599</c:v>
                </c:pt>
                <c:pt idx="106">
                  <c:v>0.9905292479108635</c:v>
                </c:pt>
                <c:pt idx="107">
                  <c:v>0.98700092850510679</c:v>
                </c:pt>
                <c:pt idx="108">
                  <c:v>0.99275766016713085</c:v>
                </c:pt>
                <c:pt idx="109">
                  <c:v>0.98922934076137414</c:v>
                </c:pt>
                <c:pt idx="110">
                  <c:v>0.99108635097493036</c:v>
                </c:pt>
                <c:pt idx="111">
                  <c:v>0.99015784586815225</c:v>
                </c:pt>
                <c:pt idx="112">
                  <c:v>0.9922005571030641</c:v>
                </c:pt>
                <c:pt idx="113">
                  <c:v>0.99034354688950788</c:v>
                </c:pt>
                <c:pt idx="114">
                  <c:v>0.99164345403899723</c:v>
                </c:pt>
                <c:pt idx="115">
                  <c:v>0.99238625812441961</c:v>
                </c:pt>
                <c:pt idx="116">
                  <c:v>0.9879294336118849</c:v>
                </c:pt>
                <c:pt idx="117">
                  <c:v>0.99108635097493036</c:v>
                </c:pt>
                <c:pt idx="118">
                  <c:v>0.99331476323119783</c:v>
                </c:pt>
                <c:pt idx="119">
                  <c:v>0.99294336118848658</c:v>
                </c:pt>
                <c:pt idx="120">
                  <c:v>0.99201485608170847</c:v>
                </c:pt>
                <c:pt idx="121">
                  <c:v>0.9931290622098421</c:v>
                </c:pt>
                <c:pt idx="122">
                  <c:v>0.99350046425255334</c:v>
                </c:pt>
                <c:pt idx="123">
                  <c:v>0.99350046425255345</c:v>
                </c:pt>
                <c:pt idx="124">
                  <c:v>0.9888579387186629</c:v>
                </c:pt>
                <c:pt idx="125">
                  <c:v>0.99090064995357474</c:v>
                </c:pt>
                <c:pt idx="126">
                  <c:v>0.98978644382544101</c:v>
                </c:pt>
                <c:pt idx="127">
                  <c:v>0.99071494893221912</c:v>
                </c:pt>
                <c:pt idx="128">
                  <c:v>0.9922005571030641</c:v>
                </c:pt>
                <c:pt idx="129">
                  <c:v>0.99071494893221912</c:v>
                </c:pt>
                <c:pt idx="130">
                  <c:v>0.99108635097493036</c:v>
                </c:pt>
                <c:pt idx="131">
                  <c:v>0.99350046425255334</c:v>
                </c:pt>
                <c:pt idx="132">
                  <c:v>0.99275766016713096</c:v>
                </c:pt>
                <c:pt idx="133">
                  <c:v>0.9922005571030641</c:v>
                </c:pt>
                <c:pt idx="134">
                  <c:v>0.99387186629526458</c:v>
                </c:pt>
                <c:pt idx="135">
                  <c:v>0.99164345403899723</c:v>
                </c:pt>
                <c:pt idx="136">
                  <c:v>0.99368616527390907</c:v>
                </c:pt>
                <c:pt idx="137">
                  <c:v>0.98830083565459614</c:v>
                </c:pt>
                <c:pt idx="138">
                  <c:v>0.99201485608170847</c:v>
                </c:pt>
                <c:pt idx="139">
                  <c:v>0.98978644382544101</c:v>
                </c:pt>
                <c:pt idx="140">
                  <c:v>0.99424326833797583</c:v>
                </c:pt>
                <c:pt idx="141">
                  <c:v>0.99387186629526458</c:v>
                </c:pt>
                <c:pt idx="142">
                  <c:v>0.9888579387186629</c:v>
                </c:pt>
                <c:pt idx="143">
                  <c:v>0.99275766016713096</c:v>
                </c:pt>
                <c:pt idx="144">
                  <c:v>0.99257195914577534</c:v>
                </c:pt>
                <c:pt idx="145">
                  <c:v>0.99090064995357474</c:v>
                </c:pt>
                <c:pt idx="146">
                  <c:v>0.98904363974001863</c:v>
                </c:pt>
                <c:pt idx="147">
                  <c:v>0.99164345403899723</c:v>
                </c:pt>
                <c:pt idx="148">
                  <c:v>0.98830083565459614</c:v>
                </c:pt>
                <c:pt idx="149">
                  <c:v>0.98830083565459614</c:v>
                </c:pt>
                <c:pt idx="150">
                  <c:v>0.99090064995357474</c:v>
                </c:pt>
                <c:pt idx="151">
                  <c:v>0.98941504178272976</c:v>
                </c:pt>
                <c:pt idx="152">
                  <c:v>0.98922934076137425</c:v>
                </c:pt>
                <c:pt idx="153">
                  <c:v>0.99148870318786753</c:v>
                </c:pt>
                <c:pt idx="154">
                  <c:v>0.99535747446610956</c:v>
                </c:pt>
                <c:pt idx="155">
                  <c:v>0.99535747446610956</c:v>
                </c:pt>
                <c:pt idx="156">
                  <c:v>0.99312906220984221</c:v>
                </c:pt>
                <c:pt idx="157">
                  <c:v>0.98662952646239555</c:v>
                </c:pt>
                <c:pt idx="158">
                  <c:v>0.98811513463324052</c:v>
                </c:pt>
                <c:pt idx="159">
                  <c:v>0.99331476323119772</c:v>
                </c:pt>
                <c:pt idx="160">
                  <c:v>0.99201485608170847</c:v>
                </c:pt>
                <c:pt idx="161">
                  <c:v>0.98904363974001852</c:v>
                </c:pt>
                <c:pt idx="162">
                  <c:v>0.98960074280408539</c:v>
                </c:pt>
                <c:pt idx="163">
                  <c:v>0.99127205199628599</c:v>
                </c:pt>
                <c:pt idx="164">
                  <c:v>0.99034354688950788</c:v>
                </c:pt>
                <c:pt idx="165">
                  <c:v>0.98978644382544101</c:v>
                </c:pt>
                <c:pt idx="166">
                  <c:v>0.98737233054781803</c:v>
                </c:pt>
                <c:pt idx="167">
                  <c:v>0.99145775301764161</c:v>
                </c:pt>
                <c:pt idx="168">
                  <c:v>0.9888579387186629</c:v>
                </c:pt>
                <c:pt idx="169">
                  <c:v>0.99405756731662021</c:v>
                </c:pt>
                <c:pt idx="170">
                  <c:v>0.98848653667595177</c:v>
                </c:pt>
                <c:pt idx="171">
                  <c:v>0.99350046425255345</c:v>
                </c:pt>
                <c:pt idx="172">
                  <c:v>0.98997214484679663</c:v>
                </c:pt>
                <c:pt idx="173">
                  <c:v>0.98941504178272976</c:v>
                </c:pt>
                <c:pt idx="174">
                  <c:v>0.9905292479108635</c:v>
                </c:pt>
                <c:pt idx="175">
                  <c:v>0.9905292479108635</c:v>
                </c:pt>
                <c:pt idx="176">
                  <c:v>0.99108635097493036</c:v>
                </c:pt>
                <c:pt idx="177">
                  <c:v>0.99275766016713085</c:v>
                </c:pt>
                <c:pt idx="178">
                  <c:v>0.99257195914577534</c:v>
                </c:pt>
                <c:pt idx="179">
                  <c:v>0.99015784586815225</c:v>
                </c:pt>
                <c:pt idx="180">
                  <c:v>0.99257195914577534</c:v>
                </c:pt>
                <c:pt idx="181">
                  <c:v>0.9922005571030641</c:v>
                </c:pt>
                <c:pt idx="182">
                  <c:v>0.98978644382544101</c:v>
                </c:pt>
                <c:pt idx="183">
                  <c:v>0.99201485608170847</c:v>
                </c:pt>
                <c:pt idx="184">
                  <c:v>0.99127205199628599</c:v>
                </c:pt>
                <c:pt idx="185">
                  <c:v>0.99145775301764161</c:v>
                </c:pt>
                <c:pt idx="186">
                  <c:v>0.99145775301764161</c:v>
                </c:pt>
                <c:pt idx="187">
                  <c:v>0.99090064995357474</c:v>
                </c:pt>
                <c:pt idx="188">
                  <c:v>0.99350046425255334</c:v>
                </c:pt>
                <c:pt idx="189">
                  <c:v>0.99257195914577534</c:v>
                </c:pt>
                <c:pt idx="190">
                  <c:v>0.99257195914577534</c:v>
                </c:pt>
                <c:pt idx="191">
                  <c:v>0.99238625812441972</c:v>
                </c:pt>
                <c:pt idx="192">
                  <c:v>0.99405756731662021</c:v>
                </c:pt>
                <c:pt idx="193">
                  <c:v>0.99238625812441972</c:v>
                </c:pt>
                <c:pt idx="194">
                  <c:v>0.99145775301764161</c:v>
                </c:pt>
                <c:pt idx="195">
                  <c:v>0.98941504178272976</c:v>
                </c:pt>
                <c:pt idx="196">
                  <c:v>0.99108635097493036</c:v>
                </c:pt>
                <c:pt idx="197">
                  <c:v>0.99108635097493036</c:v>
                </c:pt>
                <c:pt idx="198">
                  <c:v>0.9931290622098421</c:v>
                </c:pt>
                <c:pt idx="199">
                  <c:v>0.99275766016713085</c:v>
                </c:pt>
                <c:pt idx="200">
                  <c:v>0.99257195914577534</c:v>
                </c:pt>
                <c:pt idx="201">
                  <c:v>0.99127205199628599</c:v>
                </c:pt>
                <c:pt idx="202">
                  <c:v>0.99312906220984221</c:v>
                </c:pt>
                <c:pt idx="203">
                  <c:v>0.99442896935933145</c:v>
                </c:pt>
                <c:pt idx="204">
                  <c:v>0.99380996595481275</c:v>
                </c:pt>
                <c:pt idx="205">
                  <c:v>0.99034354688950788</c:v>
                </c:pt>
                <c:pt idx="206">
                  <c:v>0.98607242339832868</c:v>
                </c:pt>
                <c:pt idx="207">
                  <c:v>0.99517177344475394</c:v>
                </c:pt>
                <c:pt idx="208">
                  <c:v>0.9888579387186629</c:v>
                </c:pt>
                <c:pt idx="209">
                  <c:v>0.99331476323119772</c:v>
                </c:pt>
                <c:pt idx="210">
                  <c:v>0.99090064995357474</c:v>
                </c:pt>
                <c:pt idx="211">
                  <c:v>0.99238625812441961</c:v>
                </c:pt>
                <c:pt idx="212">
                  <c:v>0.99108635097493036</c:v>
                </c:pt>
                <c:pt idx="213">
                  <c:v>0.99424326833797583</c:v>
                </c:pt>
                <c:pt idx="214">
                  <c:v>0.99201485608170847</c:v>
                </c:pt>
                <c:pt idx="215">
                  <c:v>0.99350046425255334</c:v>
                </c:pt>
                <c:pt idx="216">
                  <c:v>0.99071494893221912</c:v>
                </c:pt>
                <c:pt idx="217">
                  <c:v>0.99164345403899723</c:v>
                </c:pt>
                <c:pt idx="218">
                  <c:v>0.9905292479108635</c:v>
                </c:pt>
                <c:pt idx="219">
                  <c:v>0.99090064995357474</c:v>
                </c:pt>
                <c:pt idx="220">
                  <c:v>0.99071494893221912</c:v>
                </c:pt>
                <c:pt idx="221">
                  <c:v>0.99294336118848658</c:v>
                </c:pt>
                <c:pt idx="222">
                  <c:v>0.99275766016713096</c:v>
                </c:pt>
                <c:pt idx="223">
                  <c:v>0.99294336118848658</c:v>
                </c:pt>
                <c:pt idx="224">
                  <c:v>0.99312906220984221</c:v>
                </c:pt>
                <c:pt idx="225">
                  <c:v>0.99090064995357474</c:v>
                </c:pt>
                <c:pt idx="226">
                  <c:v>0.99145775301764161</c:v>
                </c:pt>
                <c:pt idx="227">
                  <c:v>0.99145775301764161</c:v>
                </c:pt>
                <c:pt idx="228">
                  <c:v>0.99480037140204269</c:v>
                </c:pt>
                <c:pt idx="229">
                  <c:v>0.99442896935933145</c:v>
                </c:pt>
                <c:pt idx="230">
                  <c:v>0.99108635097493036</c:v>
                </c:pt>
                <c:pt idx="231">
                  <c:v>0.99257195914577534</c:v>
                </c:pt>
                <c:pt idx="232">
                  <c:v>0.99368616527390896</c:v>
                </c:pt>
                <c:pt idx="233">
                  <c:v>0.99127205199628599</c:v>
                </c:pt>
                <c:pt idx="234">
                  <c:v>0.9896007428040855</c:v>
                </c:pt>
                <c:pt idx="235">
                  <c:v>0.98830083565459603</c:v>
                </c:pt>
                <c:pt idx="236">
                  <c:v>0.99127205199628599</c:v>
                </c:pt>
                <c:pt idx="237">
                  <c:v>0.98960074280408539</c:v>
                </c:pt>
                <c:pt idx="238">
                  <c:v>0.99145775301764161</c:v>
                </c:pt>
                <c:pt idx="239">
                  <c:v>0.99331476323119772</c:v>
                </c:pt>
                <c:pt idx="240">
                  <c:v>0.99090064995357474</c:v>
                </c:pt>
                <c:pt idx="241">
                  <c:v>0.98978644382544101</c:v>
                </c:pt>
                <c:pt idx="242">
                  <c:v>0.99442896935933145</c:v>
                </c:pt>
                <c:pt idx="243">
                  <c:v>0.99275766016713085</c:v>
                </c:pt>
                <c:pt idx="244">
                  <c:v>0.99071494893221912</c:v>
                </c:pt>
                <c:pt idx="245">
                  <c:v>0.99275766016713096</c:v>
                </c:pt>
                <c:pt idx="246">
                  <c:v>0.99275766016713096</c:v>
                </c:pt>
                <c:pt idx="247">
                  <c:v>0.99090064995357474</c:v>
                </c:pt>
                <c:pt idx="248">
                  <c:v>0.99182915506035285</c:v>
                </c:pt>
                <c:pt idx="249">
                  <c:v>0.9922005571030641</c:v>
                </c:pt>
                <c:pt idx="250">
                  <c:v>0.9957288765088208</c:v>
                </c:pt>
                <c:pt idx="251">
                  <c:v>0.99387186629526458</c:v>
                </c:pt>
                <c:pt idx="252">
                  <c:v>0.9905292479108635</c:v>
                </c:pt>
                <c:pt idx="253">
                  <c:v>0.99610027855153205</c:v>
                </c:pt>
                <c:pt idx="254">
                  <c:v>0.99368616527390896</c:v>
                </c:pt>
                <c:pt idx="255">
                  <c:v>0.99233983286908078</c:v>
                </c:pt>
                <c:pt idx="256">
                  <c:v>0.99238625812441972</c:v>
                </c:pt>
                <c:pt idx="257">
                  <c:v>0.98941504178272976</c:v>
                </c:pt>
                <c:pt idx="258">
                  <c:v>0.99331476323119783</c:v>
                </c:pt>
                <c:pt idx="259">
                  <c:v>0.99145775301764161</c:v>
                </c:pt>
                <c:pt idx="260">
                  <c:v>0.99257195914577534</c:v>
                </c:pt>
                <c:pt idx="261">
                  <c:v>0.98997214484679663</c:v>
                </c:pt>
                <c:pt idx="262">
                  <c:v>0.99461467038068707</c:v>
                </c:pt>
                <c:pt idx="263">
                  <c:v>0.99294336118848658</c:v>
                </c:pt>
                <c:pt idx="264">
                  <c:v>0.9957288765088208</c:v>
                </c:pt>
                <c:pt idx="265">
                  <c:v>0.99201485608170847</c:v>
                </c:pt>
                <c:pt idx="266">
                  <c:v>0.99238625812441972</c:v>
                </c:pt>
                <c:pt idx="267">
                  <c:v>0.99554317548746518</c:v>
                </c:pt>
                <c:pt idx="268">
                  <c:v>0.99424326833797583</c:v>
                </c:pt>
                <c:pt idx="269">
                  <c:v>0.99331476323119783</c:v>
                </c:pt>
                <c:pt idx="270">
                  <c:v>0.99294336118848658</c:v>
                </c:pt>
                <c:pt idx="271">
                  <c:v>0.99312906220984221</c:v>
                </c:pt>
                <c:pt idx="272">
                  <c:v>0.9922005571030641</c:v>
                </c:pt>
                <c:pt idx="273">
                  <c:v>0.99368616527390896</c:v>
                </c:pt>
                <c:pt idx="274">
                  <c:v>0.99238625812441972</c:v>
                </c:pt>
                <c:pt idx="275">
                  <c:v>0.99442896935933145</c:v>
                </c:pt>
                <c:pt idx="276">
                  <c:v>0.99535747446610956</c:v>
                </c:pt>
                <c:pt idx="277">
                  <c:v>0.99461467038068707</c:v>
                </c:pt>
                <c:pt idx="278">
                  <c:v>0.99294336118848647</c:v>
                </c:pt>
                <c:pt idx="279">
                  <c:v>0.9931290622098421</c:v>
                </c:pt>
                <c:pt idx="280">
                  <c:v>0.99405756731662021</c:v>
                </c:pt>
                <c:pt idx="281">
                  <c:v>0.99350046425255334</c:v>
                </c:pt>
                <c:pt idx="282">
                  <c:v>0.99480037140204269</c:v>
                </c:pt>
                <c:pt idx="283">
                  <c:v>0.98941504178272976</c:v>
                </c:pt>
                <c:pt idx="284">
                  <c:v>0.98997214484679663</c:v>
                </c:pt>
                <c:pt idx="285">
                  <c:v>0.99294336118848658</c:v>
                </c:pt>
                <c:pt idx="286">
                  <c:v>0.99498607242339832</c:v>
                </c:pt>
                <c:pt idx="287">
                  <c:v>0.99535747446610956</c:v>
                </c:pt>
                <c:pt idx="288">
                  <c:v>0.99405756731662021</c:v>
                </c:pt>
                <c:pt idx="289">
                  <c:v>0.99238625812441972</c:v>
                </c:pt>
                <c:pt idx="290">
                  <c:v>0.98960074280408539</c:v>
                </c:pt>
                <c:pt idx="291">
                  <c:v>0.99127205199628599</c:v>
                </c:pt>
                <c:pt idx="292">
                  <c:v>0.99480037140204269</c:v>
                </c:pt>
                <c:pt idx="293">
                  <c:v>0.98922934076137414</c:v>
                </c:pt>
                <c:pt idx="294">
                  <c:v>0.99127205199628599</c:v>
                </c:pt>
                <c:pt idx="295">
                  <c:v>0.99331476323119772</c:v>
                </c:pt>
                <c:pt idx="296">
                  <c:v>0.99498607242339832</c:v>
                </c:pt>
                <c:pt idx="297">
                  <c:v>0.99071494893221912</c:v>
                </c:pt>
                <c:pt idx="298">
                  <c:v>0.99071494893221912</c:v>
                </c:pt>
                <c:pt idx="299">
                  <c:v>0.99442896935933145</c:v>
                </c:pt>
                <c:pt idx="300">
                  <c:v>0.99164345403899723</c:v>
                </c:pt>
                <c:pt idx="301">
                  <c:v>0.99461467038068707</c:v>
                </c:pt>
                <c:pt idx="302">
                  <c:v>0.99405756731662021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CD6-414F-A54F-21F0C936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749551"/>
        <c:axId val="1173750991"/>
      </c:scatterChart>
      <c:valAx>
        <c:axId val="117374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3750991"/>
        <c:crosses val="autoZero"/>
        <c:crossBetween val="midCat"/>
      </c:valAx>
      <c:valAx>
        <c:axId val="11737509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37495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Cancer!$AE$1</c:f>
              <c:strCache>
                <c:ptCount val="1"/>
                <c:pt idx="0">
                  <c:v>kan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Cancer!$AE$2:$AE$60</c:f>
              <c:numCache>
                <c:formatCode>General</c:formatCode>
                <c:ptCount val="16"/>
                <c:pt idx="0">
                  <c:v>0.70882352590560915</c:v>
                </c:pt>
                <c:pt idx="1">
                  <c:v>0.75588235855102537</c:v>
                </c:pt>
                <c:pt idx="2">
                  <c:v>0.58882353305816648</c:v>
                </c:pt>
                <c:pt idx="3">
                  <c:v>0.70529410839080808</c:v>
                </c:pt>
                <c:pt idx="4">
                  <c:v>0.66470587849617002</c:v>
                </c:pt>
                <c:pt idx="5">
                  <c:v>0.64705882072448728</c:v>
                </c:pt>
                <c:pt idx="6">
                  <c:v>0.61941176652908325</c:v>
                </c:pt>
                <c:pt idx="7">
                  <c:v>0.55294116735458376</c:v>
                </c:pt>
                <c:pt idx="8">
                  <c:v>0.50941175818443296</c:v>
                </c:pt>
                <c:pt idx="9">
                  <c:v>0.7117647171020508</c:v>
                </c:pt>
                <c:pt idx="10">
                  <c:v>0.47529411911964414</c:v>
                </c:pt>
                <c:pt idx="11">
                  <c:v>0.53294119238853455</c:v>
                </c:pt>
                <c:pt idx="12">
                  <c:v>0.51352941393852236</c:v>
                </c:pt>
                <c:pt idx="13">
                  <c:v>0.43823529481887818</c:v>
                </c:pt>
                <c:pt idx="14">
                  <c:v>0.51294117569923403</c:v>
                </c:pt>
                <c:pt idx="15">
                  <c:v>0.66117647886276243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2-4884-AE10-87216DCF4CC8}"/>
            </c:ext>
          </c:extLst>
        </c:ser>
        <c:ser>
          <c:idx val="1"/>
          <c:order val="1"/>
          <c:tx>
            <c:strRef>
              <c:f>Cancer!$AF$1</c:f>
              <c:strCache>
                <c:ptCount val="1"/>
                <c:pt idx="0">
                  <c:v>kan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Cancer!$AF$2:$AF$60</c:f>
              <c:numCache>
                <c:formatCode>General</c:formatCode>
                <c:ptCount val="16"/>
                <c:pt idx="0">
                  <c:v>0.9558139443397522</c:v>
                </c:pt>
                <c:pt idx="1">
                  <c:v>0.9558139443397522</c:v>
                </c:pt>
                <c:pt idx="2">
                  <c:v>0.9255813837051392</c:v>
                </c:pt>
                <c:pt idx="3">
                  <c:v>0.93953486680984499</c:v>
                </c:pt>
                <c:pt idx="4">
                  <c:v>0.9441860437393188</c:v>
                </c:pt>
                <c:pt idx="5">
                  <c:v>0.92558139562606812</c:v>
                </c:pt>
                <c:pt idx="6">
                  <c:v>0.93023256063461301</c:v>
                </c:pt>
                <c:pt idx="7">
                  <c:v>0.93023257255554204</c:v>
                </c:pt>
                <c:pt idx="8">
                  <c:v>0.84651161432266231</c:v>
                </c:pt>
                <c:pt idx="9">
                  <c:v>0.93023256063461301</c:v>
                </c:pt>
                <c:pt idx="10">
                  <c:v>0.81162791252136235</c:v>
                </c:pt>
                <c:pt idx="11">
                  <c:v>0.79069768190383916</c:v>
                </c:pt>
                <c:pt idx="12">
                  <c:v>0.75116280317306516</c:v>
                </c:pt>
                <c:pt idx="13">
                  <c:v>0.73255814313888545</c:v>
                </c:pt>
                <c:pt idx="14">
                  <c:v>0.76279069185256954</c:v>
                </c:pt>
                <c:pt idx="15">
                  <c:v>0.80232559442520146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52-4884-AE10-87216DCF4CC8}"/>
            </c:ext>
          </c:extLst>
        </c:ser>
        <c:ser>
          <c:idx val="2"/>
          <c:order val="2"/>
          <c:tx>
            <c:strRef>
              <c:f>Cancer!$AG$1</c:f>
              <c:strCache>
                <c:ptCount val="1"/>
                <c:pt idx="0">
                  <c:v>kan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Cancer!$AG$2:$AG$60</c:f>
              <c:numCache>
                <c:formatCode>General</c:formatCode>
                <c:ptCount val="16"/>
                <c:pt idx="0">
                  <c:v>0.70349651575088501</c:v>
                </c:pt>
                <c:pt idx="1">
                  <c:v>0.74265734553337093</c:v>
                </c:pt>
                <c:pt idx="2">
                  <c:v>0.61118880510330198</c:v>
                </c:pt>
                <c:pt idx="3">
                  <c:v>0.70769230723381038</c:v>
                </c:pt>
                <c:pt idx="4">
                  <c:v>0.67272726893424983</c:v>
                </c:pt>
                <c:pt idx="5">
                  <c:v>0.65734264850616453</c:v>
                </c:pt>
                <c:pt idx="6">
                  <c:v>0.62097902297973628</c:v>
                </c:pt>
                <c:pt idx="7">
                  <c:v>0.56223775744438176</c:v>
                </c:pt>
                <c:pt idx="8">
                  <c:v>0.5118880987167358</c:v>
                </c:pt>
                <c:pt idx="9">
                  <c:v>0.68951049447059631</c:v>
                </c:pt>
                <c:pt idx="10">
                  <c:v>0.50209789872169497</c:v>
                </c:pt>
                <c:pt idx="11">
                  <c:v>0.54265733957290652</c:v>
                </c:pt>
                <c:pt idx="12">
                  <c:v>0.48251748681068418</c:v>
                </c:pt>
                <c:pt idx="13">
                  <c:v>0.44475524425506591</c:v>
                </c:pt>
                <c:pt idx="14">
                  <c:v>0.52587412595748906</c:v>
                </c:pt>
                <c:pt idx="15">
                  <c:v>0.6713286876678467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52-4884-AE10-87216DCF4CC8}"/>
            </c:ext>
          </c:extLst>
        </c:ser>
        <c:ser>
          <c:idx val="3"/>
          <c:order val="3"/>
          <c:tx>
            <c:strRef>
              <c:f>Cancer!$AH$1</c:f>
              <c:strCache>
                <c:ptCount val="1"/>
                <c:pt idx="0">
                  <c:v>mlp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Cancer!$AH$2:$AH$60</c:f>
              <c:numCache>
                <c:formatCode>General</c:formatCode>
                <c:ptCount val="16"/>
                <c:pt idx="0">
                  <c:v>0.96363636363636362</c:v>
                </c:pt>
                <c:pt idx="1">
                  <c:v>0.965034965034965</c:v>
                </c:pt>
                <c:pt idx="2">
                  <c:v>0.96783216783216774</c:v>
                </c:pt>
                <c:pt idx="3">
                  <c:v>0.95524475524475516</c:v>
                </c:pt>
                <c:pt idx="4">
                  <c:v>0.91468531468531467</c:v>
                </c:pt>
                <c:pt idx="5">
                  <c:v>0.91748251748251741</c:v>
                </c:pt>
                <c:pt idx="6">
                  <c:v>0.91048951048951043</c:v>
                </c:pt>
                <c:pt idx="7">
                  <c:v>0.92167832167832164</c:v>
                </c:pt>
                <c:pt idx="8">
                  <c:v>0.92167832167832175</c:v>
                </c:pt>
                <c:pt idx="9">
                  <c:v>0.91608391608391604</c:v>
                </c:pt>
                <c:pt idx="10">
                  <c:v>0.91608391608391604</c:v>
                </c:pt>
                <c:pt idx="11">
                  <c:v>0.92727272727272725</c:v>
                </c:pt>
                <c:pt idx="12">
                  <c:v>0.96083916083916077</c:v>
                </c:pt>
                <c:pt idx="13">
                  <c:v>0.96083916083916077</c:v>
                </c:pt>
                <c:pt idx="14">
                  <c:v>0.95944055944055939</c:v>
                </c:pt>
                <c:pt idx="15">
                  <c:v>0.95384615384615379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52-4884-AE10-87216DCF4CC8}"/>
            </c:ext>
          </c:extLst>
        </c:ser>
        <c:ser>
          <c:idx val="4"/>
          <c:order val="4"/>
          <c:tx>
            <c:strRef>
              <c:f>Cancer!$AI$1</c:f>
              <c:strCache>
                <c:ptCount val="1"/>
                <c:pt idx="0">
                  <c:v>mlp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Cancer!$AI$2:$AI$60</c:f>
              <c:numCache>
                <c:formatCode>General</c:formatCode>
                <c:ptCount val="16"/>
                <c:pt idx="0">
                  <c:v>0.97209302325581393</c:v>
                </c:pt>
                <c:pt idx="1">
                  <c:v>0.97906976744186047</c:v>
                </c:pt>
                <c:pt idx="2">
                  <c:v>0.97674418604651159</c:v>
                </c:pt>
                <c:pt idx="3">
                  <c:v>0.96511627906976738</c:v>
                </c:pt>
                <c:pt idx="4">
                  <c:v>0.91860465116279066</c:v>
                </c:pt>
                <c:pt idx="5">
                  <c:v>0.91860465116279066</c:v>
                </c:pt>
                <c:pt idx="6">
                  <c:v>0.91860465116279066</c:v>
                </c:pt>
                <c:pt idx="7">
                  <c:v>0.91860465116279066</c:v>
                </c:pt>
                <c:pt idx="8">
                  <c:v>0.91860465116279066</c:v>
                </c:pt>
                <c:pt idx="9">
                  <c:v>0.91860465116279066</c:v>
                </c:pt>
                <c:pt idx="10">
                  <c:v>0.91860465116279066</c:v>
                </c:pt>
                <c:pt idx="11">
                  <c:v>0.92558139534883721</c:v>
                </c:pt>
                <c:pt idx="12">
                  <c:v>0.95348837209302328</c:v>
                </c:pt>
                <c:pt idx="13">
                  <c:v>0.94883720930232562</c:v>
                </c:pt>
                <c:pt idx="14">
                  <c:v>0.95348837209302328</c:v>
                </c:pt>
                <c:pt idx="15">
                  <c:v>0.95348837209302328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52-4884-AE10-87216DCF4CC8}"/>
            </c:ext>
          </c:extLst>
        </c:ser>
        <c:ser>
          <c:idx val="5"/>
          <c:order val="5"/>
          <c:tx>
            <c:strRef>
              <c:f>Cancer!$AJ$1</c:f>
              <c:strCache>
                <c:ptCount val="1"/>
                <c:pt idx="0">
                  <c:v>mlp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Cancer!$AD$2:$AD$60</c:f>
              <c:numCache>
                <c:formatCode>General</c:formatCode>
                <c:ptCount val="16"/>
                <c:pt idx="0">
                  <c:v>16920</c:v>
                </c:pt>
                <c:pt idx="1">
                  <c:v>20765</c:v>
                </c:pt>
                <c:pt idx="2">
                  <c:v>24610</c:v>
                </c:pt>
                <c:pt idx="3">
                  <c:v>28455</c:v>
                </c:pt>
                <c:pt idx="4">
                  <c:v>32300</c:v>
                </c:pt>
                <c:pt idx="5">
                  <c:v>36145</c:v>
                </c:pt>
                <c:pt idx="6">
                  <c:v>39990</c:v>
                </c:pt>
                <c:pt idx="7">
                  <c:v>43835</c:v>
                </c:pt>
                <c:pt idx="8">
                  <c:v>44702</c:v>
                </c:pt>
                <c:pt idx="9">
                  <c:v>47680</c:v>
                </c:pt>
                <c:pt idx="10">
                  <c:v>48547</c:v>
                </c:pt>
                <c:pt idx="11">
                  <c:v>52392</c:v>
                </c:pt>
                <c:pt idx="12">
                  <c:v>56237</c:v>
                </c:pt>
                <c:pt idx="13">
                  <c:v>60082</c:v>
                </c:pt>
                <c:pt idx="14">
                  <c:v>63927</c:v>
                </c:pt>
                <c:pt idx="15">
                  <c:v>67772</c:v>
                </c:pt>
              </c:numCache>
            </c:numRef>
          </c:xVal>
          <c:yVal>
            <c:numRef>
              <c:f>Cancer!$AJ$2:$AJ$60</c:f>
              <c:numCache>
                <c:formatCode>General</c:formatCode>
                <c:ptCount val="16"/>
                <c:pt idx="0">
                  <c:v>0.97705882352941176</c:v>
                </c:pt>
                <c:pt idx="1">
                  <c:v>0.97705882352941176</c:v>
                </c:pt>
                <c:pt idx="2">
                  <c:v>0.98117647058823532</c:v>
                </c:pt>
                <c:pt idx="3">
                  <c:v>0.97882352941176476</c:v>
                </c:pt>
                <c:pt idx="4">
                  <c:v>0.95647058823529418</c:v>
                </c:pt>
                <c:pt idx="5">
                  <c:v>0.95764705882352941</c:v>
                </c:pt>
                <c:pt idx="6">
                  <c:v>0.95764705882352941</c:v>
                </c:pt>
                <c:pt idx="7">
                  <c:v>0.95647058823529418</c:v>
                </c:pt>
                <c:pt idx="8">
                  <c:v>0.96352941176470586</c:v>
                </c:pt>
                <c:pt idx="9">
                  <c:v>0.95882352941176474</c:v>
                </c:pt>
                <c:pt idx="10">
                  <c:v>0.95823529411764707</c:v>
                </c:pt>
                <c:pt idx="11">
                  <c:v>0.96764705882352942</c:v>
                </c:pt>
                <c:pt idx="12">
                  <c:v>0.99470588235294122</c:v>
                </c:pt>
                <c:pt idx="13">
                  <c:v>0.99705882352941178</c:v>
                </c:pt>
                <c:pt idx="14">
                  <c:v>0.99588235294117644</c:v>
                </c:pt>
                <c:pt idx="15">
                  <c:v>0.99058823529411766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52-4884-AE10-87216DCF4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607231"/>
        <c:axId val="1279201999"/>
      </c:scatterChart>
      <c:valAx>
        <c:axId val="87360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79201999"/>
        <c:crosses val="autoZero"/>
        <c:crossBetween val="midCat"/>
      </c:valAx>
      <c:valAx>
        <c:axId val="127920199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7360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Iris!$AE$1</c:f>
              <c:strCache>
                <c:ptCount val="1"/>
                <c:pt idx="0">
                  <c:v>kan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Iris!$AE$2:$AE$53</c:f>
              <c:numCache>
                <c:formatCode>General</c:formatCode>
                <c:ptCount val="48"/>
                <c:pt idx="0">
                  <c:v>0.98876404762268066</c:v>
                </c:pt>
                <c:pt idx="1">
                  <c:v>0.98876404762268066</c:v>
                </c:pt>
                <c:pt idx="2">
                  <c:v>1</c:v>
                </c:pt>
                <c:pt idx="3">
                  <c:v>1</c:v>
                </c:pt>
                <c:pt idx="4">
                  <c:v>0.98651685714721682</c:v>
                </c:pt>
                <c:pt idx="5">
                  <c:v>0.99325842857360835</c:v>
                </c:pt>
                <c:pt idx="6">
                  <c:v>1</c:v>
                </c:pt>
                <c:pt idx="7">
                  <c:v>1</c:v>
                </c:pt>
                <c:pt idx="8">
                  <c:v>0.96404494047164913</c:v>
                </c:pt>
                <c:pt idx="9">
                  <c:v>0.99775280952453616</c:v>
                </c:pt>
                <c:pt idx="10">
                  <c:v>0.99325842857360835</c:v>
                </c:pt>
                <c:pt idx="11">
                  <c:v>0.99550561904907231</c:v>
                </c:pt>
                <c:pt idx="12">
                  <c:v>0.98876404762268066</c:v>
                </c:pt>
                <c:pt idx="13">
                  <c:v>0.98876404762268066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0.99325842857360835</c:v>
                </c:pt>
                <c:pt idx="18">
                  <c:v>0.97078651189804077</c:v>
                </c:pt>
                <c:pt idx="19">
                  <c:v>0.98876404762268066</c:v>
                </c:pt>
                <c:pt idx="20">
                  <c:v>1</c:v>
                </c:pt>
                <c:pt idx="21">
                  <c:v>0.99101123809814451</c:v>
                </c:pt>
                <c:pt idx="22">
                  <c:v>0.99775280952453616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0.96853932142257693</c:v>
                </c:pt>
                <c:pt idx="27">
                  <c:v>1</c:v>
                </c:pt>
                <c:pt idx="28">
                  <c:v>0.99101123809814451</c:v>
                </c:pt>
                <c:pt idx="29">
                  <c:v>1</c:v>
                </c:pt>
                <c:pt idx="30">
                  <c:v>0.94157302379608154</c:v>
                </c:pt>
                <c:pt idx="31">
                  <c:v>0.97528090476989748</c:v>
                </c:pt>
                <c:pt idx="32">
                  <c:v>1</c:v>
                </c:pt>
                <c:pt idx="33">
                  <c:v>0.98876404762268066</c:v>
                </c:pt>
                <c:pt idx="34">
                  <c:v>1</c:v>
                </c:pt>
                <c:pt idx="35">
                  <c:v>0.99775280952453616</c:v>
                </c:pt>
                <c:pt idx="36">
                  <c:v>0.99625468254089355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0.99775280952453616</c:v>
                </c:pt>
                <c:pt idx="41">
                  <c:v>1</c:v>
                </c:pt>
                <c:pt idx="42">
                  <c:v>0.97078651189804077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0.98651685714721682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0-49FF-A2FB-76B39871D1BD}"/>
            </c:ext>
          </c:extLst>
        </c:ser>
        <c:ser>
          <c:idx val="1"/>
          <c:order val="1"/>
          <c:tx>
            <c:strRef>
              <c:f>Iris!$AF$1</c:f>
              <c:strCache>
                <c:ptCount val="1"/>
                <c:pt idx="0">
                  <c:v>kan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Iris!$AF$2:$AF$53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0.96521739959716801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0.97391304969787595</c:v>
                </c:pt>
                <c:pt idx="9">
                  <c:v>1</c:v>
                </c:pt>
                <c:pt idx="10">
                  <c:v>1</c:v>
                </c:pt>
                <c:pt idx="11">
                  <c:v>0.96521739959716801</c:v>
                </c:pt>
                <c:pt idx="12">
                  <c:v>1</c:v>
                </c:pt>
                <c:pt idx="13">
                  <c:v>1</c:v>
                </c:pt>
                <c:pt idx="14">
                  <c:v>0.95652174949645996</c:v>
                </c:pt>
                <c:pt idx="15">
                  <c:v>0.98260869979858401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0.99130434989929195</c:v>
                </c:pt>
                <c:pt idx="21">
                  <c:v>1</c:v>
                </c:pt>
                <c:pt idx="22">
                  <c:v>1</c:v>
                </c:pt>
                <c:pt idx="23">
                  <c:v>0.92173914909362797</c:v>
                </c:pt>
                <c:pt idx="24">
                  <c:v>0.97391304969787595</c:v>
                </c:pt>
                <c:pt idx="25">
                  <c:v>0.98260869979858401</c:v>
                </c:pt>
                <c:pt idx="26">
                  <c:v>0.98260869979858401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0.95652174949645996</c:v>
                </c:pt>
                <c:pt idx="32">
                  <c:v>0.99130434989929195</c:v>
                </c:pt>
                <c:pt idx="33">
                  <c:v>0.98260869979858401</c:v>
                </c:pt>
                <c:pt idx="34">
                  <c:v>1</c:v>
                </c:pt>
                <c:pt idx="35">
                  <c:v>0.96521739959716801</c:v>
                </c:pt>
                <c:pt idx="36">
                  <c:v>1</c:v>
                </c:pt>
                <c:pt idx="37">
                  <c:v>0.98260869979858401</c:v>
                </c:pt>
                <c:pt idx="38">
                  <c:v>0.95652174949645996</c:v>
                </c:pt>
                <c:pt idx="39">
                  <c:v>1</c:v>
                </c:pt>
                <c:pt idx="40">
                  <c:v>0.99130434989929195</c:v>
                </c:pt>
                <c:pt idx="41">
                  <c:v>0.97391304969787595</c:v>
                </c:pt>
                <c:pt idx="42">
                  <c:v>0.99130434989929195</c:v>
                </c:pt>
                <c:pt idx="43">
                  <c:v>1</c:v>
                </c:pt>
                <c:pt idx="44">
                  <c:v>0.98260869979858401</c:v>
                </c:pt>
                <c:pt idx="45">
                  <c:v>0.98260869979858401</c:v>
                </c:pt>
                <c:pt idx="46">
                  <c:v>0.97391304969787595</c:v>
                </c:pt>
                <c:pt idx="47">
                  <c:v>0.97391304969787595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C0-49FF-A2FB-76B39871D1BD}"/>
            </c:ext>
          </c:extLst>
        </c:ser>
        <c:ser>
          <c:idx val="2"/>
          <c:order val="2"/>
          <c:tx>
            <c:strRef>
              <c:f>Iris!$AG$1</c:f>
              <c:strCache>
                <c:ptCount val="1"/>
                <c:pt idx="0">
                  <c:v>kan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Iris!$AG$2:$AG$53</c:f>
              <c:numCache>
                <c:formatCode>General</c:formatCode>
                <c:ptCount val="48"/>
                <c:pt idx="0">
                  <c:v>0.96842104196548462</c:v>
                </c:pt>
                <c:pt idx="1">
                  <c:v>0.96315788030624394</c:v>
                </c:pt>
                <c:pt idx="2">
                  <c:v>0.79473686218261719</c:v>
                </c:pt>
                <c:pt idx="3">
                  <c:v>0.89473682641983032</c:v>
                </c:pt>
                <c:pt idx="4">
                  <c:v>0.96315788030624394</c:v>
                </c:pt>
                <c:pt idx="5">
                  <c:v>0.96842105388641353</c:v>
                </c:pt>
                <c:pt idx="6">
                  <c:v>0.9315789580345154</c:v>
                </c:pt>
                <c:pt idx="7">
                  <c:v>0.91052632331848149</c:v>
                </c:pt>
                <c:pt idx="8">
                  <c:v>0.81578947305679317</c:v>
                </c:pt>
                <c:pt idx="9">
                  <c:v>0.95789473056793217</c:v>
                </c:pt>
                <c:pt idx="10">
                  <c:v>0.97368421554565432</c:v>
                </c:pt>
                <c:pt idx="11">
                  <c:v>0.87368421554565434</c:v>
                </c:pt>
                <c:pt idx="12">
                  <c:v>0.94736843109130864</c:v>
                </c:pt>
                <c:pt idx="13">
                  <c:v>0.95789473056793217</c:v>
                </c:pt>
                <c:pt idx="14">
                  <c:v>0.84210526943206787</c:v>
                </c:pt>
                <c:pt idx="15">
                  <c:v>0.89473685026168825</c:v>
                </c:pt>
                <c:pt idx="16">
                  <c:v>0.96842104196548462</c:v>
                </c:pt>
                <c:pt idx="17">
                  <c:v>0.96315789222717285</c:v>
                </c:pt>
                <c:pt idx="18">
                  <c:v>0.82105263471603396</c:v>
                </c:pt>
                <c:pt idx="19">
                  <c:v>0.97894735336303706</c:v>
                </c:pt>
                <c:pt idx="20">
                  <c:v>0.86315789222717287</c:v>
                </c:pt>
                <c:pt idx="21">
                  <c:v>0.94210526943206785</c:v>
                </c:pt>
                <c:pt idx="22">
                  <c:v>0.94210526943206785</c:v>
                </c:pt>
                <c:pt idx="23">
                  <c:v>0.84736841917037964</c:v>
                </c:pt>
                <c:pt idx="24">
                  <c:v>0.91578947305679326</c:v>
                </c:pt>
                <c:pt idx="25">
                  <c:v>0.87368421554565434</c:v>
                </c:pt>
                <c:pt idx="26">
                  <c:v>0.86315789222717287</c:v>
                </c:pt>
                <c:pt idx="27">
                  <c:v>0.95263156890869138</c:v>
                </c:pt>
                <c:pt idx="28">
                  <c:v>0.94210528135299687</c:v>
                </c:pt>
                <c:pt idx="29">
                  <c:v>0.92105263471603394</c:v>
                </c:pt>
                <c:pt idx="30">
                  <c:v>0.79473682641983034</c:v>
                </c:pt>
                <c:pt idx="31">
                  <c:v>0.81578947305679317</c:v>
                </c:pt>
                <c:pt idx="32">
                  <c:v>0.84210526943206787</c:v>
                </c:pt>
                <c:pt idx="33">
                  <c:v>0.81578947305679317</c:v>
                </c:pt>
                <c:pt idx="34">
                  <c:v>0.9315789580345154</c:v>
                </c:pt>
                <c:pt idx="35">
                  <c:v>0.86842106580734257</c:v>
                </c:pt>
                <c:pt idx="36">
                  <c:v>0.97368421157201135</c:v>
                </c:pt>
                <c:pt idx="37">
                  <c:v>0.9</c:v>
                </c:pt>
                <c:pt idx="38">
                  <c:v>0.85789474248886111</c:v>
                </c:pt>
                <c:pt idx="39">
                  <c:v>0.95789473056793217</c:v>
                </c:pt>
                <c:pt idx="40">
                  <c:v>0.86315790414810178</c:v>
                </c:pt>
                <c:pt idx="41">
                  <c:v>0.92105263471603394</c:v>
                </c:pt>
                <c:pt idx="42">
                  <c:v>0.82105263471603396</c:v>
                </c:pt>
                <c:pt idx="43">
                  <c:v>0.93684211969375608</c:v>
                </c:pt>
                <c:pt idx="44">
                  <c:v>0.8315789461135864</c:v>
                </c:pt>
                <c:pt idx="45">
                  <c:v>0.87894736528396611</c:v>
                </c:pt>
                <c:pt idx="46">
                  <c:v>0.83157895803451543</c:v>
                </c:pt>
                <c:pt idx="47">
                  <c:v>0.83157895803451543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C0-49FF-A2FB-76B39871D1BD}"/>
            </c:ext>
          </c:extLst>
        </c:ser>
        <c:ser>
          <c:idx val="3"/>
          <c:order val="3"/>
          <c:tx>
            <c:strRef>
              <c:f>Iris!$AH$1</c:f>
              <c:strCache>
                <c:ptCount val="1"/>
                <c:pt idx="0">
                  <c:v>mlp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Iris!$AH$2:$AH$53</c:f>
              <c:numCache>
                <c:formatCode>General</c:formatCode>
                <c:ptCount val="48"/>
                <c:pt idx="0">
                  <c:v>0.94736842105263153</c:v>
                </c:pt>
                <c:pt idx="1">
                  <c:v>0.94736842105263153</c:v>
                </c:pt>
                <c:pt idx="2">
                  <c:v>0.90526315789473688</c:v>
                </c:pt>
                <c:pt idx="3">
                  <c:v>0.91052631578947363</c:v>
                </c:pt>
                <c:pt idx="4">
                  <c:v>0.94736842105263153</c:v>
                </c:pt>
                <c:pt idx="5">
                  <c:v>0.94736842105263153</c:v>
                </c:pt>
                <c:pt idx="6">
                  <c:v>0.94736842105263153</c:v>
                </c:pt>
                <c:pt idx="7">
                  <c:v>0.9631578947368421</c:v>
                </c:pt>
                <c:pt idx="8">
                  <c:v>0.91578947368421049</c:v>
                </c:pt>
                <c:pt idx="9">
                  <c:v>0.94736842105263153</c:v>
                </c:pt>
                <c:pt idx="10">
                  <c:v>0.94736842105263153</c:v>
                </c:pt>
                <c:pt idx="11">
                  <c:v>0.91578947368421049</c:v>
                </c:pt>
                <c:pt idx="12">
                  <c:v>0.94736842105263153</c:v>
                </c:pt>
                <c:pt idx="13">
                  <c:v>0.94736842105263153</c:v>
                </c:pt>
                <c:pt idx="14">
                  <c:v>0.89473684210526316</c:v>
                </c:pt>
                <c:pt idx="15">
                  <c:v>0.90526315789473688</c:v>
                </c:pt>
                <c:pt idx="16">
                  <c:v>0.94736842105263153</c:v>
                </c:pt>
                <c:pt idx="17">
                  <c:v>0.94736842105263153</c:v>
                </c:pt>
                <c:pt idx="18">
                  <c:v>0.90526315789473688</c:v>
                </c:pt>
                <c:pt idx="19">
                  <c:v>0.93684210526315781</c:v>
                </c:pt>
                <c:pt idx="20">
                  <c:v>0.9</c:v>
                </c:pt>
                <c:pt idx="21">
                  <c:v>0.94736842105263153</c:v>
                </c:pt>
                <c:pt idx="22">
                  <c:v>0.9631578947368421</c:v>
                </c:pt>
                <c:pt idx="23">
                  <c:v>0.90526315789473688</c:v>
                </c:pt>
                <c:pt idx="24">
                  <c:v>0.9</c:v>
                </c:pt>
                <c:pt idx="25">
                  <c:v>0.9</c:v>
                </c:pt>
                <c:pt idx="26">
                  <c:v>0.89473684210526316</c:v>
                </c:pt>
                <c:pt idx="27">
                  <c:v>0.94736842105263153</c:v>
                </c:pt>
                <c:pt idx="28">
                  <c:v>0.94736842105263153</c:v>
                </c:pt>
                <c:pt idx="29">
                  <c:v>0.91052631578947363</c:v>
                </c:pt>
                <c:pt idx="30">
                  <c:v>0.9</c:v>
                </c:pt>
                <c:pt idx="31">
                  <c:v>0.89473684210526316</c:v>
                </c:pt>
                <c:pt idx="32">
                  <c:v>0.89473684210526316</c:v>
                </c:pt>
                <c:pt idx="33">
                  <c:v>0.89473684210526316</c:v>
                </c:pt>
                <c:pt idx="34">
                  <c:v>0.94736842105263153</c:v>
                </c:pt>
                <c:pt idx="35">
                  <c:v>0.9</c:v>
                </c:pt>
                <c:pt idx="36">
                  <c:v>0.94298245614035081</c:v>
                </c:pt>
                <c:pt idx="37">
                  <c:v>0.89473684210526316</c:v>
                </c:pt>
                <c:pt idx="38">
                  <c:v>0.91052631578947363</c:v>
                </c:pt>
                <c:pt idx="39">
                  <c:v>0.94736842105263153</c:v>
                </c:pt>
                <c:pt idx="40">
                  <c:v>0.90526315789473688</c:v>
                </c:pt>
                <c:pt idx="41">
                  <c:v>0.89473684210526316</c:v>
                </c:pt>
                <c:pt idx="42">
                  <c:v>0.91578947368421049</c:v>
                </c:pt>
                <c:pt idx="43">
                  <c:v>0.92105263157894735</c:v>
                </c:pt>
                <c:pt idx="44">
                  <c:v>0.89473684210526316</c:v>
                </c:pt>
                <c:pt idx="45">
                  <c:v>0.89473684210526316</c:v>
                </c:pt>
                <c:pt idx="46">
                  <c:v>0.89473684210526316</c:v>
                </c:pt>
                <c:pt idx="47">
                  <c:v>0.89473684210526316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C0-49FF-A2FB-76B39871D1BD}"/>
            </c:ext>
          </c:extLst>
        </c:ser>
        <c:ser>
          <c:idx val="4"/>
          <c:order val="4"/>
          <c:tx>
            <c:strRef>
              <c:f>Iris!$AI$1</c:f>
              <c:strCache>
                <c:ptCount val="1"/>
                <c:pt idx="0">
                  <c:v>mlp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Iris!$AI$2:$AI$53</c:f>
              <c:numCache>
                <c:formatCode>General</c:formatCode>
                <c:ptCount val="4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C0-49FF-A2FB-76B39871D1BD}"/>
            </c:ext>
          </c:extLst>
        </c:ser>
        <c:ser>
          <c:idx val="5"/>
          <c:order val="5"/>
          <c:tx>
            <c:strRef>
              <c:f>Iris!$AJ$1</c:f>
              <c:strCache>
                <c:ptCount val="1"/>
                <c:pt idx="0">
                  <c:v>mlp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Iris!$AD$2:$AD$53</c:f>
              <c:numCache>
                <c:formatCode>General</c:formatCode>
                <c:ptCount val="48"/>
                <c:pt idx="0">
                  <c:v>279</c:v>
                </c:pt>
                <c:pt idx="1">
                  <c:v>342</c:v>
                </c:pt>
                <c:pt idx="2">
                  <c:v>405</c:v>
                </c:pt>
                <c:pt idx="3">
                  <c:v>468</c:v>
                </c:pt>
                <c:pt idx="4">
                  <c:v>583</c:v>
                </c:pt>
                <c:pt idx="5">
                  <c:v>715</c:v>
                </c:pt>
                <c:pt idx="6">
                  <c:v>739</c:v>
                </c:pt>
                <c:pt idx="7">
                  <c:v>793</c:v>
                </c:pt>
                <c:pt idx="8">
                  <c:v>847</c:v>
                </c:pt>
                <c:pt idx="9">
                  <c:v>907</c:v>
                </c:pt>
                <c:pt idx="10">
                  <c:v>973</c:v>
                </c:pt>
                <c:pt idx="11">
                  <c:v>979</c:v>
                </c:pt>
                <c:pt idx="12">
                  <c:v>1003</c:v>
                </c:pt>
                <c:pt idx="13">
                  <c:v>1043</c:v>
                </c:pt>
                <c:pt idx="14">
                  <c:v>1075</c:v>
                </c:pt>
                <c:pt idx="15">
                  <c:v>1153</c:v>
                </c:pt>
                <c:pt idx="16">
                  <c:v>1213</c:v>
                </c:pt>
                <c:pt idx="17">
                  <c:v>1231</c:v>
                </c:pt>
                <c:pt idx="18">
                  <c:v>1243</c:v>
                </c:pt>
                <c:pt idx="19">
                  <c:v>1280</c:v>
                </c:pt>
                <c:pt idx="20">
                  <c:v>1333</c:v>
                </c:pt>
                <c:pt idx="21">
                  <c:v>1383</c:v>
                </c:pt>
                <c:pt idx="22">
                  <c:v>1423</c:v>
                </c:pt>
                <c:pt idx="23">
                  <c:v>1459</c:v>
                </c:pt>
                <c:pt idx="24">
                  <c:v>1489</c:v>
                </c:pt>
                <c:pt idx="25">
                  <c:v>1517</c:v>
                </c:pt>
                <c:pt idx="26">
                  <c:v>1687</c:v>
                </c:pt>
                <c:pt idx="27">
                  <c:v>1698</c:v>
                </c:pt>
                <c:pt idx="28">
                  <c:v>1723</c:v>
                </c:pt>
                <c:pt idx="29">
                  <c:v>1747</c:v>
                </c:pt>
                <c:pt idx="30">
                  <c:v>1754</c:v>
                </c:pt>
                <c:pt idx="31">
                  <c:v>1765</c:v>
                </c:pt>
                <c:pt idx="32">
                  <c:v>2013</c:v>
                </c:pt>
                <c:pt idx="33">
                  <c:v>2041</c:v>
                </c:pt>
                <c:pt idx="34">
                  <c:v>2063</c:v>
                </c:pt>
                <c:pt idx="35">
                  <c:v>2071</c:v>
                </c:pt>
                <c:pt idx="36">
                  <c:v>2116</c:v>
                </c:pt>
                <c:pt idx="37">
                  <c:v>2328</c:v>
                </c:pt>
                <c:pt idx="38">
                  <c:v>2395</c:v>
                </c:pt>
                <c:pt idx="39">
                  <c:v>2403</c:v>
                </c:pt>
                <c:pt idx="40">
                  <c:v>2509</c:v>
                </c:pt>
                <c:pt idx="41">
                  <c:v>2534</c:v>
                </c:pt>
                <c:pt idx="42">
                  <c:v>2902</c:v>
                </c:pt>
                <c:pt idx="43">
                  <c:v>2952</c:v>
                </c:pt>
                <c:pt idx="44">
                  <c:v>3005</c:v>
                </c:pt>
                <c:pt idx="45">
                  <c:v>3476</c:v>
                </c:pt>
                <c:pt idx="46">
                  <c:v>3501</c:v>
                </c:pt>
                <c:pt idx="47">
                  <c:v>4050</c:v>
                </c:pt>
              </c:numCache>
            </c:numRef>
          </c:xVal>
          <c:yVal>
            <c:numRef>
              <c:f>Iris!$AJ$2:$AJ$53</c:f>
              <c:numCache>
                <c:formatCode>General</c:formatCode>
                <c:ptCount val="48"/>
                <c:pt idx="0">
                  <c:v>0.97752808988764039</c:v>
                </c:pt>
                <c:pt idx="1">
                  <c:v>0.97752808988764039</c:v>
                </c:pt>
                <c:pt idx="2">
                  <c:v>1</c:v>
                </c:pt>
                <c:pt idx="3">
                  <c:v>1</c:v>
                </c:pt>
                <c:pt idx="4">
                  <c:v>0.97752808988764039</c:v>
                </c:pt>
                <c:pt idx="5">
                  <c:v>0.97752808988764039</c:v>
                </c:pt>
                <c:pt idx="6">
                  <c:v>0.97752808988764039</c:v>
                </c:pt>
                <c:pt idx="7">
                  <c:v>0.98426966292134832</c:v>
                </c:pt>
                <c:pt idx="8">
                  <c:v>1</c:v>
                </c:pt>
                <c:pt idx="9">
                  <c:v>0.97752808988764039</c:v>
                </c:pt>
                <c:pt idx="10">
                  <c:v>0.97752808988764039</c:v>
                </c:pt>
                <c:pt idx="11">
                  <c:v>1</c:v>
                </c:pt>
                <c:pt idx="12">
                  <c:v>0.98202247191011227</c:v>
                </c:pt>
                <c:pt idx="13">
                  <c:v>0.97752808988764039</c:v>
                </c:pt>
                <c:pt idx="14">
                  <c:v>1</c:v>
                </c:pt>
                <c:pt idx="15">
                  <c:v>1</c:v>
                </c:pt>
                <c:pt idx="16">
                  <c:v>0.97752808988764039</c:v>
                </c:pt>
                <c:pt idx="17">
                  <c:v>0.97752808988764039</c:v>
                </c:pt>
                <c:pt idx="18">
                  <c:v>1</c:v>
                </c:pt>
                <c:pt idx="19">
                  <c:v>0.98202247191011227</c:v>
                </c:pt>
                <c:pt idx="20">
                  <c:v>1</c:v>
                </c:pt>
                <c:pt idx="21">
                  <c:v>0.97752808988764039</c:v>
                </c:pt>
                <c:pt idx="22">
                  <c:v>0.98426966292134832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0.97752808988764039</c:v>
                </c:pt>
                <c:pt idx="28">
                  <c:v>0.97752808988764039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0.97752808988764039</c:v>
                </c:pt>
                <c:pt idx="35">
                  <c:v>1</c:v>
                </c:pt>
                <c:pt idx="36">
                  <c:v>0.98127340823970033</c:v>
                </c:pt>
                <c:pt idx="37">
                  <c:v>1</c:v>
                </c:pt>
                <c:pt idx="38">
                  <c:v>1</c:v>
                </c:pt>
                <c:pt idx="39">
                  <c:v>0.97752808988764039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C0-49FF-A2FB-76B39871D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1413855"/>
        <c:axId val="1283537807"/>
      </c:scatterChart>
      <c:valAx>
        <c:axId val="1281413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83537807"/>
        <c:crosses val="autoZero"/>
        <c:crossBetween val="midCat"/>
      </c:valAx>
      <c:valAx>
        <c:axId val="128353780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2814138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Wine!$AE$1</c:f>
              <c:strCache>
                <c:ptCount val="1"/>
                <c:pt idx="0">
                  <c:v>kan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Wine!$AE$2:$AE$205</c:f>
              <c:numCache>
                <c:formatCode>General</c:formatCode>
                <c:ptCount val="76"/>
                <c:pt idx="0">
                  <c:v>0.96132075786590576</c:v>
                </c:pt>
                <c:pt idx="1">
                  <c:v>0.96981132030487061</c:v>
                </c:pt>
                <c:pt idx="2">
                  <c:v>0.88490566015243532</c:v>
                </c:pt>
                <c:pt idx="3">
                  <c:v>0.95094339251518245</c:v>
                </c:pt>
                <c:pt idx="4">
                  <c:v>0.63018868565559383</c:v>
                </c:pt>
                <c:pt idx="5">
                  <c:v>0.95660378932952883</c:v>
                </c:pt>
                <c:pt idx="6">
                  <c:v>0.97358490824699406</c:v>
                </c:pt>
                <c:pt idx="7">
                  <c:v>0.93584907054901123</c:v>
                </c:pt>
                <c:pt idx="8">
                  <c:v>0.95471699237823482</c:v>
                </c:pt>
                <c:pt idx="9">
                  <c:v>0.95471698045730591</c:v>
                </c:pt>
                <c:pt idx="10">
                  <c:v>0.59245282411575317</c:v>
                </c:pt>
                <c:pt idx="11">
                  <c:v>0.98207547664642336</c:v>
                </c:pt>
                <c:pt idx="12">
                  <c:v>0.96415094733238216</c:v>
                </c:pt>
                <c:pt idx="13">
                  <c:v>0.9188679099082947</c:v>
                </c:pt>
                <c:pt idx="14">
                  <c:v>0.94905660748481746</c:v>
                </c:pt>
                <c:pt idx="15">
                  <c:v>0.92075471878051762</c:v>
                </c:pt>
                <c:pt idx="16">
                  <c:v>0.92641510963439944</c:v>
                </c:pt>
                <c:pt idx="17">
                  <c:v>0.9575471699237823</c:v>
                </c:pt>
                <c:pt idx="18">
                  <c:v>0.73207545280456543</c:v>
                </c:pt>
                <c:pt idx="19">
                  <c:v>0.96415095329284672</c:v>
                </c:pt>
                <c:pt idx="20">
                  <c:v>0.96603773832321171</c:v>
                </c:pt>
                <c:pt idx="21">
                  <c:v>0.97169811526934302</c:v>
                </c:pt>
                <c:pt idx="22">
                  <c:v>0.96792452931404116</c:v>
                </c:pt>
                <c:pt idx="23">
                  <c:v>0.44339622259140016</c:v>
                </c:pt>
                <c:pt idx="24">
                  <c:v>0.90188679695129392</c:v>
                </c:pt>
                <c:pt idx="25">
                  <c:v>0.93018869161605833</c:v>
                </c:pt>
                <c:pt idx="26">
                  <c:v>0.96603773832321171</c:v>
                </c:pt>
                <c:pt idx="27">
                  <c:v>0.9830188632011414</c:v>
                </c:pt>
                <c:pt idx="28">
                  <c:v>0.9056603670120239</c:v>
                </c:pt>
                <c:pt idx="29">
                  <c:v>0.96226415634155271</c:v>
                </c:pt>
                <c:pt idx="30">
                  <c:v>0.49622640609741209</c:v>
                </c:pt>
                <c:pt idx="31">
                  <c:v>0.30188679993152617</c:v>
                </c:pt>
                <c:pt idx="32">
                  <c:v>0.96792451143264768</c:v>
                </c:pt>
                <c:pt idx="33">
                  <c:v>0.97169811725616451</c:v>
                </c:pt>
                <c:pt idx="34">
                  <c:v>0.68301886320114136</c:v>
                </c:pt>
                <c:pt idx="35">
                  <c:v>0.84716981053352358</c:v>
                </c:pt>
                <c:pt idx="36">
                  <c:v>0.86603772640228271</c:v>
                </c:pt>
                <c:pt idx="37">
                  <c:v>0.43018867969512942</c:v>
                </c:pt>
                <c:pt idx="38">
                  <c:v>0.9858490526676178</c:v>
                </c:pt>
                <c:pt idx="39">
                  <c:v>0.49811320304870604</c:v>
                </c:pt>
                <c:pt idx="40">
                  <c:v>0.9622641444206238</c:v>
                </c:pt>
                <c:pt idx="41">
                  <c:v>0.91132075786590572</c:v>
                </c:pt>
                <c:pt idx="42">
                  <c:v>0.93396227359771733</c:v>
                </c:pt>
                <c:pt idx="43">
                  <c:v>0.43962264060974121</c:v>
                </c:pt>
                <c:pt idx="44">
                  <c:v>0.96603775024414063</c:v>
                </c:pt>
                <c:pt idx="45">
                  <c:v>0.9679245233535767</c:v>
                </c:pt>
                <c:pt idx="46">
                  <c:v>0.4603773534297943</c:v>
                </c:pt>
                <c:pt idx="47">
                  <c:v>0.38679245114326477</c:v>
                </c:pt>
                <c:pt idx="48">
                  <c:v>0.47169811725616456</c:v>
                </c:pt>
                <c:pt idx="49">
                  <c:v>0.51132074296474461</c:v>
                </c:pt>
                <c:pt idx="50">
                  <c:v>0.92075471878051762</c:v>
                </c:pt>
                <c:pt idx="51">
                  <c:v>0.40000000298023225</c:v>
                </c:pt>
                <c:pt idx="52">
                  <c:v>0.9641509413719177</c:v>
                </c:pt>
                <c:pt idx="53">
                  <c:v>0.8075471818447113</c:v>
                </c:pt>
                <c:pt idx="54">
                  <c:v>0.66981132626533513</c:v>
                </c:pt>
                <c:pt idx="55">
                  <c:v>0.41509433984756472</c:v>
                </c:pt>
                <c:pt idx="56">
                  <c:v>0.92452831268310542</c:v>
                </c:pt>
                <c:pt idx="57">
                  <c:v>0.41509433984756472</c:v>
                </c:pt>
                <c:pt idx="58">
                  <c:v>0.5735849142074585</c:v>
                </c:pt>
                <c:pt idx="59">
                  <c:v>0.60188679099082942</c:v>
                </c:pt>
                <c:pt idx="60">
                  <c:v>0.45471697449684145</c:v>
                </c:pt>
                <c:pt idx="61">
                  <c:v>0.95094339847564702</c:v>
                </c:pt>
                <c:pt idx="62">
                  <c:v>0.48113207817077636</c:v>
                </c:pt>
                <c:pt idx="63">
                  <c:v>0.47358490228652955</c:v>
                </c:pt>
                <c:pt idx="64">
                  <c:v>0.26037735491991043</c:v>
                </c:pt>
                <c:pt idx="65">
                  <c:v>0.32452830523252485</c:v>
                </c:pt>
                <c:pt idx="66">
                  <c:v>0.89245282411575322</c:v>
                </c:pt>
                <c:pt idx="67">
                  <c:v>0.55283018350601199</c:v>
                </c:pt>
                <c:pt idx="68">
                  <c:v>0.58301887512207029</c:v>
                </c:pt>
                <c:pt idx="69">
                  <c:v>0.52264150381088259</c:v>
                </c:pt>
                <c:pt idx="70">
                  <c:v>0.36792453229427335</c:v>
                </c:pt>
                <c:pt idx="71">
                  <c:v>0.48490566313266753</c:v>
                </c:pt>
                <c:pt idx="72">
                  <c:v>0.34528301358222963</c:v>
                </c:pt>
                <c:pt idx="73">
                  <c:v>0.50377358794212346</c:v>
                </c:pt>
                <c:pt idx="74">
                  <c:v>0.47735849320888518</c:v>
                </c:pt>
                <c:pt idx="75">
                  <c:v>0.4452830135822296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A6-4DD8-B9A4-82F112936FB4}"/>
            </c:ext>
          </c:extLst>
        </c:ser>
        <c:ser>
          <c:idx val="1"/>
          <c:order val="1"/>
          <c:tx>
            <c:strRef>
              <c:f>Wine!$AF$1</c:f>
              <c:strCache>
                <c:ptCount val="1"/>
                <c:pt idx="0">
                  <c:v>kan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Wine!$AF$2:$AF$205</c:f>
              <c:numCache>
                <c:formatCode>General</c:formatCode>
                <c:ptCount val="76"/>
                <c:pt idx="0">
                  <c:v>0.98148149251937866</c:v>
                </c:pt>
                <c:pt idx="1">
                  <c:v>0.99259259700775149</c:v>
                </c:pt>
                <c:pt idx="2">
                  <c:v>0.93333333730697632</c:v>
                </c:pt>
                <c:pt idx="3">
                  <c:v>0.98518519401550297</c:v>
                </c:pt>
                <c:pt idx="4">
                  <c:v>0.84444444179534917</c:v>
                </c:pt>
                <c:pt idx="5">
                  <c:v>1</c:v>
                </c:pt>
                <c:pt idx="6">
                  <c:v>0.97407407760620113</c:v>
                </c:pt>
                <c:pt idx="7">
                  <c:v>0.98518519401550297</c:v>
                </c:pt>
                <c:pt idx="8">
                  <c:v>1</c:v>
                </c:pt>
                <c:pt idx="9">
                  <c:v>0.97777778506278989</c:v>
                </c:pt>
                <c:pt idx="10">
                  <c:v>0.82962963581085203</c:v>
                </c:pt>
                <c:pt idx="11">
                  <c:v>0.9666666626930237</c:v>
                </c:pt>
                <c:pt idx="12">
                  <c:v>0.97407407760620113</c:v>
                </c:pt>
                <c:pt idx="13">
                  <c:v>0.96296297311782841</c:v>
                </c:pt>
                <c:pt idx="14">
                  <c:v>0.97777777910232544</c:v>
                </c:pt>
                <c:pt idx="15">
                  <c:v>0.99259259700775149</c:v>
                </c:pt>
                <c:pt idx="16">
                  <c:v>1</c:v>
                </c:pt>
                <c:pt idx="17">
                  <c:v>0.97777777910232544</c:v>
                </c:pt>
                <c:pt idx="18">
                  <c:v>0.85925927162170412</c:v>
                </c:pt>
                <c:pt idx="19">
                  <c:v>0.97777778506278989</c:v>
                </c:pt>
                <c:pt idx="20">
                  <c:v>0.97777777910232544</c:v>
                </c:pt>
                <c:pt idx="21">
                  <c:v>0.98765431841214502</c:v>
                </c:pt>
                <c:pt idx="22">
                  <c:v>0.98148148655891421</c:v>
                </c:pt>
                <c:pt idx="23">
                  <c:v>0.74074074029922488</c:v>
                </c:pt>
                <c:pt idx="24">
                  <c:v>0.97037038803100584</c:v>
                </c:pt>
                <c:pt idx="25">
                  <c:v>0.98518519401550297</c:v>
                </c:pt>
                <c:pt idx="26">
                  <c:v>0.97037037611007693</c:v>
                </c:pt>
                <c:pt idx="27">
                  <c:v>1</c:v>
                </c:pt>
                <c:pt idx="28">
                  <c:v>0.98518519401550297</c:v>
                </c:pt>
                <c:pt idx="29">
                  <c:v>0.97777778506278989</c:v>
                </c:pt>
                <c:pt idx="30">
                  <c:v>0.74074074029922488</c:v>
                </c:pt>
                <c:pt idx="31">
                  <c:v>0.69629628658294673</c:v>
                </c:pt>
                <c:pt idx="32">
                  <c:v>1</c:v>
                </c:pt>
                <c:pt idx="33">
                  <c:v>1</c:v>
                </c:pt>
                <c:pt idx="34">
                  <c:v>0.84444444179534917</c:v>
                </c:pt>
                <c:pt idx="35">
                  <c:v>0.97777777910232544</c:v>
                </c:pt>
                <c:pt idx="36">
                  <c:v>0.96296297311782841</c:v>
                </c:pt>
                <c:pt idx="37">
                  <c:v>0.67407407760620119</c:v>
                </c:pt>
                <c:pt idx="38">
                  <c:v>0.97530865669250488</c:v>
                </c:pt>
                <c:pt idx="39">
                  <c:v>0.66666667461395268</c:v>
                </c:pt>
                <c:pt idx="40">
                  <c:v>1</c:v>
                </c:pt>
                <c:pt idx="41">
                  <c:v>0.97777777910232544</c:v>
                </c:pt>
                <c:pt idx="42">
                  <c:v>0.99259259700775149</c:v>
                </c:pt>
                <c:pt idx="43">
                  <c:v>0.65925924777984624</c:v>
                </c:pt>
                <c:pt idx="44">
                  <c:v>0.99259259700775149</c:v>
                </c:pt>
                <c:pt idx="45">
                  <c:v>0.98518519401550297</c:v>
                </c:pt>
                <c:pt idx="46">
                  <c:v>0.74074074029922488</c:v>
                </c:pt>
                <c:pt idx="47">
                  <c:v>0.65185185670852663</c:v>
                </c:pt>
                <c:pt idx="48">
                  <c:v>0.65925925970077515</c:v>
                </c:pt>
                <c:pt idx="49">
                  <c:v>0.76296297311782835</c:v>
                </c:pt>
                <c:pt idx="50">
                  <c:v>1</c:v>
                </c:pt>
                <c:pt idx="51">
                  <c:v>0.61481482982635494</c:v>
                </c:pt>
                <c:pt idx="52">
                  <c:v>0.99259259700775149</c:v>
                </c:pt>
                <c:pt idx="53">
                  <c:v>0.97777777910232544</c:v>
                </c:pt>
                <c:pt idx="54">
                  <c:v>0.7481481552124023</c:v>
                </c:pt>
                <c:pt idx="55">
                  <c:v>0.70370370149612427</c:v>
                </c:pt>
                <c:pt idx="56">
                  <c:v>0.97037037611007693</c:v>
                </c:pt>
                <c:pt idx="57">
                  <c:v>0.66666667461395268</c:v>
                </c:pt>
                <c:pt idx="58">
                  <c:v>0.68888889551162724</c:v>
                </c:pt>
                <c:pt idx="59">
                  <c:v>0.73333334922790527</c:v>
                </c:pt>
                <c:pt idx="60">
                  <c:v>0.67407406568527217</c:v>
                </c:pt>
                <c:pt idx="61">
                  <c:v>0.99259259700775149</c:v>
                </c:pt>
                <c:pt idx="62">
                  <c:v>0.73333333730697636</c:v>
                </c:pt>
                <c:pt idx="63">
                  <c:v>0.72592593431472774</c:v>
                </c:pt>
                <c:pt idx="64">
                  <c:v>0.62962962388992305</c:v>
                </c:pt>
                <c:pt idx="65">
                  <c:v>0.73333332538604734</c:v>
                </c:pt>
                <c:pt idx="66">
                  <c:v>0.98518519401550297</c:v>
                </c:pt>
                <c:pt idx="67">
                  <c:v>0.62222222089767454</c:v>
                </c:pt>
                <c:pt idx="68">
                  <c:v>0.78518519401550291</c:v>
                </c:pt>
                <c:pt idx="69">
                  <c:v>0.68888889551162724</c:v>
                </c:pt>
                <c:pt idx="70">
                  <c:v>0.69629629850387575</c:v>
                </c:pt>
                <c:pt idx="71">
                  <c:v>0.76296297311782835</c:v>
                </c:pt>
                <c:pt idx="72">
                  <c:v>0.60740740299224849</c:v>
                </c:pt>
                <c:pt idx="73">
                  <c:v>0.74074075222015379</c:v>
                </c:pt>
                <c:pt idx="74">
                  <c:v>0.68148148059844971</c:v>
                </c:pt>
                <c:pt idx="75">
                  <c:v>0.69629629850387575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A6-4DD8-B9A4-82F112936FB4}"/>
            </c:ext>
          </c:extLst>
        </c:ser>
        <c:ser>
          <c:idx val="2"/>
          <c:order val="2"/>
          <c:tx>
            <c:strRef>
              <c:f>Wine!$AG$1</c:f>
              <c:strCache>
                <c:ptCount val="1"/>
                <c:pt idx="0">
                  <c:v>kan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Wine!$AG$2:$AG$205</c:f>
              <c:numCache>
                <c:formatCode>General</c:formatCode>
                <c:ptCount val="76"/>
                <c:pt idx="0">
                  <c:v>0.90888889431953435</c:v>
                </c:pt>
                <c:pt idx="1">
                  <c:v>0.90222222805023189</c:v>
                </c:pt>
                <c:pt idx="2">
                  <c:v>0.84000000953674314</c:v>
                </c:pt>
                <c:pt idx="3">
                  <c:v>0.87777778506278992</c:v>
                </c:pt>
                <c:pt idx="4">
                  <c:v>0.55555557012557988</c:v>
                </c:pt>
                <c:pt idx="5">
                  <c:v>0.90666667222976682</c:v>
                </c:pt>
                <c:pt idx="6">
                  <c:v>0.89777778387069707</c:v>
                </c:pt>
                <c:pt idx="7">
                  <c:v>0.90666667222976682</c:v>
                </c:pt>
                <c:pt idx="8">
                  <c:v>0.91111111640930176</c:v>
                </c:pt>
                <c:pt idx="9">
                  <c:v>0.90666667222976682</c:v>
                </c:pt>
                <c:pt idx="10">
                  <c:v>0.64000001549720764</c:v>
                </c:pt>
                <c:pt idx="11">
                  <c:v>0.91111111640930176</c:v>
                </c:pt>
                <c:pt idx="12">
                  <c:v>0.89111111760139461</c:v>
                </c:pt>
                <c:pt idx="13">
                  <c:v>0.87111111879348757</c:v>
                </c:pt>
                <c:pt idx="14">
                  <c:v>0.8888888955116272</c:v>
                </c:pt>
                <c:pt idx="15">
                  <c:v>0.88444445133209226</c:v>
                </c:pt>
                <c:pt idx="16">
                  <c:v>0.90666667222976682</c:v>
                </c:pt>
                <c:pt idx="17">
                  <c:v>0.90666667222976682</c:v>
                </c:pt>
                <c:pt idx="18">
                  <c:v>0.67111113071441653</c:v>
                </c:pt>
                <c:pt idx="19">
                  <c:v>0.89555556178092954</c:v>
                </c:pt>
                <c:pt idx="20">
                  <c:v>0.88444445133209226</c:v>
                </c:pt>
                <c:pt idx="21">
                  <c:v>0.92592593034108484</c:v>
                </c:pt>
                <c:pt idx="22">
                  <c:v>0.89777778387069707</c:v>
                </c:pt>
                <c:pt idx="23">
                  <c:v>0.48888890147209169</c:v>
                </c:pt>
                <c:pt idx="24">
                  <c:v>0.85333334207534794</c:v>
                </c:pt>
                <c:pt idx="25">
                  <c:v>0.85777778625488277</c:v>
                </c:pt>
                <c:pt idx="26">
                  <c:v>0.93111111521720891</c:v>
                </c:pt>
                <c:pt idx="27">
                  <c:v>0.92444444894790645</c:v>
                </c:pt>
                <c:pt idx="28">
                  <c:v>0.85777778625488277</c:v>
                </c:pt>
                <c:pt idx="29">
                  <c:v>0.89111111760139461</c:v>
                </c:pt>
                <c:pt idx="30">
                  <c:v>0.54222223758697508</c:v>
                </c:pt>
                <c:pt idx="31">
                  <c:v>0.24888889491558075</c:v>
                </c:pt>
                <c:pt idx="32">
                  <c:v>0.92000000476837163</c:v>
                </c:pt>
                <c:pt idx="33">
                  <c:v>0.92000000476837163</c:v>
                </c:pt>
                <c:pt idx="34">
                  <c:v>0.69333335161209109</c:v>
                </c:pt>
                <c:pt idx="35">
                  <c:v>0.79111111760139463</c:v>
                </c:pt>
                <c:pt idx="36">
                  <c:v>0.82222223281860352</c:v>
                </c:pt>
                <c:pt idx="37">
                  <c:v>0.44444445371627805</c:v>
                </c:pt>
                <c:pt idx="38">
                  <c:v>0.90740741292635596</c:v>
                </c:pt>
                <c:pt idx="39">
                  <c:v>0.40444445610046387</c:v>
                </c:pt>
                <c:pt idx="40">
                  <c:v>0.89777778387069707</c:v>
                </c:pt>
                <c:pt idx="41">
                  <c:v>0.84444445371627808</c:v>
                </c:pt>
                <c:pt idx="42">
                  <c:v>0.89777778387069707</c:v>
                </c:pt>
                <c:pt idx="43">
                  <c:v>0.42222223281860349</c:v>
                </c:pt>
                <c:pt idx="44">
                  <c:v>0.92888889312744138</c:v>
                </c:pt>
                <c:pt idx="45">
                  <c:v>0.91555556058883669</c:v>
                </c:pt>
                <c:pt idx="46">
                  <c:v>0.40444444864988327</c:v>
                </c:pt>
                <c:pt idx="47">
                  <c:v>0.37777778506278992</c:v>
                </c:pt>
                <c:pt idx="48">
                  <c:v>0.43111112713813782</c:v>
                </c:pt>
                <c:pt idx="49">
                  <c:v>0.46222223713994026</c:v>
                </c:pt>
                <c:pt idx="50">
                  <c:v>0.8622222304344177</c:v>
                </c:pt>
                <c:pt idx="51">
                  <c:v>0.40000001192092893</c:v>
                </c:pt>
                <c:pt idx="52">
                  <c:v>0.91111111640930176</c:v>
                </c:pt>
                <c:pt idx="53">
                  <c:v>0.76000001430511477</c:v>
                </c:pt>
                <c:pt idx="54">
                  <c:v>0.59555556774139407</c:v>
                </c:pt>
                <c:pt idx="55">
                  <c:v>0.40888890624046326</c:v>
                </c:pt>
                <c:pt idx="56">
                  <c:v>0.85333334207534794</c:v>
                </c:pt>
                <c:pt idx="57">
                  <c:v>0.39111112058162689</c:v>
                </c:pt>
                <c:pt idx="58">
                  <c:v>0.4977777898311615</c:v>
                </c:pt>
                <c:pt idx="59">
                  <c:v>0.54666667580604555</c:v>
                </c:pt>
                <c:pt idx="60">
                  <c:v>0.471111124753952</c:v>
                </c:pt>
                <c:pt idx="61">
                  <c:v>0.89333333969116213</c:v>
                </c:pt>
                <c:pt idx="62">
                  <c:v>0.44444445967674256</c:v>
                </c:pt>
                <c:pt idx="63">
                  <c:v>0.44888890385627744</c:v>
                </c:pt>
                <c:pt idx="64">
                  <c:v>0.24888889789581298</c:v>
                </c:pt>
                <c:pt idx="65">
                  <c:v>0.36000000834465029</c:v>
                </c:pt>
                <c:pt idx="66">
                  <c:v>0.86666667461395264</c:v>
                </c:pt>
                <c:pt idx="67">
                  <c:v>0.58222224116325383</c:v>
                </c:pt>
                <c:pt idx="68">
                  <c:v>0.54666668176651001</c:v>
                </c:pt>
                <c:pt idx="69">
                  <c:v>0.52888890504837038</c:v>
                </c:pt>
                <c:pt idx="70">
                  <c:v>0.38222223222255708</c:v>
                </c:pt>
                <c:pt idx="71">
                  <c:v>0.47555556595325471</c:v>
                </c:pt>
                <c:pt idx="72">
                  <c:v>0.34222222864627838</c:v>
                </c:pt>
                <c:pt idx="73">
                  <c:v>0.4977777898311615</c:v>
                </c:pt>
                <c:pt idx="74">
                  <c:v>0.53777779042720797</c:v>
                </c:pt>
                <c:pt idx="75">
                  <c:v>0.45777779221534731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A6-4DD8-B9A4-82F112936FB4}"/>
            </c:ext>
          </c:extLst>
        </c:ser>
        <c:ser>
          <c:idx val="3"/>
          <c:order val="3"/>
          <c:tx>
            <c:strRef>
              <c:f>Wine!$AH$1</c:f>
              <c:strCache>
                <c:ptCount val="1"/>
                <c:pt idx="0">
                  <c:v>mlp test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Wine!$AH$2:$AH$205</c:f>
              <c:numCache>
                <c:formatCode>General</c:formatCode>
                <c:ptCount val="76"/>
                <c:pt idx="0">
                  <c:v>0.89777777777777779</c:v>
                </c:pt>
                <c:pt idx="1">
                  <c:v>0.93333333333333335</c:v>
                </c:pt>
                <c:pt idx="2">
                  <c:v>0.93333333333333335</c:v>
                </c:pt>
                <c:pt idx="3">
                  <c:v>0.9</c:v>
                </c:pt>
                <c:pt idx="4">
                  <c:v>0.95111111111111113</c:v>
                </c:pt>
                <c:pt idx="5">
                  <c:v>0.92888888888888888</c:v>
                </c:pt>
                <c:pt idx="6">
                  <c:v>0.90888888888888886</c:v>
                </c:pt>
                <c:pt idx="7">
                  <c:v>0.92888888888888888</c:v>
                </c:pt>
                <c:pt idx="8">
                  <c:v>0.92888888888888888</c:v>
                </c:pt>
                <c:pt idx="9">
                  <c:v>0.90444444444444438</c:v>
                </c:pt>
                <c:pt idx="10">
                  <c:v>0.9555555555555556</c:v>
                </c:pt>
                <c:pt idx="11">
                  <c:v>0.90222222222222226</c:v>
                </c:pt>
                <c:pt idx="12">
                  <c:v>0.90444444444444438</c:v>
                </c:pt>
                <c:pt idx="13">
                  <c:v>0.92888888888888888</c:v>
                </c:pt>
                <c:pt idx="14">
                  <c:v>0.89777777777777779</c:v>
                </c:pt>
                <c:pt idx="15">
                  <c:v>0.9244444444444444</c:v>
                </c:pt>
                <c:pt idx="16">
                  <c:v>0.93333333333333335</c:v>
                </c:pt>
                <c:pt idx="17">
                  <c:v>0.9</c:v>
                </c:pt>
                <c:pt idx="18">
                  <c:v>0.94666666666666666</c:v>
                </c:pt>
                <c:pt idx="19">
                  <c:v>0.90666666666666662</c:v>
                </c:pt>
                <c:pt idx="20">
                  <c:v>0.93333333333333335</c:v>
                </c:pt>
                <c:pt idx="21">
                  <c:v>0.92962962962962958</c:v>
                </c:pt>
                <c:pt idx="22">
                  <c:v>0.90222222222222226</c:v>
                </c:pt>
                <c:pt idx="23">
                  <c:v>0.92888888888888888</c:v>
                </c:pt>
                <c:pt idx="24">
                  <c:v>0.93333333333333335</c:v>
                </c:pt>
                <c:pt idx="25">
                  <c:v>0.9244444444444444</c:v>
                </c:pt>
                <c:pt idx="26">
                  <c:v>0.90888888888888886</c:v>
                </c:pt>
                <c:pt idx="27">
                  <c:v>0.92888888888888888</c:v>
                </c:pt>
                <c:pt idx="28">
                  <c:v>0.93333333333333335</c:v>
                </c:pt>
                <c:pt idx="29">
                  <c:v>0.90222222222222226</c:v>
                </c:pt>
                <c:pt idx="30">
                  <c:v>0.93333333333333335</c:v>
                </c:pt>
                <c:pt idx="31">
                  <c:v>0.9555555555555556</c:v>
                </c:pt>
                <c:pt idx="32">
                  <c:v>0.92888888888888888</c:v>
                </c:pt>
                <c:pt idx="33">
                  <c:v>0.93333333333333335</c:v>
                </c:pt>
                <c:pt idx="34">
                  <c:v>0.9555555555555556</c:v>
                </c:pt>
                <c:pt idx="35">
                  <c:v>0.9244444444444444</c:v>
                </c:pt>
                <c:pt idx="36">
                  <c:v>0.92888888888888888</c:v>
                </c:pt>
                <c:pt idx="37">
                  <c:v>0.93333333333333335</c:v>
                </c:pt>
                <c:pt idx="38">
                  <c:v>0.92592592592592593</c:v>
                </c:pt>
                <c:pt idx="39">
                  <c:v>0.93333333333333335</c:v>
                </c:pt>
                <c:pt idx="40">
                  <c:v>0.93333333333333335</c:v>
                </c:pt>
                <c:pt idx="41">
                  <c:v>0.93333333333333335</c:v>
                </c:pt>
                <c:pt idx="42">
                  <c:v>0.9244444444444444</c:v>
                </c:pt>
                <c:pt idx="43">
                  <c:v>0.94222222222222229</c:v>
                </c:pt>
                <c:pt idx="44">
                  <c:v>0.93333333333333335</c:v>
                </c:pt>
                <c:pt idx="45">
                  <c:v>0.93333333333333335</c:v>
                </c:pt>
                <c:pt idx="46">
                  <c:v>0.93333333333333335</c:v>
                </c:pt>
                <c:pt idx="47">
                  <c:v>0.9555555555555556</c:v>
                </c:pt>
                <c:pt idx="48">
                  <c:v>0.93333333333333335</c:v>
                </c:pt>
                <c:pt idx="49">
                  <c:v>0.9244444444444444</c:v>
                </c:pt>
                <c:pt idx="50">
                  <c:v>0.92888888888888888</c:v>
                </c:pt>
                <c:pt idx="51">
                  <c:v>0.9555555555555556</c:v>
                </c:pt>
                <c:pt idx="52">
                  <c:v>0.92888888888888888</c:v>
                </c:pt>
                <c:pt idx="53">
                  <c:v>0.92888888888888888</c:v>
                </c:pt>
                <c:pt idx="54">
                  <c:v>0.93333333333333335</c:v>
                </c:pt>
                <c:pt idx="55">
                  <c:v>0.93333333333333335</c:v>
                </c:pt>
                <c:pt idx="56">
                  <c:v>0.93333333333333335</c:v>
                </c:pt>
                <c:pt idx="57">
                  <c:v>0.95111111111111113</c:v>
                </c:pt>
                <c:pt idx="58">
                  <c:v>0.93333333333333335</c:v>
                </c:pt>
                <c:pt idx="59">
                  <c:v>0.95111111111111113</c:v>
                </c:pt>
                <c:pt idx="60">
                  <c:v>0.95111111111111113</c:v>
                </c:pt>
                <c:pt idx="61">
                  <c:v>0.92888888888888888</c:v>
                </c:pt>
                <c:pt idx="62">
                  <c:v>0.93333333333333335</c:v>
                </c:pt>
                <c:pt idx="63">
                  <c:v>0.9555555555555556</c:v>
                </c:pt>
                <c:pt idx="64">
                  <c:v>0.9555555555555556</c:v>
                </c:pt>
                <c:pt idx="65">
                  <c:v>0.93333333333333335</c:v>
                </c:pt>
                <c:pt idx="66">
                  <c:v>0.93333333333333335</c:v>
                </c:pt>
                <c:pt idx="67">
                  <c:v>0.94222222222222229</c:v>
                </c:pt>
                <c:pt idx="68">
                  <c:v>0.9555555555555556</c:v>
                </c:pt>
                <c:pt idx="69">
                  <c:v>0.9555555555555556</c:v>
                </c:pt>
                <c:pt idx="70">
                  <c:v>0.93333333333333335</c:v>
                </c:pt>
                <c:pt idx="71">
                  <c:v>0.95111111111111113</c:v>
                </c:pt>
                <c:pt idx="72">
                  <c:v>0.96888888888888891</c:v>
                </c:pt>
                <c:pt idx="73">
                  <c:v>0.9555555555555556</c:v>
                </c:pt>
                <c:pt idx="74">
                  <c:v>0.9555555555555556</c:v>
                </c:pt>
                <c:pt idx="75">
                  <c:v>0.98222222222222222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A6-4DD8-B9A4-82F112936FB4}"/>
            </c:ext>
          </c:extLst>
        </c:ser>
        <c:ser>
          <c:idx val="4"/>
          <c:order val="4"/>
          <c:tx>
            <c:strRef>
              <c:f>Wine!$AI$1</c:f>
              <c:strCache>
                <c:ptCount val="1"/>
                <c:pt idx="0">
                  <c:v>mlp val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Wine!$AI$2:$AI$205</c:f>
              <c:numCache>
                <c:formatCode>General</c:formatCode>
                <c:ptCount val="76"/>
                <c:pt idx="0">
                  <c:v>0.94814814814814818</c:v>
                </c:pt>
                <c:pt idx="1">
                  <c:v>1</c:v>
                </c:pt>
                <c:pt idx="2">
                  <c:v>0.97777777777777775</c:v>
                </c:pt>
                <c:pt idx="3">
                  <c:v>0.95185185185185184</c:v>
                </c:pt>
                <c:pt idx="4">
                  <c:v>0.96296296296296291</c:v>
                </c:pt>
                <c:pt idx="5">
                  <c:v>1</c:v>
                </c:pt>
                <c:pt idx="6">
                  <c:v>0.95185185185185184</c:v>
                </c:pt>
                <c:pt idx="7">
                  <c:v>0.99259259259259258</c:v>
                </c:pt>
                <c:pt idx="8">
                  <c:v>0.99259259259259258</c:v>
                </c:pt>
                <c:pt idx="9">
                  <c:v>0.95925925925925926</c:v>
                </c:pt>
                <c:pt idx="10">
                  <c:v>0.95555555555555549</c:v>
                </c:pt>
                <c:pt idx="11">
                  <c:v>0.95185185185185184</c:v>
                </c:pt>
                <c:pt idx="12">
                  <c:v>0.95925925925925926</c:v>
                </c:pt>
                <c:pt idx="13">
                  <c:v>1</c:v>
                </c:pt>
                <c:pt idx="14">
                  <c:v>0.95555555555555549</c:v>
                </c:pt>
                <c:pt idx="15">
                  <c:v>1</c:v>
                </c:pt>
                <c:pt idx="16">
                  <c:v>1</c:v>
                </c:pt>
                <c:pt idx="17">
                  <c:v>0.95925925925925926</c:v>
                </c:pt>
                <c:pt idx="18">
                  <c:v>0.94814814814814807</c:v>
                </c:pt>
                <c:pt idx="19">
                  <c:v>0.95925925925925926</c:v>
                </c:pt>
                <c:pt idx="20">
                  <c:v>0.98518518518518516</c:v>
                </c:pt>
                <c:pt idx="21">
                  <c:v>0.96913580246913578</c:v>
                </c:pt>
                <c:pt idx="22">
                  <c:v>0.95555555555555549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0.95555555555555549</c:v>
                </c:pt>
                <c:pt idx="27">
                  <c:v>0.99259259259259258</c:v>
                </c:pt>
                <c:pt idx="28">
                  <c:v>1</c:v>
                </c:pt>
                <c:pt idx="29">
                  <c:v>0.95555555555555549</c:v>
                </c:pt>
                <c:pt idx="30">
                  <c:v>1</c:v>
                </c:pt>
                <c:pt idx="31">
                  <c:v>0.96296296296296291</c:v>
                </c:pt>
                <c:pt idx="32">
                  <c:v>1</c:v>
                </c:pt>
                <c:pt idx="33">
                  <c:v>1</c:v>
                </c:pt>
                <c:pt idx="34">
                  <c:v>0.95555555555555549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0.92592592592592593</c:v>
                </c:pt>
                <c:pt idx="39">
                  <c:v>0.92592592592592593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0.93333333333333335</c:v>
                </c:pt>
                <c:pt idx="44">
                  <c:v>0.99259259259259258</c:v>
                </c:pt>
                <c:pt idx="45">
                  <c:v>1</c:v>
                </c:pt>
                <c:pt idx="46">
                  <c:v>0.98518518518518516</c:v>
                </c:pt>
                <c:pt idx="47">
                  <c:v>0.96296296296296291</c:v>
                </c:pt>
                <c:pt idx="48">
                  <c:v>0.93333333333333335</c:v>
                </c:pt>
                <c:pt idx="49">
                  <c:v>1</c:v>
                </c:pt>
                <c:pt idx="50">
                  <c:v>1</c:v>
                </c:pt>
                <c:pt idx="51">
                  <c:v>0.96296296296296291</c:v>
                </c:pt>
                <c:pt idx="52">
                  <c:v>1</c:v>
                </c:pt>
                <c:pt idx="53">
                  <c:v>1</c:v>
                </c:pt>
                <c:pt idx="54">
                  <c:v>0.94074074074074077</c:v>
                </c:pt>
                <c:pt idx="55">
                  <c:v>0.92592592592592593</c:v>
                </c:pt>
                <c:pt idx="56">
                  <c:v>1</c:v>
                </c:pt>
                <c:pt idx="57">
                  <c:v>0.94814814814814807</c:v>
                </c:pt>
                <c:pt idx="58">
                  <c:v>0.94074074074074077</c:v>
                </c:pt>
                <c:pt idx="59">
                  <c:v>0.95555555555555549</c:v>
                </c:pt>
                <c:pt idx="60">
                  <c:v>0.95555555555555549</c:v>
                </c:pt>
                <c:pt idx="61">
                  <c:v>1</c:v>
                </c:pt>
                <c:pt idx="62">
                  <c:v>0.93333333333333335</c:v>
                </c:pt>
                <c:pt idx="63">
                  <c:v>0.95555555555555549</c:v>
                </c:pt>
                <c:pt idx="64">
                  <c:v>0.95555555555555549</c:v>
                </c:pt>
                <c:pt idx="65">
                  <c:v>0.93333333333333335</c:v>
                </c:pt>
                <c:pt idx="66">
                  <c:v>1</c:v>
                </c:pt>
                <c:pt idx="67">
                  <c:v>0.95555555555555549</c:v>
                </c:pt>
                <c:pt idx="68">
                  <c:v>0.94814814814814807</c:v>
                </c:pt>
                <c:pt idx="69">
                  <c:v>0.95555555555555549</c:v>
                </c:pt>
                <c:pt idx="70">
                  <c:v>0.95555555555555549</c:v>
                </c:pt>
                <c:pt idx="71">
                  <c:v>0.94074074074074077</c:v>
                </c:pt>
                <c:pt idx="72">
                  <c:v>0.94814814814814807</c:v>
                </c:pt>
                <c:pt idx="73">
                  <c:v>0.96296296296296291</c:v>
                </c:pt>
                <c:pt idx="74">
                  <c:v>0.94074074074074077</c:v>
                </c:pt>
                <c:pt idx="75">
                  <c:v>0.95555555555555549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A6-4DD8-B9A4-82F112936FB4}"/>
            </c:ext>
          </c:extLst>
        </c:ser>
        <c:ser>
          <c:idx val="5"/>
          <c:order val="5"/>
          <c:tx>
            <c:strRef>
              <c:f>Wine!$AJ$1</c:f>
              <c:strCache>
                <c:ptCount val="1"/>
                <c:pt idx="0">
                  <c:v>mlp train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Wine!$AD$2:$AD$205</c:f>
              <c:numCache>
                <c:formatCode>General</c:formatCode>
                <c:ptCount val="76"/>
                <c:pt idx="0">
                  <c:v>1884</c:v>
                </c:pt>
                <c:pt idx="1">
                  <c:v>2316</c:v>
                </c:pt>
                <c:pt idx="2">
                  <c:v>2748</c:v>
                </c:pt>
                <c:pt idx="3">
                  <c:v>2929</c:v>
                </c:pt>
                <c:pt idx="4">
                  <c:v>3180</c:v>
                </c:pt>
                <c:pt idx="5">
                  <c:v>3601</c:v>
                </c:pt>
                <c:pt idx="6">
                  <c:v>3974</c:v>
                </c:pt>
                <c:pt idx="7">
                  <c:v>4273</c:v>
                </c:pt>
                <c:pt idx="8">
                  <c:v>4886</c:v>
                </c:pt>
                <c:pt idx="9">
                  <c:v>4930</c:v>
                </c:pt>
                <c:pt idx="10">
                  <c:v>4945</c:v>
                </c:pt>
                <c:pt idx="11">
                  <c:v>5019</c:v>
                </c:pt>
                <c:pt idx="12">
                  <c:v>5608</c:v>
                </c:pt>
                <c:pt idx="13">
                  <c:v>5798</c:v>
                </c:pt>
                <c:pt idx="14">
                  <c:v>5975</c:v>
                </c:pt>
                <c:pt idx="15">
                  <c:v>6061</c:v>
                </c:pt>
                <c:pt idx="16">
                  <c:v>6171</c:v>
                </c:pt>
                <c:pt idx="17">
                  <c:v>6286</c:v>
                </c:pt>
                <c:pt idx="18">
                  <c:v>6710</c:v>
                </c:pt>
                <c:pt idx="19">
                  <c:v>6783</c:v>
                </c:pt>
                <c:pt idx="20">
                  <c:v>6895</c:v>
                </c:pt>
                <c:pt idx="21">
                  <c:v>6964</c:v>
                </c:pt>
                <c:pt idx="22">
                  <c:v>7020</c:v>
                </c:pt>
                <c:pt idx="23">
                  <c:v>7192</c:v>
                </c:pt>
                <c:pt idx="24">
                  <c:v>7323</c:v>
                </c:pt>
                <c:pt idx="25">
                  <c:v>7346</c:v>
                </c:pt>
                <c:pt idx="26">
                  <c:v>7591</c:v>
                </c:pt>
                <c:pt idx="27">
                  <c:v>7642</c:v>
                </c:pt>
                <c:pt idx="28">
                  <c:v>7729</c:v>
                </c:pt>
                <c:pt idx="29">
                  <c:v>7958</c:v>
                </c:pt>
                <c:pt idx="30">
                  <c:v>8182</c:v>
                </c:pt>
                <c:pt idx="31">
                  <c:v>8323</c:v>
                </c:pt>
                <c:pt idx="32">
                  <c:v>8340</c:v>
                </c:pt>
                <c:pt idx="33">
                  <c:v>8399</c:v>
                </c:pt>
                <c:pt idx="34">
                  <c:v>8475</c:v>
                </c:pt>
                <c:pt idx="35">
                  <c:v>8563</c:v>
                </c:pt>
                <c:pt idx="36">
                  <c:v>8631</c:v>
                </c:pt>
                <c:pt idx="37">
                  <c:v>8717</c:v>
                </c:pt>
                <c:pt idx="38">
                  <c:v>8896</c:v>
                </c:pt>
                <c:pt idx="39">
                  <c:v>9172</c:v>
                </c:pt>
                <c:pt idx="40">
                  <c:v>9207</c:v>
                </c:pt>
                <c:pt idx="41">
                  <c:v>9334</c:v>
                </c:pt>
                <c:pt idx="42">
                  <c:v>9397</c:v>
                </c:pt>
                <c:pt idx="43">
                  <c:v>9469</c:v>
                </c:pt>
                <c:pt idx="44">
                  <c:v>9785</c:v>
                </c:pt>
                <c:pt idx="45">
                  <c:v>9834</c:v>
                </c:pt>
                <c:pt idx="46">
                  <c:v>9897</c:v>
                </c:pt>
                <c:pt idx="47">
                  <c:v>10088</c:v>
                </c:pt>
                <c:pt idx="48">
                  <c:v>10162</c:v>
                </c:pt>
                <c:pt idx="49">
                  <c:v>10242</c:v>
                </c:pt>
                <c:pt idx="50">
                  <c:v>10328</c:v>
                </c:pt>
                <c:pt idx="51">
                  <c:v>10615</c:v>
                </c:pt>
                <c:pt idx="52">
                  <c:v>10772</c:v>
                </c:pt>
                <c:pt idx="53">
                  <c:v>10939</c:v>
                </c:pt>
                <c:pt idx="54">
                  <c:v>11077</c:v>
                </c:pt>
                <c:pt idx="55">
                  <c:v>11152</c:v>
                </c:pt>
                <c:pt idx="56">
                  <c:v>11322</c:v>
                </c:pt>
                <c:pt idx="57">
                  <c:v>11454</c:v>
                </c:pt>
                <c:pt idx="58">
                  <c:v>11612</c:v>
                </c:pt>
                <c:pt idx="59">
                  <c:v>11761</c:v>
                </c:pt>
                <c:pt idx="60">
                  <c:v>11853</c:v>
                </c:pt>
                <c:pt idx="61">
                  <c:v>12093</c:v>
                </c:pt>
                <c:pt idx="62">
                  <c:v>12257</c:v>
                </c:pt>
                <c:pt idx="63">
                  <c:v>12820</c:v>
                </c:pt>
                <c:pt idx="64">
                  <c:v>12907</c:v>
                </c:pt>
                <c:pt idx="65">
                  <c:v>12982</c:v>
                </c:pt>
                <c:pt idx="66">
                  <c:v>13247</c:v>
                </c:pt>
                <c:pt idx="67">
                  <c:v>13437</c:v>
                </c:pt>
                <c:pt idx="68">
                  <c:v>13439</c:v>
                </c:pt>
                <c:pt idx="69">
                  <c:v>14186</c:v>
                </c:pt>
                <c:pt idx="70">
                  <c:v>14352</c:v>
                </c:pt>
                <c:pt idx="71">
                  <c:v>15025</c:v>
                </c:pt>
                <c:pt idx="72">
                  <c:v>15552</c:v>
                </c:pt>
                <c:pt idx="73">
                  <c:v>15722</c:v>
                </c:pt>
                <c:pt idx="74">
                  <c:v>16611</c:v>
                </c:pt>
                <c:pt idx="75">
                  <c:v>18197</c:v>
                </c:pt>
              </c:numCache>
            </c:numRef>
          </c:xVal>
          <c:yVal>
            <c:numRef>
              <c:f>Wine!$AJ$2:$AJ$205</c:f>
              <c:numCache>
                <c:formatCode>General</c:formatCode>
                <c:ptCount val="76"/>
                <c:pt idx="0">
                  <c:v>0.97169811320754718</c:v>
                </c:pt>
                <c:pt idx="1">
                  <c:v>1</c:v>
                </c:pt>
                <c:pt idx="2">
                  <c:v>1</c:v>
                </c:pt>
                <c:pt idx="3">
                  <c:v>0.97169811320754718</c:v>
                </c:pt>
                <c:pt idx="4">
                  <c:v>1</c:v>
                </c:pt>
                <c:pt idx="5">
                  <c:v>1</c:v>
                </c:pt>
                <c:pt idx="6">
                  <c:v>0.97169811320754718</c:v>
                </c:pt>
                <c:pt idx="7">
                  <c:v>1</c:v>
                </c:pt>
                <c:pt idx="8">
                  <c:v>1</c:v>
                </c:pt>
                <c:pt idx="9">
                  <c:v>0.97264150943396221</c:v>
                </c:pt>
                <c:pt idx="10">
                  <c:v>1</c:v>
                </c:pt>
                <c:pt idx="11">
                  <c:v>0.97169811320754718</c:v>
                </c:pt>
                <c:pt idx="12">
                  <c:v>0.97264150943396221</c:v>
                </c:pt>
                <c:pt idx="13">
                  <c:v>1</c:v>
                </c:pt>
                <c:pt idx="14">
                  <c:v>0.97075471698113214</c:v>
                </c:pt>
                <c:pt idx="15">
                  <c:v>1</c:v>
                </c:pt>
                <c:pt idx="16">
                  <c:v>1</c:v>
                </c:pt>
                <c:pt idx="17">
                  <c:v>0.97169811320754718</c:v>
                </c:pt>
                <c:pt idx="18">
                  <c:v>1</c:v>
                </c:pt>
                <c:pt idx="19">
                  <c:v>0.97169811320754718</c:v>
                </c:pt>
                <c:pt idx="20">
                  <c:v>1</c:v>
                </c:pt>
                <c:pt idx="21">
                  <c:v>1</c:v>
                </c:pt>
                <c:pt idx="22">
                  <c:v>0.97169811320754718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0.97547169811320755</c:v>
                </c:pt>
                <c:pt idx="27">
                  <c:v>1</c:v>
                </c:pt>
                <c:pt idx="28">
                  <c:v>1</c:v>
                </c:pt>
                <c:pt idx="29">
                  <c:v>0.97169811320754718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0.99056603773584906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0.99433962264150944</c:v>
                </c:pt>
                <c:pt idx="73">
                  <c:v>1</c:v>
                </c:pt>
                <c:pt idx="74">
                  <c:v>1</c:v>
                </c:pt>
                <c:pt idx="75">
                  <c:v>0.98679245283018868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A6-4DD8-B9A4-82F112936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3768751"/>
        <c:axId val="1173767791"/>
      </c:scatterChart>
      <c:valAx>
        <c:axId val="1173768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3767791"/>
        <c:crosses val="autoZero"/>
        <c:crossBetween val="midCat"/>
      </c:valAx>
      <c:valAx>
        <c:axId val="1173767791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737687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247649</xdr:colOff>
      <xdr:row>3</xdr:row>
      <xdr:rowOff>19050</xdr:rowOff>
    </xdr:from>
    <xdr:to>
      <xdr:col>9</xdr:col>
      <xdr:colOff>647699</xdr:colOff>
      <xdr:row>33</xdr:row>
      <xdr:rowOff>57150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F4E33E90-E6B7-44D9-B1BE-DDB08B1D3C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85724</xdr:rowOff>
    </xdr:from>
    <xdr:to>
      <xdr:col>9</xdr:col>
      <xdr:colOff>136527</xdr:colOff>
      <xdr:row>75</xdr:row>
      <xdr:rowOff>152400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4D56D03-A3ED-4525-859D-45A499723D5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4</xdr:row>
      <xdr:rowOff>9525</xdr:rowOff>
    </xdr:from>
    <xdr:to>
      <xdr:col>7</xdr:col>
      <xdr:colOff>247650</xdr:colOff>
      <xdr:row>30</xdr:row>
      <xdr:rowOff>28575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29CE30C2-2EC2-4E9D-8105-3CFFD60C9E4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95248</xdr:colOff>
      <xdr:row>5</xdr:row>
      <xdr:rowOff>66674</xdr:rowOff>
    </xdr:from>
    <xdr:to>
      <xdr:col>9</xdr:col>
      <xdr:colOff>241223</xdr:colOff>
      <xdr:row>61</xdr:row>
      <xdr:rowOff>66675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4C5F42B6-2F6F-4E78-90F7-5B7814FC8D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FCA774-5F8F-4A0E-92E8-2E74399CB02A}" name="Tabela3" displayName="Tabela3" ref="A1:AB304" totalsRowShown="0" headerRowDxfId="19" headerRowBorderDxfId="18" tableBorderDxfId="17">
  <autoFilter ref="A1:AB304" xr:uid="{76FCA774-5F8F-4A0E-92E8-2E74399CB02A}"/>
  <sortState xmlns:xlrd2="http://schemas.microsoft.com/office/spreadsheetml/2017/richdata2" ref="A2:AB304">
    <sortCondition ref="G1:G304"/>
  </sortState>
  <tableColumns count="28">
    <tableColumn id="1" xr3:uid="{4A64EC78-57AF-47B8-B266-6F8940085469}" name="dataset_name" dataDxfId="16"/>
    <tableColumn id="2" xr3:uid="{B73157C3-DD7A-44C3-818E-4AFC7F00AD34}" name="kan_grid"/>
    <tableColumn id="3" xr3:uid="{7AE5B115-BBC7-40C2-B5CE-729F124CD474}" name="kan_grid_passed_parameter"/>
    <tableColumn id="4" xr3:uid="{DDE7F4E3-BC09-4D01-9FAF-54001AD7229C}" name="kan_degree"/>
    <tableColumn id="5" xr3:uid="{3015FD6E-CF8D-4A37-BDD0-0A05B8F884D6}" name="kan_lam"/>
    <tableColumn id="6" xr3:uid="{53A07281-F076-4804-9059-45FBC986E8D4}" name="kan_width" dataDxfId="15"/>
    <tableColumn id="7" xr3:uid="{B7CDF26E-BB85-483A-B61A-6FD8910975A9}" name="kan_params"/>
    <tableColumn id="8" xr3:uid="{30F91CCB-58EA-4318-8FD1-6599D6F44E9D}" name="kan_time_difference"/>
    <tableColumn id="9" xr3:uid="{5C9A2782-9C46-4D21-A028-643057196543}" name="kan_steps"/>
    <tableColumn id="10" xr3:uid="{C05DF518-FDD0-4F14-81EF-12A509D4D248}" name="kan_train_acc"/>
    <tableColumn id="11" xr3:uid="{2A5ABDE5-1E70-41B6-B171-A0BE49F37600}" name="kan_val_acc"/>
    <tableColumn id="12" xr3:uid="{55EB97E6-1B24-4F8F-AA01-DEB5917D7523}" name="kan_test_acc"/>
    <tableColumn id="13" xr3:uid="{423DF898-DFAC-4885-8070-84B7CC92496D}" name="mlp_test_acc"/>
    <tableColumn id="14" xr3:uid="{B01170E2-BA1C-4731-90FA-F2D9CA58BEF4}" name="mlp_val_acc"/>
    <tableColumn id="15" xr3:uid="{E2E8D862-3295-4E76-B64F-4153A38D41CA}" name="mlp_train_acc"/>
    <tableColumn id="16" xr3:uid="{ED5D2803-CB56-4DC5-A1F3-5D94B2C425EA}" name="mlp_steps"/>
    <tableColumn id="17" xr3:uid="{61BC61DF-0392-4B08-8A16-4D1E0134354E}" name="mlp_time_difference"/>
    <tableColumn id="18" xr3:uid="{8BDDA248-9642-44F3-A290-4669889617CD}" name="mlp_params"/>
    <tableColumn id="19" xr3:uid="{94E5326F-C1C4-4588-B43B-EB95D5DC5D04}" name="mlp_no_layers"/>
    <tableColumn id="20" xr3:uid="{D79B6008-C882-41EE-967C-8DB5BED281AF}" name="mlp_width_layers"/>
    <tableColumn id="21" xr3:uid="{63787D26-2855-4393-B84B-CDB0D179B0CC}" name="mlp2_test_acc"/>
    <tableColumn id="22" xr3:uid="{90BBE812-F476-4F9D-B507-63AA05EB6919}" name="mlp2_val_acc"/>
    <tableColumn id="23" xr3:uid="{970FF81C-2C31-4C54-97CE-87114D0B7C25}" name="mlp2_train_acc"/>
    <tableColumn id="24" xr3:uid="{E557E8F4-14AE-41A7-97A9-8E04927FF1BC}" name="mlp2_steps"/>
    <tableColumn id="25" xr3:uid="{6D7CDB76-8D8C-4221-86C1-97CE025038A7}" name="mlp2_time_difference"/>
    <tableColumn id="26" xr3:uid="{E34AF99A-5AA8-4B1B-8AEA-A667BD3DC842}" name="mlp2_params"/>
    <tableColumn id="27" xr3:uid="{0400FB01-9280-476D-A4DA-D1393A2BEB8F}" name="no_layers2"/>
    <tableColumn id="28" xr3:uid="{09D911DA-4EDC-4499-B7EE-1CAE0D7DDCE1}" name="width_layers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C7E2C7-4622-4394-AF76-04B283744778}" name="Tabela2" displayName="Tabela2" ref="A1:AB60" totalsRowShown="0" headerRowDxfId="14" headerRowBorderDxfId="13" tableBorderDxfId="12">
  <autoFilter ref="A1:AB60" xr:uid="{73C7E2C7-4622-4394-AF76-04B283744778}">
    <filterColumn colId="2">
      <filters>
        <filter val="5"/>
      </filters>
    </filterColumn>
    <filterColumn colId="3">
      <filters>
        <filter val="5"/>
      </filters>
    </filterColumn>
  </autoFilter>
  <sortState xmlns:xlrd2="http://schemas.microsoft.com/office/spreadsheetml/2017/richdata2" ref="A2:AB60">
    <sortCondition ref="G1:G60"/>
  </sortState>
  <tableColumns count="28">
    <tableColumn id="1" xr3:uid="{3BCF58B2-BEC2-4C4E-A4B0-2068DB59FB15}" name="dataset_name" dataDxfId="11"/>
    <tableColumn id="2" xr3:uid="{E1ABCEAC-73BA-49D9-899A-7D18410AF1E5}" name="kan_grid"/>
    <tableColumn id="3" xr3:uid="{2E947049-892D-459E-BE65-64A60D811118}" name="kan_grid_passed_parameter"/>
    <tableColumn id="4" xr3:uid="{411E9EF5-E6FC-4F9E-9FB2-7211A46F5BB3}" name="kan_degree"/>
    <tableColumn id="5" xr3:uid="{064EA95D-76AD-4717-9EF0-92DA5BB7290B}" name="kan_lam"/>
    <tableColumn id="6" xr3:uid="{D3EB3948-09EA-4DCD-B35D-7723615DBB81}" name="kan_width" dataDxfId="10"/>
    <tableColumn id="7" xr3:uid="{99CFB05B-6AAD-4815-A3A1-73058EF254FD}" name="kan_params"/>
    <tableColumn id="8" xr3:uid="{91F9B7E6-7020-4DC9-891B-799FF2197D03}" name="kan_time_difference"/>
    <tableColumn id="9" xr3:uid="{69C05E5A-D72C-4432-803D-63088771433D}" name="kan_steps"/>
    <tableColumn id="10" xr3:uid="{FB11B44B-6DEA-4A33-B42E-A70ACE032AD7}" name="kan_train_acc"/>
    <tableColumn id="11" xr3:uid="{4DC37153-7C4E-40B9-9137-24EBC726A0DA}" name="kan_val_acc"/>
    <tableColumn id="12" xr3:uid="{93438A3C-B201-46D1-A78B-94DE118AD4FC}" name="kan_test_acc"/>
    <tableColumn id="13" xr3:uid="{0BC2EC67-E28B-42EF-BD8F-FE2BA5682A32}" name="mlp_test_acc"/>
    <tableColumn id="14" xr3:uid="{E7499D9A-84E0-4F15-A8EB-D2FB7E5AE939}" name="mlp_val_acc"/>
    <tableColumn id="15" xr3:uid="{6E5A6847-8085-4C3D-B4C8-2AFB84511337}" name="mlp_train_acc"/>
    <tableColumn id="16" xr3:uid="{0116F0B4-DD8B-4471-BCF7-14EA4F4E1E94}" name="mlp_steps"/>
    <tableColumn id="17" xr3:uid="{02C459F5-21F0-4A72-BD55-1C75E88614AC}" name="mlp_time_difference"/>
    <tableColumn id="18" xr3:uid="{315CBF7E-322D-4AEF-A1DB-9DD0C5206489}" name="mlp_params"/>
    <tableColumn id="19" xr3:uid="{F3A7F6C4-07D8-4BAD-8B0F-AAA77234854E}" name="mlp_no_layers"/>
    <tableColumn id="20" xr3:uid="{E6198D9C-1A40-4B42-8060-349AE83B189B}" name="mlp_width_layers"/>
    <tableColumn id="21" xr3:uid="{30F9053D-5AB3-4F67-BE0B-FAC46D56F291}" name="mlp2_test_acc"/>
    <tableColumn id="22" xr3:uid="{A62F78CC-7799-4FDD-AE1E-D64F86AE0AAC}" name="mlp2_val_acc"/>
    <tableColumn id="23" xr3:uid="{56639F57-0893-44DB-94E0-FAC9095369C0}" name="mlp2_train_acc"/>
    <tableColumn id="24" xr3:uid="{AD1E3863-490D-4F41-96B4-5BC05DB8BEA5}" name="mlp2_steps"/>
    <tableColumn id="25" xr3:uid="{4D3D6CF6-140A-4F3F-9014-A3F3F81854F2}" name="mlp2_time_difference"/>
    <tableColumn id="26" xr3:uid="{D01275B3-3607-4DD3-A3FF-6646F4A162A4}" name="mlp2_params"/>
    <tableColumn id="27" xr3:uid="{528A621D-031E-4233-BADD-708F051A9DB3}" name="no_layers2"/>
    <tableColumn id="28" xr3:uid="{4619E549-FB6C-45E7-A4E4-5024AD4FE7F0}" name="width_layers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FCB170C-E40E-4FE3-9615-05D647FD1671}" name="Tabela4" displayName="Tabela4" ref="A1:AB53" totalsRowShown="0" headerRowDxfId="9" headerRowBorderDxfId="8" tableBorderDxfId="7">
  <autoFilter ref="A1:AB53" xr:uid="{FFCB170C-E40E-4FE3-9615-05D647FD1671}">
    <filterColumn colId="2">
      <filters>
        <filter val="3"/>
      </filters>
    </filterColumn>
  </autoFilter>
  <sortState xmlns:xlrd2="http://schemas.microsoft.com/office/spreadsheetml/2017/richdata2" ref="A2:AB53">
    <sortCondition ref="G1:G53"/>
  </sortState>
  <tableColumns count="28">
    <tableColumn id="1" xr3:uid="{88DAB3DC-277B-48C8-A776-1E704C272A7A}" name="dataset_name" dataDxfId="6"/>
    <tableColumn id="2" xr3:uid="{EC8656AA-69B2-4FEA-808B-6EA1526060B9}" name="kan_grid"/>
    <tableColumn id="3" xr3:uid="{3E75BBD7-17A9-4A23-B22D-7977815CCB9F}" name="kan_grid_passed_parameter"/>
    <tableColumn id="4" xr3:uid="{81A25235-E98C-44DB-8775-607FF7574C58}" name="kan_degree"/>
    <tableColumn id="5" xr3:uid="{E76D58ED-BE7F-4C52-AD0E-0CAD71E4C5AC}" name="kan_lam"/>
    <tableColumn id="6" xr3:uid="{476C9A5C-1272-4605-ADD6-903AD6004A15}" name="kan_width" dataDxfId="5"/>
    <tableColumn id="7" xr3:uid="{169199FB-2A5C-4C51-9E1C-0FB931D15451}" name="kan_params"/>
    <tableColumn id="8" xr3:uid="{C3C66EC7-250D-4DB5-8C22-10DAC536A526}" name="kan_time_difference"/>
    <tableColumn id="9" xr3:uid="{E801A1E5-E483-45A8-B454-7AAE2587F3DD}" name="kan_steps"/>
    <tableColumn id="10" xr3:uid="{158C1160-834D-4C2A-9DB4-FA09C256CD1A}" name="kan_train_acc"/>
    <tableColumn id="11" xr3:uid="{D54A2C76-8980-4C02-8A7D-6412A9A6E400}" name="kan_val_acc"/>
    <tableColumn id="12" xr3:uid="{0C59D5E9-18EE-4884-90DC-3CE95A0795DA}" name="kan_test_acc"/>
    <tableColumn id="13" xr3:uid="{26FA51E2-DFBF-43C0-A42A-BF79A438B36E}" name="mlp_test_acc"/>
    <tableColumn id="14" xr3:uid="{2498DA1D-84B6-40A2-9DE6-6E2F8220DA08}" name="mlp_val_acc"/>
    <tableColumn id="15" xr3:uid="{D8F2D269-15CE-46E2-8A39-7885706AFDA4}" name="mlp_train_acc"/>
    <tableColumn id="16" xr3:uid="{AD101F54-41AB-48D1-8E4C-6F07AAC0FFBD}" name="mlp_steps"/>
    <tableColumn id="17" xr3:uid="{8E2CD232-F894-4939-863A-4239940C90D2}" name="mlp_time_difference"/>
    <tableColumn id="18" xr3:uid="{8B40018F-E908-4B91-9F2E-A7580B656D9C}" name="mlp_params"/>
    <tableColumn id="19" xr3:uid="{E77817F7-EE35-49CF-B236-602AD3B26400}" name="mlp_no_layers"/>
    <tableColumn id="20" xr3:uid="{48321141-6426-4638-A93C-8E2896D79659}" name="mlp_width_layers"/>
    <tableColumn id="21" xr3:uid="{8D47324A-56DE-4D48-9E9E-2D15CF87EBB3}" name="mlp2_test_acc"/>
    <tableColumn id="22" xr3:uid="{882D8544-F0A4-4A36-BCD3-F8F81EBFC372}" name="mlp2_val_acc"/>
    <tableColumn id="23" xr3:uid="{3A702DDC-0154-4DEA-BC6C-BB3EC9BA499C}" name="mlp2_train_acc"/>
    <tableColumn id="24" xr3:uid="{6B7D8F2A-7E9E-4A03-8566-79E4674D77EA}" name="mlp2_steps"/>
    <tableColumn id="25" xr3:uid="{7BABAE09-F95A-4697-901D-192B352FF9C6}" name="mlp2_time_difference"/>
    <tableColumn id="26" xr3:uid="{91802B93-276D-44FF-956D-9196F4345BB2}" name="mlp2_params"/>
    <tableColumn id="27" xr3:uid="{E3D44913-5741-4338-A232-2D1CCCA78D0D}" name="no_layers2"/>
    <tableColumn id="28" xr3:uid="{AC782E23-74D4-4B83-9D82-4B2E5A26DCF5}" name="width_layers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F22C274-F82A-40CC-9166-78FF00A0B880}" name="Tabela5" displayName="Tabela5" ref="A1:AB205" totalsRowShown="0" headerRowDxfId="4" headerRowBorderDxfId="3" tableBorderDxfId="2">
  <autoFilter ref="A1:AB205" xr:uid="{AF22C274-F82A-40CC-9166-78FF00A0B880}">
    <filterColumn colId="2">
      <filters>
        <filter val="3"/>
      </filters>
    </filterColumn>
  </autoFilter>
  <sortState xmlns:xlrd2="http://schemas.microsoft.com/office/spreadsheetml/2017/richdata2" ref="A2:AB205">
    <sortCondition ref="G1:G205"/>
  </sortState>
  <tableColumns count="28">
    <tableColumn id="1" xr3:uid="{86868F7D-0A6B-492A-8D0D-9AE9E886572E}" name="dataset_name" dataDxfId="1"/>
    <tableColumn id="2" xr3:uid="{03A325FB-7737-4ED0-9330-CDFDF5534453}" name="kan_grid"/>
    <tableColumn id="3" xr3:uid="{55BEA105-6C71-4D1F-8673-58C6DCC53D61}" name="kan_grid_passed_parameter"/>
    <tableColumn id="4" xr3:uid="{57A16662-11D5-431A-8C52-3459991DF03D}" name="kan_degree"/>
    <tableColumn id="5" xr3:uid="{2C9F3D21-F314-4317-A80F-DE85103B3384}" name="kan_lam"/>
    <tableColumn id="6" xr3:uid="{51DD74B4-7735-4709-AC07-BB876CD6C0C1}" name="kan_width" dataDxfId="0"/>
    <tableColumn id="7" xr3:uid="{D345F69A-87E5-49DB-B9D2-AB4BEEC177FF}" name="kan_params"/>
    <tableColumn id="8" xr3:uid="{4269A00A-3E56-44A5-B9CA-949CD0CD0491}" name="kan_time_difference"/>
    <tableColumn id="9" xr3:uid="{6CF0477E-709B-4538-A209-15D042CB1640}" name="kan_steps"/>
    <tableColumn id="10" xr3:uid="{3F480ACD-2217-46D5-A163-5B9E9D31D5BC}" name="kan_train_acc"/>
    <tableColumn id="11" xr3:uid="{EF9BCDA7-284E-44DD-B6DA-92CC2B20E3F9}" name="kan_val_acc"/>
    <tableColumn id="12" xr3:uid="{B9C70D17-FC0F-433A-BF94-F6D6218FAFCC}" name="kan_test_acc"/>
    <tableColumn id="13" xr3:uid="{E82F071C-FBCF-403F-958C-609E3CCAF12E}" name="mlp_test_acc"/>
    <tableColumn id="14" xr3:uid="{A3943EB9-7040-4A34-B8B3-2DAF7D4B0C7C}" name="mlp_val_acc"/>
    <tableColumn id="15" xr3:uid="{ECA7B2EC-63F0-488E-A334-2F74B5B6D9A2}" name="mlp_train_acc"/>
    <tableColumn id="16" xr3:uid="{01EE019E-2719-4DD0-9036-BECF97D405D8}" name="mlp_steps"/>
    <tableColumn id="17" xr3:uid="{64D94F61-ADBB-4687-A546-280B9F7E5892}" name="mlp_time_difference"/>
    <tableColumn id="18" xr3:uid="{17B02B39-065B-4899-B90C-80EC481E8078}" name="mlp_params"/>
    <tableColumn id="19" xr3:uid="{877506D2-A034-41EB-A2F4-CA78AE358BE6}" name="mlp_no_layers"/>
    <tableColumn id="20" xr3:uid="{9BA1DBB5-FDF3-4DB4-A583-4938EE23A10C}" name="mlp_width_layers"/>
    <tableColumn id="21" xr3:uid="{999657CC-B3BD-4B78-B59B-C10D3BAA916E}" name="mlp2_test_acc"/>
    <tableColumn id="22" xr3:uid="{24FEF937-2D0D-4A0B-9225-5C764F622784}" name="mlp2_val_acc"/>
    <tableColumn id="23" xr3:uid="{D5F27CA4-CB70-4C2E-BDB3-1C9DEFE8BAD3}" name="mlp2_train_acc"/>
    <tableColumn id="24" xr3:uid="{1CBBCA70-E4D4-430C-8787-E3C5D6E3C86A}" name="mlp2_steps"/>
    <tableColumn id="25" xr3:uid="{85CE119E-5D3E-4026-A19F-4E99BFDE80D2}" name="mlp2_time_difference"/>
    <tableColumn id="26" xr3:uid="{1BE2B74B-6CA6-4170-9A9E-66A9A7D6A097}" name="mlp2_params"/>
    <tableColumn id="27" xr3:uid="{06BC75E8-8902-4361-AC94-874DC778E748}" name="no_layers2"/>
    <tableColumn id="28" xr3:uid="{3D9F8CEF-DFF9-48B8-B2A0-F28256670BD4}" name="width_layer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FF70-7B51-47E6-B2B3-823A23941516}">
  <dimension ref="A1:AJ304"/>
  <sheetViews>
    <sheetView workbookViewId="0"/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4.28515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3" t="s">
        <v>27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  <c r="AI1" t="s">
        <v>234</v>
      </c>
      <c r="AJ1" t="s">
        <v>235</v>
      </c>
    </row>
    <row r="2" spans="1:36" x14ac:dyDescent="0.25">
      <c r="A2" t="s">
        <v>71</v>
      </c>
      <c r="B2">
        <v>8</v>
      </c>
      <c r="C2">
        <v>3</v>
      </c>
      <c r="D2">
        <v>2</v>
      </c>
      <c r="E2">
        <v>0</v>
      </c>
      <c r="F2" t="s">
        <v>78</v>
      </c>
      <c r="G2">
        <v>46234</v>
      </c>
      <c r="H2">
        <v>395301429.80000001</v>
      </c>
      <c r="I2">
        <v>290.13333333333333</v>
      </c>
      <c r="J2">
        <v>0.78235840996106465</v>
      </c>
      <c r="K2">
        <v>0.79802469015121458</v>
      </c>
      <c r="L2">
        <v>0.75125926136970522</v>
      </c>
      <c r="M2">
        <v>0.96237037037037032</v>
      </c>
      <c r="N2">
        <v>0.96493827160493828</v>
      </c>
      <c r="O2">
        <v>0.98898173939956668</v>
      </c>
      <c r="P2">
        <v>462.6</v>
      </c>
      <c r="Q2">
        <v>34253692.93333333</v>
      </c>
      <c r="R2">
        <v>45629</v>
      </c>
      <c r="S2">
        <v>2</v>
      </c>
      <c r="T2">
        <v>133</v>
      </c>
      <c r="U2">
        <v>0.96651851851851855</v>
      </c>
      <c r="V2">
        <v>0.96592592592592597</v>
      </c>
      <c r="W2">
        <v>0.98929124110182609</v>
      </c>
      <c r="X2">
        <v>1311.4666666666667</v>
      </c>
      <c r="Y2">
        <v>140328254.80000001</v>
      </c>
      <c r="Z2">
        <v>46240</v>
      </c>
      <c r="AA2">
        <v>2</v>
      </c>
      <c r="AB2">
        <v>134</v>
      </c>
      <c r="AD2">
        <f>Tabela3[[#This Row],[kan_params]]</f>
        <v>46234</v>
      </c>
      <c r="AE2">
        <f>Tabela3[[#This Row],[kan_train_acc]]</f>
        <v>0.78235840996106465</v>
      </c>
      <c r="AF2">
        <f>Tabela3[[#This Row],[kan_val_acc]]</f>
        <v>0.79802469015121458</v>
      </c>
      <c r="AG2">
        <f>Tabela3[[#This Row],[kan_test_acc]]</f>
        <v>0.75125926136970522</v>
      </c>
      <c r="AH2">
        <f>Tabela3[[#This Row],[mlp_test_acc]]</f>
        <v>0.96237037037037032</v>
      </c>
      <c r="AI2">
        <f>Tabela3[[#This Row],[mlp_val_acc]]</f>
        <v>0.96493827160493828</v>
      </c>
      <c r="AJ2">
        <f>Tabela3[[#This Row],[mlp_train_acc]]</f>
        <v>0.98898173939956668</v>
      </c>
    </row>
    <row r="3" spans="1:36" x14ac:dyDescent="0.25">
      <c r="A3" t="s">
        <v>71</v>
      </c>
      <c r="B3">
        <v>8</v>
      </c>
      <c r="C3">
        <v>3</v>
      </c>
      <c r="D3">
        <v>2</v>
      </c>
      <c r="E3">
        <v>0</v>
      </c>
      <c r="F3" t="s">
        <v>172</v>
      </c>
      <c r="G3">
        <v>48160</v>
      </c>
      <c r="H3">
        <v>75757221</v>
      </c>
      <c r="I3">
        <v>54.6</v>
      </c>
      <c r="J3">
        <v>0.67353761196136475</v>
      </c>
      <c r="K3">
        <v>0.72148147821426389</v>
      </c>
      <c r="L3">
        <v>0.65066666603088374</v>
      </c>
      <c r="M3">
        <v>0.95866666666666667</v>
      </c>
      <c r="N3">
        <v>0.9555555555555556</v>
      </c>
      <c r="O3">
        <v>0.98997214484679663</v>
      </c>
      <c r="P3">
        <v>58</v>
      </c>
      <c r="Q3">
        <v>1902448.2</v>
      </c>
      <c r="R3">
        <v>48097</v>
      </c>
      <c r="S3">
        <v>2</v>
      </c>
      <c r="T3">
        <v>137</v>
      </c>
      <c r="U3">
        <v>0.95733333333333337</v>
      </c>
      <c r="V3">
        <v>0.95185185185185184</v>
      </c>
      <c r="W3">
        <v>0.98644382544103992</v>
      </c>
      <c r="X3">
        <v>52.2</v>
      </c>
      <c r="Y3">
        <v>3655360.2</v>
      </c>
      <c r="Z3">
        <v>48724</v>
      </c>
      <c r="AA3">
        <v>2</v>
      </c>
      <c r="AB3">
        <v>138</v>
      </c>
      <c r="AD3">
        <f>Tabela3[[#This Row],[kan_params]]</f>
        <v>48160</v>
      </c>
      <c r="AE3">
        <f>Tabela3[[#This Row],[kan_train_acc]]</f>
        <v>0.67353761196136475</v>
      </c>
      <c r="AF3">
        <f>Tabela3[[#This Row],[kan_val_acc]]</f>
        <v>0.72148147821426389</v>
      </c>
      <c r="AG3">
        <f>Tabela3[[#This Row],[kan_test_acc]]</f>
        <v>0.65066666603088374</v>
      </c>
      <c r="AH3">
        <f>Tabela3[[#This Row],[mlp_test_acc]]</f>
        <v>0.95866666666666667</v>
      </c>
      <c r="AI3">
        <f>Tabela3[[#This Row],[mlp_val_acc]]</f>
        <v>0.9555555555555556</v>
      </c>
      <c r="AJ3">
        <f>Tabela3[[#This Row],[mlp_train_acc]]</f>
        <v>0.98997214484679663</v>
      </c>
    </row>
    <row r="4" spans="1:36" x14ac:dyDescent="0.25">
      <c r="A4" t="s">
        <v>71</v>
      </c>
      <c r="B4">
        <v>8</v>
      </c>
      <c r="C4">
        <v>3</v>
      </c>
      <c r="D4">
        <v>2</v>
      </c>
      <c r="E4">
        <v>0</v>
      </c>
      <c r="F4" t="s">
        <v>173</v>
      </c>
      <c r="G4">
        <v>50086</v>
      </c>
      <c r="H4">
        <v>69451271</v>
      </c>
      <c r="I4">
        <v>47.6</v>
      </c>
      <c r="J4">
        <v>0.66053853034973142</v>
      </c>
      <c r="K4">
        <v>0.69629629850387575</v>
      </c>
      <c r="L4">
        <v>0.63911111354827876</v>
      </c>
      <c r="M4">
        <v>0.96044444444444443</v>
      </c>
      <c r="N4">
        <v>0.95629629629629631</v>
      </c>
      <c r="O4">
        <v>0.98960074280408539</v>
      </c>
      <c r="P4">
        <v>57</v>
      </c>
      <c r="Q4">
        <v>3181003.8</v>
      </c>
      <c r="R4">
        <v>49990</v>
      </c>
      <c r="S4">
        <v>2</v>
      </c>
      <c r="T4">
        <v>140</v>
      </c>
      <c r="U4">
        <v>0.95955555555555549</v>
      </c>
      <c r="V4">
        <v>0.95851851851851855</v>
      </c>
      <c r="W4">
        <v>0.98848653667595177</v>
      </c>
      <c r="X4">
        <v>51.8</v>
      </c>
      <c r="Y4">
        <v>2501547</v>
      </c>
      <c r="Z4">
        <v>50629</v>
      </c>
      <c r="AA4">
        <v>2</v>
      </c>
      <c r="AB4">
        <v>141</v>
      </c>
      <c r="AD4">
        <f>Tabela3[[#This Row],[kan_params]]</f>
        <v>50086</v>
      </c>
      <c r="AE4">
        <f>Tabela3[[#This Row],[kan_train_acc]]</f>
        <v>0.66053853034973142</v>
      </c>
      <c r="AF4">
        <f>Tabela3[[#This Row],[kan_val_acc]]</f>
        <v>0.69629629850387575</v>
      </c>
      <c r="AG4">
        <f>Tabela3[[#This Row],[kan_test_acc]]</f>
        <v>0.63911111354827876</v>
      </c>
      <c r="AH4">
        <f>Tabela3[[#This Row],[mlp_test_acc]]</f>
        <v>0.96044444444444443</v>
      </c>
      <c r="AI4">
        <f>Tabela3[[#This Row],[mlp_val_acc]]</f>
        <v>0.95629629629629631</v>
      </c>
      <c r="AJ4">
        <f>Tabela3[[#This Row],[mlp_train_acc]]</f>
        <v>0.98960074280408539</v>
      </c>
    </row>
    <row r="5" spans="1:36" x14ac:dyDescent="0.25">
      <c r="A5" t="s">
        <v>71</v>
      </c>
      <c r="B5">
        <v>8</v>
      </c>
      <c r="C5">
        <v>3</v>
      </c>
      <c r="D5">
        <v>2</v>
      </c>
      <c r="E5">
        <v>0</v>
      </c>
      <c r="F5" t="s">
        <v>79</v>
      </c>
      <c r="G5">
        <v>51049</v>
      </c>
      <c r="H5">
        <v>23287813.199999999</v>
      </c>
      <c r="I5">
        <v>22.6</v>
      </c>
      <c r="J5">
        <v>0.47038068175315856</v>
      </c>
      <c r="K5">
        <v>0.52444445490837099</v>
      </c>
      <c r="L5">
        <v>0.47244444489479065</v>
      </c>
      <c r="M5">
        <v>0.96</v>
      </c>
      <c r="N5">
        <v>0.95333333333333337</v>
      </c>
      <c r="O5">
        <v>0.98254410399257197</v>
      </c>
      <c r="P5">
        <v>44</v>
      </c>
      <c r="Q5">
        <v>1370568.4</v>
      </c>
      <c r="R5">
        <v>50629</v>
      </c>
      <c r="S5">
        <v>2</v>
      </c>
      <c r="T5">
        <v>141</v>
      </c>
      <c r="U5">
        <v>0.9662222222222222</v>
      </c>
      <c r="V5">
        <v>0.95629629629629631</v>
      </c>
      <c r="W5">
        <v>0.98774373259052928</v>
      </c>
      <c r="X5">
        <v>47.4</v>
      </c>
      <c r="Y5">
        <v>1758597.6</v>
      </c>
      <c r="Z5">
        <v>51272</v>
      </c>
      <c r="AA5">
        <v>2</v>
      </c>
      <c r="AB5">
        <v>142</v>
      </c>
      <c r="AD5">
        <f>Tabela3[[#This Row],[kan_params]]</f>
        <v>51049</v>
      </c>
      <c r="AE5">
        <f>Tabela3[[#This Row],[kan_train_acc]]</f>
        <v>0.47038068175315856</v>
      </c>
      <c r="AF5">
        <f>Tabela3[[#This Row],[kan_val_acc]]</f>
        <v>0.52444445490837099</v>
      </c>
      <c r="AG5">
        <f>Tabela3[[#This Row],[kan_test_acc]]</f>
        <v>0.47244444489479065</v>
      </c>
      <c r="AH5">
        <f>Tabela3[[#This Row],[mlp_test_acc]]</f>
        <v>0.96</v>
      </c>
      <c r="AI5">
        <f>Tabela3[[#This Row],[mlp_val_acc]]</f>
        <v>0.95333333333333337</v>
      </c>
      <c r="AJ5">
        <f>Tabela3[[#This Row],[mlp_train_acc]]</f>
        <v>0.98254410399257197</v>
      </c>
    </row>
    <row r="6" spans="1:36" x14ac:dyDescent="0.25">
      <c r="A6" t="s">
        <v>71</v>
      </c>
      <c r="B6">
        <v>8</v>
      </c>
      <c r="C6">
        <v>3</v>
      </c>
      <c r="D6">
        <v>2</v>
      </c>
      <c r="E6">
        <v>0</v>
      </c>
      <c r="F6" t="s">
        <v>174</v>
      </c>
      <c r="G6">
        <v>52012</v>
      </c>
      <c r="H6">
        <v>73152069.200000003</v>
      </c>
      <c r="I6">
        <v>48.8</v>
      </c>
      <c r="J6">
        <v>0.5442896962165833</v>
      </c>
      <c r="K6">
        <v>0.61037036776542664</v>
      </c>
      <c r="L6">
        <v>0.52755555510520935</v>
      </c>
      <c r="M6">
        <v>0.9582222222222222</v>
      </c>
      <c r="N6">
        <v>0.9555555555555556</v>
      </c>
      <c r="O6">
        <v>0.98922934076137425</v>
      </c>
      <c r="P6">
        <v>55.2</v>
      </c>
      <c r="Q6">
        <v>2233469.6</v>
      </c>
      <c r="R6">
        <v>51919</v>
      </c>
      <c r="S6">
        <v>2</v>
      </c>
      <c r="T6">
        <v>143</v>
      </c>
      <c r="U6">
        <v>0.9622222222222222</v>
      </c>
      <c r="V6">
        <v>0.95851851851851855</v>
      </c>
      <c r="W6">
        <v>0.99034354688950788</v>
      </c>
      <c r="X6">
        <v>55</v>
      </c>
      <c r="Y6">
        <v>2957842</v>
      </c>
      <c r="Z6">
        <v>52570</v>
      </c>
      <c r="AA6">
        <v>2</v>
      </c>
      <c r="AB6">
        <v>144</v>
      </c>
      <c r="AD6">
        <f>Tabela3[[#This Row],[kan_params]]</f>
        <v>52012</v>
      </c>
      <c r="AE6">
        <f>Tabela3[[#This Row],[kan_train_acc]]</f>
        <v>0.5442896962165833</v>
      </c>
      <c r="AF6">
        <f>Tabela3[[#This Row],[kan_val_acc]]</f>
        <v>0.61037036776542664</v>
      </c>
      <c r="AG6">
        <f>Tabela3[[#This Row],[kan_test_acc]]</f>
        <v>0.52755555510520935</v>
      </c>
      <c r="AH6">
        <f>Tabela3[[#This Row],[mlp_test_acc]]</f>
        <v>0.9582222222222222</v>
      </c>
      <c r="AI6">
        <f>Tabela3[[#This Row],[mlp_val_acc]]</f>
        <v>0.9555555555555556</v>
      </c>
      <c r="AJ6">
        <f>Tabela3[[#This Row],[mlp_train_acc]]</f>
        <v>0.98922934076137425</v>
      </c>
    </row>
    <row r="7" spans="1:36" x14ac:dyDescent="0.25">
      <c r="A7" t="s">
        <v>71</v>
      </c>
      <c r="B7">
        <v>8</v>
      </c>
      <c r="C7">
        <v>3</v>
      </c>
      <c r="D7">
        <v>2</v>
      </c>
      <c r="E7">
        <v>0</v>
      </c>
      <c r="F7" t="s">
        <v>175</v>
      </c>
      <c r="G7">
        <v>53938</v>
      </c>
      <c r="H7">
        <v>62013902.200000003</v>
      </c>
      <c r="I7">
        <v>39.200000000000003</v>
      </c>
      <c r="J7">
        <v>0.6248839378356934</v>
      </c>
      <c r="K7">
        <v>0.70370371341705318</v>
      </c>
      <c r="L7">
        <v>0.60400000810623167</v>
      </c>
      <c r="M7">
        <v>0.95644444444444443</v>
      </c>
      <c r="N7">
        <v>0.95111111111111113</v>
      </c>
      <c r="O7">
        <v>0.98700092850510679</v>
      </c>
      <c r="P7">
        <v>49.2</v>
      </c>
      <c r="Q7">
        <v>2944792</v>
      </c>
      <c r="R7">
        <v>53884</v>
      </c>
      <c r="S7">
        <v>2</v>
      </c>
      <c r="T7">
        <v>146</v>
      </c>
      <c r="U7">
        <v>0.96044444444444443</v>
      </c>
      <c r="V7">
        <v>0.95703703703703702</v>
      </c>
      <c r="W7">
        <v>0.99071494893221912</v>
      </c>
      <c r="X7">
        <v>60</v>
      </c>
      <c r="Y7">
        <v>2842964.8</v>
      </c>
      <c r="Z7">
        <v>54547</v>
      </c>
      <c r="AA7">
        <v>2</v>
      </c>
      <c r="AB7">
        <v>147</v>
      </c>
      <c r="AD7">
        <f>Tabela3[[#This Row],[kan_params]]</f>
        <v>53938</v>
      </c>
      <c r="AE7">
        <f>Tabela3[[#This Row],[kan_train_acc]]</f>
        <v>0.6248839378356934</v>
      </c>
      <c r="AF7">
        <f>Tabela3[[#This Row],[kan_val_acc]]</f>
        <v>0.70370371341705318</v>
      </c>
      <c r="AG7">
        <f>Tabela3[[#This Row],[kan_test_acc]]</f>
        <v>0.60400000810623167</v>
      </c>
      <c r="AH7">
        <f>Tabela3[[#This Row],[mlp_test_acc]]</f>
        <v>0.95644444444444443</v>
      </c>
      <c r="AI7">
        <f>Tabela3[[#This Row],[mlp_val_acc]]</f>
        <v>0.95111111111111113</v>
      </c>
      <c r="AJ7">
        <f>Tabela3[[#This Row],[mlp_train_acc]]</f>
        <v>0.98700092850510679</v>
      </c>
    </row>
    <row r="8" spans="1:36" x14ac:dyDescent="0.25">
      <c r="A8" t="s">
        <v>71</v>
      </c>
      <c r="B8">
        <v>8</v>
      </c>
      <c r="C8">
        <v>3</v>
      </c>
      <c r="D8">
        <v>2</v>
      </c>
      <c r="E8">
        <v>0</v>
      </c>
      <c r="F8" t="s">
        <v>80</v>
      </c>
      <c r="G8">
        <v>55864</v>
      </c>
      <c r="H8">
        <v>74996066.200000003</v>
      </c>
      <c r="I8">
        <v>45.4</v>
      </c>
      <c r="J8">
        <v>0.62302692532539372</v>
      </c>
      <c r="K8">
        <v>0.67407406568527217</v>
      </c>
      <c r="L8">
        <v>0.59644444584846501</v>
      </c>
      <c r="M8">
        <v>0.9582222222222222</v>
      </c>
      <c r="N8">
        <v>0.95777777777777784</v>
      </c>
      <c r="O8">
        <v>0.99015784586815225</v>
      </c>
      <c r="P8">
        <v>54.8</v>
      </c>
      <c r="Q8">
        <v>2315914.6</v>
      </c>
      <c r="R8">
        <v>55214</v>
      </c>
      <c r="S8">
        <v>2</v>
      </c>
      <c r="T8">
        <v>148</v>
      </c>
      <c r="U8">
        <v>0.95866666666666667</v>
      </c>
      <c r="V8">
        <v>0.95703703703703702</v>
      </c>
      <c r="W8">
        <v>0.99127205199628599</v>
      </c>
      <c r="X8">
        <v>58.4</v>
      </c>
      <c r="Y8">
        <v>2455882.6</v>
      </c>
      <c r="Z8">
        <v>55885</v>
      </c>
      <c r="AA8">
        <v>2</v>
      </c>
      <c r="AB8">
        <v>149</v>
      </c>
      <c r="AD8">
        <f>Tabela3[[#This Row],[kan_params]]</f>
        <v>55864</v>
      </c>
      <c r="AE8">
        <f>Tabela3[[#This Row],[kan_train_acc]]</f>
        <v>0.62302692532539372</v>
      </c>
      <c r="AF8">
        <f>Tabela3[[#This Row],[kan_val_acc]]</f>
        <v>0.67407406568527217</v>
      </c>
      <c r="AG8">
        <f>Tabela3[[#This Row],[kan_test_acc]]</f>
        <v>0.59644444584846501</v>
      </c>
      <c r="AH8">
        <f>Tabela3[[#This Row],[mlp_test_acc]]</f>
        <v>0.9582222222222222</v>
      </c>
      <c r="AI8">
        <f>Tabela3[[#This Row],[mlp_val_acc]]</f>
        <v>0.95777777777777784</v>
      </c>
      <c r="AJ8">
        <f>Tabela3[[#This Row],[mlp_train_acc]]</f>
        <v>0.99015784586815225</v>
      </c>
    </row>
    <row r="9" spans="1:36" x14ac:dyDescent="0.25">
      <c r="A9" t="s">
        <v>71</v>
      </c>
      <c r="B9">
        <v>10</v>
      </c>
      <c r="C9">
        <v>3</v>
      </c>
      <c r="D9">
        <v>3</v>
      </c>
      <c r="E9">
        <v>0</v>
      </c>
      <c r="F9" t="s">
        <v>78</v>
      </c>
      <c r="G9">
        <v>56890</v>
      </c>
      <c r="H9">
        <v>40992835.600000001</v>
      </c>
      <c r="I9">
        <v>21.6</v>
      </c>
      <c r="J9">
        <v>0.23881151378154755</v>
      </c>
      <c r="K9">
        <v>0.33851851820945739</v>
      </c>
      <c r="L9">
        <v>0.23777777850627901</v>
      </c>
      <c r="M9">
        <v>0.97199999999999998</v>
      </c>
      <c r="N9">
        <v>0.98</v>
      </c>
      <c r="O9">
        <v>0.98328690807799435</v>
      </c>
      <c r="P9">
        <v>50.8</v>
      </c>
      <c r="Q9">
        <v>4636840.2</v>
      </c>
      <c r="R9">
        <v>56560</v>
      </c>
      <c r="S9">
        <v>2</v>
      </c>
      <c r="T9">
        <v>150</v>
      </c>
      <c r="U9">
        <v>0.97155555555555562</v>
      </c>
      <c r="V9">
        <v>0.98518518518518516</v>
      </c>
      <c r="W9">
        <v>0.98904363974001863</v>
      </c>
      <c r="X9">
        <v>59</v>
      </c>
      <c r="Y9">
        <v>4873036</v>
      </c>
      <c r="Z9">
        <v>57239</v>
      </c>
      <c r="AA9">
        <v>2</v>
      </c>
      <c r="AB9">
        <v>151</v>
      </c>
      <c r="AD9">
        <f>Tabela3[[#This Row],[kan_params]]</f>
        <v>56890</v>
      </c>
      <c r="AE9">
        <f>Tabela3[[#This Row],[kan_train_acc]]</f>
        <v>0.23881151378154755</v>
      </c>
      <c r="AF9">
        <f>Tabela3[[#This Row],[kan_val_acc]]</f>
        <v>0.33851851820945739</v>
      </c>
      <c r="AG9">
        <f>Tabela3[[#This Row],[kan_test_acc]]</f>
        <v>0.23777777850627901</v>
      </c>
      <c r="AH9">
        <f>Tabela3[[#This Row],[mlp_test_acc]]</f>
        <v>0.97199999999999998</v>
      </c>
      <c r="AI9">
        <f>Tabela3[[#This Row],[mlp_val_acc]]</f>
        <v>0.98</v>
      </c>
      <c r="AJ9">
        <f>Tabela3[[#This Row],[mlp_train_acc]]</f>
        <v>0.98328690807799435</v>
      </c>
    </row>
    <row r="10" spans="1:36" x14ac:dyDescent="0.25">
      <c r="A10" t="s">
        <v>71</v>
      </c>
      <c r="B10">
        <v>8</v>
      </c>
      <c r="C10">
        <v>3</v>
      </c>
      <c r="D10">
        <v>2</v>
      </c>
      <c r="E10">
        <v>0</v>
      </c>
      <c r="F10" t="s">
        <v>176</v>
      </c>
      <c r="G10">
        <v>57790</v>
      </c>
      <c r="H10">
        <v>102533806.8</v>
      </c>
      <c r="I10">
        <v>62.8</v>
      </c>
      <c r="J10">
        <v>0.79034354686737063</v>
      </c>
      <c r="K10">
        <v>0.79333333969116215</v>
      </c>
      <c r="L10">
        <v>0.75866665840148928</v>
      </c>
      <c r="M10">
        <v>0.95911111111111114</v>
      </c>
      <c r="N10">
        <v>0.95925925925925926</v>
      </c>
      <c r="O10">
        <v>0.98922934076137414</v>
      </c>
      <c r="P10">
        <v>50.2</v>
      </c>
      <c r="Q10">
        <v>4185512.2</v>
      </c>
      <c r="R10">
        <v>57239</v>
      </c>
      <c r="S10">
        <v>2</v>
      </c>
      <c r="T10">
        <v>151</v>
      </c>
      <c r="U10">
        <v>0.95955555555555561</v>
      </c>
      <c r="V10">
        <v>0.95629629629629631</v>
      </c>
      <c r="W10">
        <v>0.99034354688950788</v>
      </c>
      <c r="X10">
        <v>56.6</v>
      </c>
      <c r="Y10">
        <v>2908274.6</v>
      </c>
      <c r="Z10">
        <v>57922</v>
      </c>
      <c r="AA10">
        <v>2</v>
      </c>
      <c r="AB10">
        <v>152</v>
      </c>
      <c r="AD10">
        <f>Tabela3[[#This Row],[kan_params]]</f>
        <v>57790</v>
      </c>
      <c r="AE10">
        <f>Tabela3[[#This Row],[kan_train_acc]]</f>
        <v>0.79034354686737063</v>
      </c>
      <c r="AF10">
        <f>Tabela3[[#This Row],[kan_val_acc]]</f>
        <v>0.79333333969116215</v>
      </c>
      <c r="AG10">
        <f>Tabela3[[#This Row],[kan_test_acc]]</f>
        <v>0.75866665840148928</v>
      </c>
      <c r="AH10">
        <f>Tabela3[[#This Row],[mlp_test_acc]]</f>
        <v>0.95911111111111114</v>
      </c>
      <c r="AI10">
        <f>Tabela3[[#This Row],[mlp_val_acc]]</f>
        <v>0.95925925925925926</v>
      </c>
      <c r="AJ10">
        <f>Tabela3[[#This Row],[mlp_train_acc]]</f>
        <v>0.98922934076137414</v>
      </c>
    </row>
    <row r="11" spans="1:36" x14ac:dyDescent="0.25">
      <c r="A11" t="s">
        <v>71</v>
      </c>
      <c r="B11">
        <v>8</v>
      </c>
      <c r="C11">
        <v>3</v>
      </c>
      <c r="D11">
        <v>2</v>
      </c>
      <c r="E11">
        <v>0</v>
      </c>
      <c r="F11" t="s">
        <v>177</v>
      </c>
      <c r="G11">
        <v>59716</v>
      </c>
      <c r="H11">
        <v>77240358.200000003</v>
      </c>
      <c r="I11">
        <v>44.4</v>
      </c>
      <c r="J11">
        <v>0.64735375642776494</v>
      </c>
      <c r="K11">
        <v>0.68962963819503786</v>
      </c>
      <c r="L11">
        <v>0.6253333210945129</v>
      </c>
      <c r="M11">
        <v>0.96177777777777773</v>
      </c>
      <c r="N11">
        <v>0.96074074074074067</v>
      </c>
      <c r="O11">
        <v>0.9931290622098421</v>
      </c>
      <c r="P11">
        <v>60.6</v>
      </c>
      <c r="Q11">
        <v>3683306.4</v>
      </c>
      <c r="R11">
        <v>59300</v>
      </c>
      <c r="S11">
        <v>2</v>
      </c>
      <c r="T11">
        <v>154</v>
      </c>
      <c r="U11">
        <v>0.9635555555555555</v>
      </c>
      <c r="V11">
        <v>0.96</v>
      </c>
      <c r="W11">
        <v>0.99312906220984221</v>
      </c>
      <c r="X11">
        <v>61.4</v>
      </c>
      <c r="Y11">
        <v>4014928.6</v>
      </c>
      <c r="Z11">
        <v>59995</v>
      </c>
      <c r="AA11">
        <v>2</v>
      </c>
      <c r="AB11">
        <v>155</v>
      </c>
      <c r="AD11">
        <f>Tabela3[[#This Row],[kan_params]]</f>
        <v>59716</v>
      </c>
      <c r="AE11">
        <f>Tabela3[[#This Row],[kan_train_acc]]</f>
        <v>0.64735375642776494</v>
      </c>
      <c r="AF11">
        <f>Tabela3[[#This Row],[kan_val_acc]]</f>
        <v>0.68962963819503786</v>
      </c>
      <c r="AG11">
        <f>Tabela3[[#This Row],[kan_test_acc]]</f>
        <v>0.6253333210945129</v>
      </c>
      <c r="AH11">
        <f>Tabela3[[#This Row],[mlp_test_acc]]</f>
        <v>0.96177777777777773</v>
      </c>
      <c r="AI11">
        <f>Tabela3[[#This Row],[mlp_val_acc]]</f>
        <v>0.96074074074074067</v>
      </c>
      <c r="AJ11">
        <f>Tabela3[[#This Row],[mlp_train_acc]]</f>
        <v>0.9931290622098421</v>
      </c>
    </row>
    <row r="12" spans="1:36" x14ac:dyDescent="0.25">
      <c r="A12" t="s">
        <v>71</v>
      </c>
      <c r="B12">
        <v>8</v>
      </c>
      <c r="C12">
        <v>3</v>
      </c>
      <c r="D12">
        <v>2</v>
      </c>
      <c r="E12">
        <v>0</v>
      </c>
      <c r="F12" t="s">
        <v>178</v>
      </c>
      <c r="G12">
        <v>61642</v>
      </c>
      <c r="H12">
        <v>117328614.59999999</v>
      </c>
      <c r="I12">
        <v>63.6</v>
      </c>
      <c r="J12">
        <v>0.80705664157867429</v>
      </c>
      <c r="K12">
        <v>0.79333332777023313</v>
      </c>
      <c r="L12">
        <v>0.77688889503479008</v>
      </c>
      <c r="M12">
        <v>0.9622222222222222</v>
      </c>
      <c r="N12">
        <v>0.95629629629629631</v>
      </c>
      <c r="O12">
        <v>0.99034354688950788</v>
      </c>
      <c r="P12">
        <v>55.4</v>
      </c>
      <c r="Q12">
        <v>3153995.8</v>
      </c>
      <c r="R12">
        <v>61397</v>
      </c>
      <c r="S12">
        <v>2</v>
      </c>
      <c r="T12">
        <v>157</v>
      </c>
      <c r="U12">
        <v>0.96399999999999997</v>
      </c>
      <c r="V12">
        <v>0.95851851851851855</v>
      </c>
      <c r="W12">
        <v>0.9905292479108635</v>
      </c>
      <c r="X12">
        <v>52.4</v>
      </c>
      <c r="Y12">
        <v>3080215</v>
      </c>
      <c r="Z12">
        <v>62104</v>
      </c>
      <c r="AA12">
        <v>2</v>
      </c>
      <c r="AB12">
        <v>158</v>
      </c>
      <c r="AD12">
        <f>Tabela3[[#This Row],[kan_params]]</f>
        <v>61642</v>
      </c>
      <c r="AE12">
        <f>Tabela3[[#This Row],[kan_train_acc]]</f>
        <v>0.80705664157867429</v>
      </c>
      <c r="AF12">
        <f>Tabela3[[#This Row],[kan_val_acc]]</f>
        <v>0.79333332777023313</v>
      </c>
      <c r="AG12">
        <f>Tabela3[[#This Row],[kan_test_acc]]</f>
        <v>0.77688889503479008</v>
      </c>
      <c r="AH12">
        <f>Tabela3[[#This Row],[mlp_test_acc]]</f>
        <v>0.9622222222222222</v>
      </c>
      <c r="AI12">
        <f>Tabela3[[#This Row],[mlp_val_acc]]</f>
        <v>0.95629629629629631</v>
      </c>
      <c r="AJ12">
        <f>Tabela3[[#This Row],[mlp_train_acc]]</f>
        <v>0.99034354688950788</v>
      </c>
    </row>
    <row r="13" spans="1:36" x14ac:dyDescent="0.25">
      <c r="A13" t="s">
        <v>71</v>
      </c>
      <c r="B13">
        <v>10</v>
      </c>
      <c r="C13">
        <v>3</v>
      </c>
      <c r="D13">
        <v>3</v>
      </c>
      <c r="E13">
        <v>0</v>
      </c>
      <c r="F13" t="s">
        <v>79</v>
      </c>
      <c r="G13">
        <v>62815</v>
      </c>
      <c r="H13">
        <v>40690965.200000003</v>
      </c>
      <c r="I13">
        <v>20</v>
      </c>
      <c r="J13">
        <v>0.18644382655620576</v>
      </c>
      <c r="K13">
        <v>0.31111110448837281</v>
      </c>
      <c r="L13">
        <v>0.18888888806104659</v>
      </c>
      <c r="M13">
        <v>0.97377777777777785</v>
      </c>
      <c r="N13">
        <v>0.98814814814814822</v>
      </c>
      <c r="O13">
        <v>0.99182915506035285</v>
      </c>
      <c r="P13">
        <v>65.400000000000006</v>
      </c>
      <c r="Q13">
        <v>5464590.4000000004</v>
      </c>
      <c r="R13">
        <v>62104</v>
      </c>
      <c r="S13">
        <v>2</v>
      </c>
      <c r="T13">
        <v>158</v>
      </c>
      <c r="U13">
        <v>0.97377777777777785</v>
      </c>
      <c r="V13">
        <v>0.97851851851851845</v>
      </c>
      <c r="W13">
        <v>0.98570102135561743</v>
      </c>
      <c r="X13">
        <v>48.6</v>
      </c>
      <c r="Y13">
        <v>4109358.2</v>
      </c>
      <c r="Z13">
        <v>62815</v>
      </c>
      <c r="AA13">
        <v>2</v>
      </c>
      <c r="AB13">
        <v>159</v>
      </c>
      <c r="AD13">
        <f>Tabela3[[#This Row],[kan_params]]</f>
        <v>62815</v>
      </c>
      <c r="AE13">
        <f>Tabela3[[#This Row],[kan_train_acc]]</f>
        <v>0.18644382655620576</v>
      </c>
      <c r="AF13">
        <f>Tabela3[[#This Row],[kan_val_acc]]</f>
        <v>0.31111110448837281</v>
      </c>
      <c r="AG13">
        <f>Tabela3[[#This Row],[kan_test_acc]]</f>
        <v>0.18888888806104659</v>
      </c>
      <c r="AH13">
        <f>Tabela3[[#This Row],[mlp_test_acc]]</f>
        <v>0.97377777777777785</v>
      </c>
      <c r="AI13">
        <f>Tabela3[[#This Row],[mlp_val_acc]]</f>
        <v>0.98814814814814822</v>
      </c>
      <c r="AJ13">
        <f>Tabela3[[#This Row],[mlp_train_acc]]</f>
        <v>0.99182915506035285</v>
      </c>
    </row>
    <row r="14" spans="1:36" x14ac:dyDescent="0.25">
      <c r="A14" t="s">
        <v>71</v>
      </c>
      <c r="B14">
        <v>8</v>
      </c>
      <c r="C14">
        <v>3</v>
      </c>
      <c r="D14">
        <v>2</v>
      </c>
      <c r="E14">
        <v>0</v>
      </c>
      <c r="F14" t="s">
        <v>183</v>
      </c>
      <c r="G14">
        <v>63568</v>
      </c>
      <c r="H14">
        <v>90173547.599999994</v>
      </c>
      <c r="I14">
        <v>47.4</v>
      </c>
      <c r="J14">
        <v>0.67223769426345825</v>
      </c>
      <c r="K14">
        <v>0.70296295881271365</v>
      </c>
      <c r="L14">
        <v>0.6595555424690247</v>
      </c>
      <c r="M14">
        <v>0.95555555555555549</v>
      </c>
      <c r="N14">
        <v>0.95703703703703702</v>
      </c>
      <c r="O14">
        <v>0.98774373259052928</v>
      </c>
      <c r="P14">
        <v>52.4</v>
      </c>
      <c r="Q14">
        <v>3447201.4</v>
      </c>
      <c r="R14">
        <v>63530</v>
      </c>
      <c r="S14">
        <v>2</v>
      </c>
      <c r="T14">
        <v>160</v>
      </c>
      <c r="U14">
        <v>0.96444444444444444</v>
      </c>
      <c r="V14">
        <v>0.95777777777777773</v>
      </c>
      <c r="W14">
        <v>0.98960074280408539</v>
      </c>
      <c r="X14">
        <v>50.4</v>
      </c>
      <c r="Y14">
        <v>2860595.8</v>
      </c>
      <c r="Z14">
        <v>64249</v>
      </c>
      <c r="AA14">
        <v>2</v>
      </c>
      <c r="AB14">
        <v>161</v>
      </c>
      <c r="AD14">
        <f>Tabela3[[#This Row],[kan_params]]</f>
        <v>63568</v>
      </c>
      <c r="AE14">
        <f>Tabela3[[#This Row],[kan_train_acc]]</f>
        <v>0.67223769426345825</v>
      </c>
      <c r="AF14">
        <f>Tabela3[[#This Row],[kan_val_acc]]</f>
        <v>0.70296295881271365</v>
      </c>
      <c r="AG14">
        <f>Tabela3[[#This Row],[kan_test_acc]]</f>
        <v>0.6595555424690247</v>
      </c>
      <c r="AH14">
        <f>Tabela3[[#This Row],[mlp_test_acc]]</f>
        <v>0.95555555555555549</v>
      </c>
      <c r="AI14">
        <f>Tabela3[[#This Row],[mlp_val_acc]]</f>
        <v>0.95703703703703702</v>
      </c>
      <c r="AJ14">
        <f>Tabela3[[#This Row],[mlp_train_acc]]</f>
        <v>0.98774373259052928</v>
      </c>
    </row>
    <row r="15" spans="1:36" x14ac:dyDescent="0.25">
      <c r="A15" t="s">
        <v>71</v>
      </c>
      <c r="B15">
        <v>8</v>
      </c>
      <c r="C15">
        <v>3</v>
      </c>
      <c r="D15">
        <v>2</v>
      </c>
      <c r="E15">
        <v>0</v>
      </c>
      <c r="F15" t="s">
        <v>110</v>
      </c>
      <c r="G15">
        <v>65494</v>
      </c>
      <c r="H15">
        <v>155159572.19999999</v>
      </c>
      <c r="I15">
        <v>81.2</v>
      </c>
      <c r="J15">
        <v>0.85533888339996333</v>
      </c>
      <c r="K15">
        <v>0.84370369911193843</v>
      </c>
      <c r="L15">
        <v>0.82177778482437136</v>
      </c>
      <c r="M15">
        <v>0.9608888888888889</v>
      </c>
      <c r="N15">
        <v>0.95481481481481478</v>
      </c>
      <c r="O15">
        <v>0.98811513463324052</v>
      </c>
      <c r="P15">
        <v>45.2</v>
      </c>
      <c r="Q15">
        <v>2744862.6</v>
      </c>
      <c r="R15">
        <v>64972</v>
      </c>
      <c r="S15">
        <v>2</v>
      </c>
      <c r="T15">
        <v>162</v>
      </c>
      <c r="U15">
        <v>0.95955555555555549</v>
      </c>
      <c r="V15">
        <v>0.95481481481481478</v>
      </c>
      <c r="W15">
        <v>0.98960074280408539</v>
      </c>
      <c r="X15">
        <v>47</v>
      </c>
      <c r="Y15">
        <v>2064008.2</v>
      </c>
      <c r="Z15">
        <v>65699</v>
      </c>
      <c r="AA15">
        <v>2</v>
      </c>
      <c r="AB15">
        <v>163</v>
      </c>
      <c r="AD15">
        <f>Tabela3[[#This Row],[kan_params]]</f>
        <v>65494</v>
      </c>
      <c r="AE15">
        <f>Tabela3[[#This Row],[kan_train_acc]]</f>
        <v>0.85533888339996333</v>
      </c>
      <c r="AF15">
        <f>Tabela3[[#This Row],[kan_val_acc]]</f>
        <v>0.84370369911193843</v>
      </c>
      <c r="AG15">
        <f>Tabela3[[#This Row],[kan_test_acc]]</f>
        <v>0.82177778482437136</v>
      </c>
      <c r="AH15">
        <f>Tabela3[[#This Row],[mlp_test_acc]]</f>
        <v>0.9608888888888889</v>
      </c>
      <c r="AI15">
        <f>Tabela3[[#This Row],[mlp_val_acc]]</f>
        <v>0.95481481481481478</v>
      </c>
      <c r="AJ15">
        <f>Tabela3[[#This Row],[mlp_train_acc]]</f>
        <v>0.98811513463324052</v>
      </c>
    </row>
    <row r="16" spans="1:36" x14ac:dyDescent="0.25">
      <c r="A16" t="s">
        <v>71</v>
      </c>
      <c r="B16">
        <v>8</v>
      </c>
      <c r="C16">
        <v>3</v>
      </c>
      <c r="D16">
        <v>2</v>
      </c>
      <c r="E16">
        <v>0</v>
      </c>
      <c r="F16" t="s">
        <v>184</v>
      </c>
      <c r="G16">
        <v>67420</v>
      </c>
      <c r="H16">
        <v>103445866</v>
      </c>
      <c r="I16">
        <v>51</v>
      </c>
      <c r="J16">
        <v>0.72516249418258671</v>
      </c>
      <c r="K16">
        <v>0.73703705072402959</v>
      </c>
      <c r="L16">
        <v>0.7195555567741394</v>
      </c>
      <c r="M16">
        <v>0.96533333333333338</v>
      </c>
      <c r="N16">
        <v>0.95925925925925926</v>
      </c>
      <c r="O16">
        <v>0.99201485608170847</v>
      </c>
      <c r="P16">
        <v>55.6</v>
      </c>
      <c r="Q16">
        <v>3319722.8</v>
      </c>
      <c r="R16">
        <v>67165</v>
      </c>
      <c r="S16">
        <v>2</v>
      </c>
      <c r="T16">
        <v>165</v>
      </c>
      <c r="U16">
        <v>0.96533333333333338</v>
      </c>
      <c r="V16">
        <v>0.95777777777777773</v>
      </c>
      <c r="W16">
        <v>0.99257195914577523</v>
      </c>
      <c r="X16">
        <v>55.4</v>
      </c>
      <c r="Y16">
        <v>3289331.6</v>
      </c>
      <c r="Z16">
        <v>67904</v>
      </c>
      <c r="AA16">
        <v>2</v>
      </c>
      <c r="AB16">
        <v>166</v>
      </c>
      <c r="AD16">
        <f>Tabela3[[#This Row],[kan_params]]</f>
        <v>67420</v>
      </c>
      <c r="AE16">
        <f>Tabela3[[#This Row],[kan_train_acc]]</f>
        <v>0.72516249418258671</v>
      </c>
      <c r="AF16">
        <f>Tabela3[[#This Row],[kan_val_acc]]</f>
        <v>0.73703705072402959</v>
      </c>
      <c r="AG16">
        <f>Tabela3[[#This Row],[kan_test_acc]]</f>
        <v>0.7195555567741394</v>
      </c>
      <c r="AH16">
        <f>Tabela3[[#This Row],[mlp_test_acc]]</f>
        <v>0.96533333333333338</v>
      </c>
      <c r="AI16">
        <f>Tabela3[[#This Row],[mlp_val_acc]]</f>
        <v>0.95925925925925926</v>
      </c>
      <c r="AJ16">
        <f>Tabela3[[#This Row],[mlp_train_acc]]</f>
        <v>0.99201485608170847</v>
      </c>
    </row>
    <row r="17" spans="1:36" x14ac:dyDescent="0.25">
      <c r="A17" t="s">
        <v>71</v>
      </c>
      <c r="B17">
        <v>12</v>
      </c>
      <c r="C17">
        <v>3</v>
      </c>
      <c r="D17">
        <v>4</v>
      </c>
      <c r="E17">
        <v>0</v>
      </c>
      <c r="F17" t="s">
        <v>78</v>
      </c>
      <c r="G17">
        <v>67546</v>
      </c>
      <c r="H17">
        <v>27422290</v>
      </c>
      <c r="I17">
        <v>14</v>
      </c>
      <c r="J17">
        <v>8.8393686711788183E-2</v>
      </c>
      <c r="K17">
        <v>0.26222221851348876</v>
      </c>
      <c r="L17">
        <v>8.7111112102866178E-2</v>
      </c>
      <c r="M17">
        <v>0.96888888888888891</v>
      </c>
      <c r="N17">
        <v>0.97777777777777775</v>
      </c>
      <c r="O17">
        <v>0.9888579387186629</v>
      </c>
      <c r="P17">
        <v>54</v>
      </c>
      <c r="Q17">
        <v>3574606.6</v>
      </c>
      <c r="R17">
        <v>67165</v>
      </c>
      <c r="S17">
        <v>2</v>
      </c>
      <c r="T17">
        <v>165</v>
      </c>
      <c r="U17">
        <v>0.97333333333333338</v>
      </c>
      <c r="V17">
        <v>0.98518518518518516</v>
      </c>
      <c r="W17">
        <v>0.98978644382544101</v>
      </c>
      <c r="X17">
        <v>59</v>
      </c>
      <c r="Y17">
        <v>4384835.4000000004</v>
      </c>
      <c r="Z17">
        <v>67904</v>
      </c>
      <c r="AA17">
        <v>2</v>
      </c>
      <c r="AB17">
        <v>166</v>
      </c>
      <c r="AD17">
        <f>Tabela3[[#This Row],[kan_params]]</f>
        <v>67546</v>
      </c>
      <c r="AE17">
        <f>Tabela3[[#This Row],[kan_train_acc]]</f>
        <v>8.8393686711788183E-2</v>
      </c>
      <c r="AF17">
        <f>Tabela3[[#This Row],[kan_val_acc]]</f>
        <v>0.26222221851348876</v>
      </c>
      <c r="AG17">
        <f>Tabela3[[#This Row],[kan_test_acc]]</f>
        <v>8.7111112102866178E-2</v>
      </c>
      <c r="AH17">
        <f>Tabela3[[#This Row],[mlp_test_acc]]</f>
        <v>0.96888888888888891</v>
      </c>
      <c r="AI17">
        <f>Tabela3[[#This Row],[mlp_val_acc]]</f>
        <v>0.97777777777777775</v>
      </c>
      <c r="AJ17">
        <f>Tabela3[[#This Row],[mlp_train_acc]]</f>
        <v>0.9888579387186629</v>
      </c>
    </row>
    <row r="18" spans="1:36" x14ac:dyDescent="0.25">
      <c r="A18" t="s">
        <v>71</v>
      </c>
      <c r="B18">
        <v>10</v>
      </c>
      <c r="C18">
        <v>3</v>
      </c>
      <c r="D18">
        <v>3</v>
      </c>
      <c r="E18">
        <v>0</v>
      </c>
      <c r="F18" t="s">
        <v>80</v>
      </c>
      <c r="G18">
        <v>68740</v>
      </c>
      <c r="H18">
        <v>67196393.599999994</v>
      </c>
      <c r="I18">
        <v>31.2</v>
      </c>
      <c r="J18">
        <v>0.20631383955478669</v>
      </c>
      <c r="K18">
        <v>0.39555555582046509</v>
      </c>
      <c r="L18">
        <v>0.20400000214576722</v>
      </c>
      <c r="M18">
        <v>0.97199999999999998</v>
      </c>
      <c r="N18">
        <v>0.97555555555555551</v>
      </c>
      <c r="O18">
        <v>0.98514391829155057</v>
      </c>
      <c r="P18">
        <v>49.4</v>
      </c>
      <c r="Q18">
        <v>3991350.8</v>
      </c>
      <c r="R18">
        <v>68647</v>
      </c>
      <c r="S18">
        <v>2</v>
      </c>
      <c r="T18">
        <v>167</v>
      </c>
      <c r="U18">
        <v>0.97422222222222221</v>
      </c>
      <c r="V18">
        <v>0.98370370370370375</v>
      </c>
      <c r="W18">
        <v>0.98960074280408539</v>
      </c>
      <c r="X18">
        <v>55.6</v>
      </c>
      <c r="Y18">
        <v>5762318.7999999998</v>
      </c>
      <c r="Z18">
        <v>69394</v>
      </c>
      <c r="AA18">
        <v>2</v>
      </c>
      <c r="AB18">
        <v>168</v>
      </c>
      <c r="AD18">
        <f>Tabela3[[#This Row],[kan_params]]</f>
        <v>68740</v>
      </c>
      <c r="AE18">
        <f>Tabela3[[#This Row],[kan_train_acc]]</f>
        <v>0.20631383955478669</v>
      </c>
      <c r="AF18">
        <f>Tabela3[[#This Row],[kan_val_acc]]</f>
        <v>0.39555555582046509</v>
      </c>
      <c r="AG18">
        <f>Tabela3[[#This Row],[kan_test_acc]]</f>
        <v>0.20400000214576722</v>
      </c>
      <c r="AH18">
        <f>Tabela3[[#This Row],[mlp_test_acc]]</f>
        <v>0.97199999999999998</v>
      </c>
      <c r="AI18">
        <f>Tabela3[[#This Row],[mlp_val_acc]]</f>
        <v>0.97555555555555551</v>
      </c>
      <c r="AJ18">
        <f>Tabela3[[#This Row],[mlp_train_acc]]</f>
        <v>0.98514391829155057</v>
      </c>
    </row>
    <row r="19" spans="1:36" x14ac:dyDescent="0.25">
      <c r="A19" t="s">
        <v>71</v>
      </c>
      <c r="B19">
        <v>8</v>
      </c>
      <c r="C19">
        <v>3</v>
      </c>
      <c r="D19">
        <v>2</v>
      </c>
      <c r="E19">
        <v>0</v>
      </c>
      <c r="F19" t="s">
        <v>185</v>
      </c>
      <c r="G19">
        <v>69346</v>
      </c>
      <c r="H19">
        <v>112477022.59999999</v>
      </c>
      <c r="I19">
        <v>55.2</v>
      </c>
      <c r="J19">
        <v>0.7013927698135376</v>
      </c>
      <c r="K19">
        <v>0.76370369195938115</v>
      </c>
      <c r="L19">
        <v>0.68044445514678953</v>
      </c>
      <c r="M19">
        <v>0.96</v>
      </c>
      <c r="N19">
        <v>0.95925925925925926</v>
      </c>
      <c r="O19">
        <v>0.9879294336118849</v>
      </c>
      <c r="P19">
        <v>48</v>
      </c>
      <c r="Q19">
        <v>3136307</v>
      </c>
      <c r="R19">
        <v>68647</v>
      </c>
      <c r="S19">
        <v>2</v>
      </c>
      <c r="T19">
        <v>167</v>
      </c>
      <c r="U19">
        <v>0.95733333333333337</v>
      </c>
      <c r="V19">
        <v>0.95407407407407407</v>
      </c>
      <c r="W19">
        <v>0.98904363974001852</v>
      </c>
      <c r="X19">
        <v>47.8</v>
      </c>
      <c r="Y19">
        <v>2340485.7999999998</v>
      </c>
      <c r="Z19">
        <v>69394</v>
      </c>
      <c r="AA19">
        <v>2</v>
      </c>
      <c r="AB19">
        <v>168</v>
      </c>
      <c r="AD19">
        <f>Tabela3[[#This Row],[kan_params]]</f>
        <v>69346</v>
      </c>
      <c r="AE19">
        <f>Tabela3[[#This Row],[kan_train_acc]]</f>
        <v>0.7013927698135376</v>
      </c>
      <c r="AF19">
        <f>Tabela3[[#This Row],[kan_val_acc]]</f>
        <v>0.76370369195938115</v>
      </c>
      <c r="AG19">
        <f>Tabela3[[#This Row],[kan_test_acc]]</f>
        <v>0.68044445514678953</v>
      </c>
      <c r="AH19">
        <f>Tabela3[[#This Row],[mlp_test_acc]]</f>
        <v>0.96</v>
      </c>
      <c r="AI19">
        <f>Tabela3[[#This Row],[mlp_val_acc]]</f>
        <v>0.95925925925925926</v>
      </c>
      <c r="AJ19">
        <f>Tabela3[[#This Row],[mlp_train_acc]]</f>
        <v>0.9879294336118849</v>
      </c>
    </row>
    <row r="20" spans="1:36" x14ac:dyDescent="0.25">
      <c r="A20" t="s">
        <v>71</v>
      </c>
      <c r="B20">
        <v>8</v>
      </c>
      <c r="C20">
        <v>3</v>
      </c>
      <c r="D20">
        <v>2</v>
      </c>
      <c r="E20">
        <v>0</v>
      </c>
      <c r="F20" t="s">
        <v>186</v>
      </c>
      <c r="G20">
        <v>71272</v>
      </c>
      <c r="H20">
        <v>101896585.59999999</v>
      </c>
      <c r="I20">
        <v>47</v>
      </c>
      <c r="J20">
        <v>0.64661094546318054</v>
      </c>
      <c r="K20">
        <v>0.70222222805023193</v>
      </c>
      <c r="L20">
        <v>0.63422222733497624</v>
      </c>
      <c r="M20">
        <v>0.95955555555555549</v>
      </c>
      <c r="N20">
        <v>0.95481481481481478</v>
      </c>
      <c r="O20">
        <v>0.98922934076137414</v>
      </c>
      <c r="P20">
        <v>47</v>
      </c>
      <c r="Q20">
        <v>2341360.4</v>
      </c>
      <c r="R20">
        <v>70900</v>
      </c>
      <c r="S20">
        <v>2</v>
      </c>
      <c r="T20">
        <v>170</v>
      </c>
      <c r="U20">
        <v>0.95955555555555549</v>
      </c>
      <c r="V20">
        <v>0.95925925925925926</v>
      </c>
      <c r="W20">
        <v>0.98978644382544101</v>
      </c>
      <c r="X20">
        <v>48.8</v>
      </c>
      <c r="Y20">
        <v>4684064.5999999996</v>
      </c>
      <c r="Z20">
        <v>71659</v>
      </c>
      <c r="AA20">
        <v>2</v>
      </c>
      <c r="AB20">
        <v>171</v>
      </c>
      <c r="AD20">
        <f>Tabela3[[#This Row],[kan_params]]</f>
        <v>71272</v>
      </c>
      <c r="AE20">
        <f>Tabela3[[#This Row],[kan_train_acc]]</f>
        <v>0.64661094546318054</v>
      </c>
      <c r="AF20">
        <f>Tabela3[[#This Row],[kan_val_acc]]</f>
        <v>0.70222222805023193</v>
      </c>
      <c r="AG20">
        <f>Tabela3[[#This Row],[kan_test_acc]]</f>
        <v>0.63422222733497624</v>
      </c>
      <c r="AH20">
        <f>Tabela3[[#This Row],[mlp_test_acc]]</f>
        <v>0.95955555555555549</v>
      </c>
      <c r="AI20">
        <f>Tabela3[[#This Row],[mlp_val_acc]]</f>
        <v>0.95481481481481478</v>
      </c>
      <c r="AJ20">
        <f>Tabela3[[#This Row],[mlp_train_acc]]</f>
        <v>0.98922934076137414</v>
      </c>
    </row>
    <row r="21" spans="1:36" x14ac:dyDescent="0.25">
      <c r="A21" t="s">
        <v>71</v>
      </c>
      <c r="B21">
        <v>8</v>
      </c>
      <c r="C21">
        <v>3</v>
      </c>
      <c r="D21">
        <v>2</v>
      </c>
      <c r="E21">
        <v>0</v>
      </c>
      <c r="F21" t="s">
        <v>187</v>
      </c>
      <c r="G21">
        <v>73198</v>
      </c>
      <c r="H21">
        <v>156145394</v>
      </c>
      <c r="I21">
        <v>73</v>
      </c>
      <c r="J21">
        <v>0.80724234580993648</v>
      </c>
      <c r="K21">
        <v>0.79629629850387573</v>
      </c>
      <c r="L21">
        <v>0.78177777528762815</v>
      </c>
      <c r="M21">
        <v>0.9555555555555556</v>
      </c>
      <c r="N21">
        <v>0.95703703703703702</v>
      </c>
      <c r="O21">
        <v>0.98978644382544101</v>
      </c>
      <c r="P21">
        <v>48</v>
      </c>
      <c r="Q21">
        <v>2354585.6000000001</v>
      </c>
      <c r="R21">
        <v>73189</v>
      </c>
      <c r="S21">
        <v>2</v>
      </c>
      <c r="T21">
        <v>173</v>
      </c>
      <c r="U21">
        <v>0.96399999999999997</v>
      </c>
      <c r="V21">
        <v>0.95481481481481478</v>
      </c>
      <c r="W21">
        <v>0.99071494893221912</v>
      </c>
      <c r="X21">
        <v>51.6</v>
      </c>
      <c r="Y21">
        <v>2592704</v>
      </c>
      <c r="Z21">
        <v>73960</v>
      </c>
      <c r="AA21">
        <v>2</v>
      </c>
      <c r="AB21">
        <v>174</v>
      </c>
      <c r="AD21">
        <f>Tabela3[[#This Row],[kan_params]]</f>
        <v>73198</v>
      </c>
      <c r="AE21">
        <f>Tabela3[[#This Row],[kan_train_acc]]</f>
        <v>0.80724234580993648</v>
      </c>
      <c r="AF21">
        <f>Tabela3[[#This Row],[kan_val_acc]]</f>
        <v>0.79629629850387573</v>
      </c>
      <c r="AG21">
        <f>Tabela3[[#This Row],[kan_test_acc]]</f>
        <v>0.78177777528762815</v>
      </c>
      <c r="AH21">
        <f>Tabela3[[#This Row],[mlp_test_acc]]</f>
        <v>0.9555555555555556</v>
      </c>
      <c r="AI21">
        <f>Tabela3[[#This Row],[mlp_val_acc]]</f>
        <v>0.95703703703703702</v>
      </c>
      <c r="AJ21">
        <f>Tabela3[[#This Row],[mlp_train_acc]]</f>
        <v>0.98978644382544101</v>
      </c>
    </row>
    <row r="22" spans="1:36" x14ac:dyDescent="0.25">
      <c r="A22" t="s">
        <v>71</v>
      </c>
      <c r="B22">
        <v>12</v>
      </c>
      <c r="C22">
        <v>3</v>
      </c>
      <c r="D22">
        <v>4</v>
      </c>
      <c r="E22">
        <v>0</v>
      </c>
      <c r="F22" t="s">
        <v>79</v>
      </c>
      <c r="G22">
        <v>74581</v>
      </c>
      <c r="H22">
        <v>38350021.399999999</v>
      </c>
      <c r="I22">
        <v>17.2</v>
      </c>
      <c r="J22">
        <v>0.11104921214282512</v>
      </c>
      <c r="K22">
        <v>0.21333333551883699</v>
      </c>
      <c r="L22">
        <v>0.11288888975977898</v>
      </c>
      <c r="M22">
        <v>0.97688888888888881</v>
      </c>
      <c r="N22">
        <v>0.97555555555555551</v>
      </c>
      <c r="O22">
        <v>0.98737233054781803</v>
      </c>
      <c r="P22">
        <v>48.4</v>
      </c>
      <c r="Q22">
        <v>3135191.6</v>
      </c>
      <c r="R22">
        <v>73960</v>
      </c>
      <c r="S22">
        <v>2</v>
      </c>
      <c r="T22">
        <v>174</v>
      </c>
      <c r="U22">
        <v>0.97244444444444444</v>
      </c>
      <c r="V22">
        <v>0.98074074074074069</v>
      </c>
      <c r="W22">
        <v>0.98848653667595165</v>
      </c>
      <c r="X22">
        <v>54</v>
      </c>
      <c r="Y22">
        <v>2946178.4</v>
      </c>
      <c r="Z22">
        <v>74735</v>
      </c>
      <c r="AA22">
        <v>2</v>
      </c>
      <c r="AB22">
        <v>175</v>
      </c>
      <c r="AD22">
        <f>Tabela3[[#This Row],[kan_params]]</f>
        <v>74581</v>
      </c>
      <c r="AE22">
        <f>Tabela3[[#This Row],[kan_train_acc]]</f>
        <v>0.11104921214282512</v>
      </c>
      <c r="AF22">
        <f>Tabela3[[#This Row],[kan_val_acc]]</f>
        <v>0.21333333551883699</v>
      </c>
      <c r="AG22">
        <f>Tabela3[[#This Row],[kan_test_acc]]</f>
        <v>0.11288888975977898</v>
      </c>
      <c r="AH22">
        <f>Tabela3[[#This Row],[mlp_test_acc]]</f>
        <v>0.97688888888888881</v>
      </c>
      <c r="AI22">
        <f>Tabela3[[#This Row],[mlp_val_acc]]</f>
        <v>0.97555555555555551</v>
      </c>
      <c r="AJ22">
        <f>Tabela3[[#This Row],[mlp_train_acc]]</f>
        <v>0.98737233054781803</v>
      </c>
    </row>
    <row r="23" spans="1:36" x14ac:dyDescent="0.25">
      <c r="A23" t="s">
        <v>71</v>
      </c>
      <c r="B23">
        <v>10</v>
      </c>
      <c r="C23">
        <v>3</v>
      </c>
      <c r="D23">
        <v>3</v>
      </c>
      <c r="E23">
        <v>0</v>
      </c>
      <c r="F23" t="s">
        <v>81</v>
      </c>
      <c r="G23">
        <v>74665</v>
      </c>
      <c r="H23">
        <v>96566967</v>
      </c>
      <c r="I23">
        <v>43.4</v>
      </c>
      <c r="J23">
        <v>0.30139275491237638</v>
      </c>
      <c r="K23">
        <v>0.5088888823986053</v>
      </c>
      <c r="L23">
        <v>0.28355555683374406</v>
      </c>
      <c r="M23">
        <v>0.97199999999999998</v>
      </c>
      <c r="N23">
        <v>0.97925925925925927</v>
      </c>
      <c r="O23">
        <v>0.98681522748375117</v>
      </c>
      <c r="P23">
        <v>51.2</v>
      </c>
      <c r="Q23">
        <v>4041631.4</v>
      </c>
      <c r="R23">
        <v>73960</v>
      </c>
      <c r="S23">
        <v>2</v>
      </c>
      <c r="T23">
        <v>174</v>
      </c>
      <c r="U23">
        <v>0.97244444444444444</v>
      </c>
      <c r="V23">
        <v>0.97851851851851857</v>
      </c>
      <c r="W23">
        <v>0.98644382544103992</v>
      </c>
      <c r="X23">
        <v>51</v>
      </c>
      <c r="Y23">
        <v>5243977.2</v>
      </c>
      <c r="Z23">
        <v>74735</v>
      </c>
      <c r="AA23">
        <v>2</v>
      </c>
      <c r="AB23">
        <v>175</v>
      </c>
      <c r="AD23">
        <f>Tabela3[[#This Row],[kan_params]]</f>
        <v>74665</v>
      </c>
      <c r="AE23">
        <f>Tabela3[[#This Row],[kan_train_acc]]</f>
        <v>0.30139275491237638</v>
      </c>
      <c r="AF23">
        <f>Tabela3[[#This Row],[kan_val_acc]]</f>
        <v>0.5088888823986053</v>
      </c>
      <c r="AG23">
        <f>Tabela3[[#This Row],[kan_test_acc]]</f>
        <v>0.28355555683374406</v>
      </c>
      <c r="AH23">
        <f>Tabela3[[#This Row],[mlp_test_acc]]</f>
        <v>0.97199999999999998</v>
      </c>
      <c r="AI23">
        <f>Tabela3[[#This Row],[mlp_val_acc]]</f>
        <v>0.97925925925925927</v>
      </c>
      <c r="AJ23">
        <f>Tabela3[[#This Row],[mlp_train_acc]]</f>
        <v>0.98681522748375117</v>
      </c>
    </row>
    <row r="24" spans="1:36" x14ac:dyDescent="0.25">
      <c r="A24" t="s">
        <v>71</v>
      </c>
      <c r="B24">
        <v>8</v>
      </c>
      <c r="C24">
        <v>3</v>
      </c>
      <c r="D24">
        <v>2</v>
      </c>
      <c r="E24">
        <v>0</v>
      </c>
      <c r="F24" t="s">
        <v>154</v>
      </c>
      <c r="G24">
        <v>75124</v>
      </c>
      <c r="H24">
        <v>119879237.8</v>
      </c>
      <c r="I24">
        <v>53</v>
      </c>
      <c r="J24">
        <v>0.71346331834793086</v>
      </c>
      <c r="K24">
        <v>0.72740740776062007</v>
      </c>
      <c r="L24">
        <v>0.68844444751739498</v>
      </c>
      <c r="M24">
        <v>0.95955555555555549</v>
      </c>
      <c r="N24">
        <v>0.95407407407407407</v>
      </c>
      <c r="O24">
        <v>0.98867223769730739</v>
      </c>
      <c r="P24">
        <v>46</v>
      </c>
      <c r="Q24">
        <v>3274856</v>
      </c>
      <c r="R24">
        <v>74735</v>
      </c>
      <c r="S24">
        <v>2</v>
      </c>
      <c r="T24">
        <v>175</v>
      </c>
      <c r="U24">
        <v>0.96533333333333327</v>
      </c>
      <c r="V24">
        <v>0.96</v>
      </c>
      <c r="W24">
        <v>0.99312906220984221</v>
      </c>
      <c r="X24">
        <v>57.8</v>
      </c>
      <c r="Y24">
        <v>4085817.2</v>
      </c>
      <c r="Z24">
        <v>75514</v>
      </c>
      <c r="AA24">
        <v>2</v>
      </c>
      <c r="AB24">
        <v>176</v>
      </c>
      <c r="AD24">
        <f>Tabela3[[#This Row],[kan_params]]</f>
        <v>75124</v>
      </c>
      <c r="AE24">
        <f>Tabela3[[#This Row],[kan_train_acc]]</f>
        <v>0.71346331834793086</v>
      </c>
      <c r="AF24">
        <f>Tabela3[[#This Row],[kan_val_acc]]</f>
        <v>0.72740740776062007</v>
      </c>
      <c r="AG24">
        <f>Tabela3[[#This Row],[kan_test_acc]]</f>
        <v>0.68844444751739498</v>
      </c>
      <c r="AH24">
        <f>Tabela3[[#This Row],[mlp_test_acc]]</f>
        <v>0.95955555555555549</v>
      </c>
      <c r="AI24">
        <f>Tabela3[[#This Row],[mlp_val_acc]]</f>
        <v>0.95407407407407407</v>
      </c>
      <c r="AJ24">
        <f>Tabela3[[#This Row],[mlp_train_acc]]</f>
        <v>0.98867223769730739</v>
      </c>
    </row>
    <row r="25" spans="1:36" x14ac:dyDescent="0.25">
      <c r="A25" t="s">
        <v>71</v>
      </c>
      <c r="B25">
        <v>8</v>
      </c>
      <c r="C25">
        <v>3</v>
      </c>
      <c r="D25">
        <v>2</v>
      </c>
      <c r="E25">
        <v>0</v>
      </c>
      <c r="F25" t="s">
        <v>188</v>
      </c>
      <c r="G25">
        <v>77050</v>
      </c>
      <c r="H25">
        <v>113823911.40000001</v>
      </c>
      <c r="I25">
        <v>49.6</v>
      </c>
      <c r="J25">
        <v>0.71216340065002437</v>
      </c>
      <c r="K25">
        <v>0.76666666269302364</v>
      </c>
      <c r="L25">
        <v>0.69999998807907104</v>
      </c>
      <c r="M25">
        <v>0.96044444444444443</v>
      </c>
      <c r="N25">
        <v>0.9555555555555556</v>
      </c>
      <c r="O25">
        <v>0.98941504178272976</v>
      </c>
      <c r="P25">
        <v>45</v>
      </c>
      <c r="Q25">
        <v>2321483.2000000002</v>
      </c>
      <c r="R25">
        <v>76297</v>
      </c>
      <c r="S25">
        <v>2</v>
      </c>
      <c r="T25">
        <v>177</v>
      </c>
      <c r="U25">
        <v>0.96488888888888891</v>
      </c>
      <c r="V25">
        <v>0.9622222222222222</v>
      </c>
      <c r="W25">
        <v>0.99350046425255334</v>
      </c>
      <c r="X25">
        <v>55.6</v>
      </c>
      <c r="Y25">
        <v>5233177.2</v>
      </c>
      <c r="Z25">
        <v>77084</v>
      </c>
      <c r="AA25">
        <v>2</v>
      </c>
      <c r="AB25">
        <v>178</v>
      </c>
      <c r="AD25">
        <f>Tabela3[[#This Row],[kan_params]]</f>
        <v>77050</v>
      </c>
      <c r="AE25">
        <f>Tabela3[[#This Row],[kan_train_acc]]</f>
        <v>0.71216340065002437</v>
      </c>
      <c r="AF25">
        <f>Tabela3[[#This Row],[kan_val_acc]]</f>
        <v>0.76666666269302364</v>
      </c>
      <c r="AG25">
        <f>Tabela3[[#This Row],[kan_test_acc]]</f>
        <v>0.69999998807907104</v>
      </c>
      <c r="AH25">
        <f>Tabela3[[#This Row],[mlp_test_acc]]</f>
        <v>0.96044444444444443</v>
      </c>
      <c r="AI25">
        <f>Tabela3[[#This Row],[mlp_val_acc]]</f>
        <v>0.9555555555555556</v>
      </c>
      <c r="AJ25">
        <f>Tabela3[[#This Row],[mlp_train_acc]]</f>
        <v>0.98941504178272976</v>
      </c>
    </row>
    <row r="26" spans="1:36" x14ac:dyDescent="0.25">
      <c r="A26" t="s">
        <v>71</v>
      </c>
      <c r="B26">
        <v>8</v>
      </c>
      <c r="C26">
        <v>3</v>
      </c>
      <c r="D26">
        <v>2</v>
      </c>
      <c r="E26">
        <v>0</v>
      </c>
      <c r="F26" t="s">
        <v>189</v>
      </c>
      <c r="G26">
        <v>78976</v>
      </c>
      <c r="H26">
        <v>108418232</v>
      </c>
      <c r="I26">
        <v>45</v>
      </c>
      <c r="J26">
        <v>0.64271123409271236</v>
      </c>
      <c r="K26">
        <v>0.67481480836868291</v>
      </c>
      <c r="L26">
        <v>0.6439999997615814</v>
      </c>
      <c r="M26">
        <v>0.96177777777777773</v>
      </c>
      <c r="N26">
        <v>0.95703703703703702</v>
      </c>
      <c r="O26">
        <v>0.99257195914577534</v>
      </c>
      <c r="P26">
        <v>51.2</v>
      </c>
      <c r="Q26">
        <v>4219107.5999999996</v>
      </c>
      <c r="R26">
        <v>78670</v>
      </c>
      <c r="S26">
        <v>2</v>
      </c>
      <c r="T26">
        <v>180</v>
      </c>
      <c r="U26">
        <v>0.96444444444444444</v>
      </c>
      <c r="V26">
        <v>0.96</v>
      </c>
      <c r="W26">
        <v>0.99312906220984221</v>
      </c>
      <c r="X26">
        <v>53.8</v>
      </c>
      <c r="Y26">
        <v>3511490.4</v>
      </c>
      <c r="Z26">
        <v>79469</v>
      </c>
      <c r="AA26">
        <v>2</v>
      </c>
      <c r="AB26">
        <v>181</v>
      </c>
      <c r="AD26">
        <f>Tabela3[[#This Row],[kan_params]]</f>
        <v>78976</v>
      </c>
      <c r="AE26">
        <f>Tabela3[[#This Row],[kan_train_acc]]</f>
        <v>0.64271123409271236</v>
      </c>
      <c r="AF26">
        <f>Tabela3[[#This Row],[kan_val_acc]]</f>
        <v>0.67481480836868291</v>
      </c>
      <c r="AG26">
        <f>Tabela3[[#This Row],[kan_test_acc]]</f>
        <v>0.6439999997615814</v>
      </c>
      <c r="AH26">
        <f>Tabela3[[#This Row],[mlp_test_acc]]</f>
        <v>0.96177777777777773</v>
      </c>
      <c r="AI26">
        <f>Tabela3[[#This Row],[mlp_val_acc]]</f>
        <v>0.95703703703703702</v>
      </c>
      <c r="AJ26">
        <f>Tabela3[[#This Row],[mlp_train_acc]]</f>
        <v>0.99257195914577534</v>
      </c>
    </row>
    <row r="27" spans="1:36" x14ac:dyDescent="0.25">
      <c r="A27" t="s">
        <v>71</v>
      </c>
      <c r="B27">
        <v>10</v>
      </c>
      <c r="C27">
        <v>3</v>
      </c>
      <c r="D27">
        <v>3</v>
      </c>
      <c r="E27">
        <v>0</v>
      </c>
      <c r="F27" t="s">
        <v>110</v>
      </c>
      <c r="G27">
        <v>80590</v>
      </c>
      <c r="H27">
        <v>42164936.399999999</v>
      </c>
      <c r="I27">
        <v>17</v>
      </c>
      <c r="J27">
        <v>0.12720520049333572</v>
      </c>
      <c r="K27">
        <v>0.28592593669891359</v>
      </c>
      <c r="L27">
        <v>0.11200000047683716</v>
      </c>
      <c r="M27">
        <v>0.97644444444444445</v>
      </c>
      <c r="N27">
        <v>0.97333333333333338</v>
      </c>
      <c r="O27">
        <v>0.97938718662952651</v>
      </c>
      <c r="P27">
        <v>38.200000000000003</v>
      </c>
      <c r="Q27">
        <v>3724162.2</v>
      </c>
      <c r="R27">
        <v>80272</v>
      </c>
      <c r="S27">
        <v>2</v>
      </c>
      <c r="T27">
        <v>182</v>
      </c>
      <c r="U27">
        <v>0.97066666666666668</v>
      </c>
      <c r="V27">
        <v>0.98518518518518516</v>
      </c>
      <c r="W27">
        <v>0.98885793871866301</v>
      </c>
      <c r="X27">
        <v>51.2</v>
      </c>
      <c r="Y27">
        <v>5106437.4000000004</v>
      </c>
      <c r="Z27">
        <v>81079</v>
      </c>
      <c r="AA27">
        <v>2</v>
      </c>
      <c r="AB27">
        <v>183</v>
      </c>
      <c r="AD27">
        <f>Tabela3[[#This Row],[kan_params]]</f>
        <v>80590</v>
      </c>
      <c r="AE27">
        <f>Tabela3[[#This Row],[kan_train_acc]]</f>
        <v>0.12720520049333572</v>
      </c>
      <c r="AF27">
        <f>Tabela3[[#This Row],[kan_val_acc]]</f>
        <v>0.28592593669891359</v>
      </c>
      <c r="AG27">
        <f>Tabela3[[#This Row],[kan_test_acc]]</f>
        <v>0.11200000047683716</v>
      </c>
      <c r="AH27">
        <f>Tabela3[[#This Row],[mlp_test_acc]]</f>
        <v>0.97644444444444445</v>
      </c>
      <c r="AI27">
        <f>Tabela3[[#This Row],[mlp_val_acc]]</f>
        <v>0.97333333333333338</v>
      </c>
      <c r="AJ27">
        <f>Tabela3[[#This Row],[mlp_train_acc]]</f>
        <v>0.97938718662952651</v>
      </c>
    </row>
    <row r="28" spans="1:36" x14ac:dyDescent="0.25">
      <c r="A28" t="s">
        <v>71</v>
      </c>
      <c r="B28">
        <v>8</v>
      </c>
      <c r="C28">
        <v>3</v>
      </c>
      <c r="D28">
        <v>2</v>
      </c>
      <c r="E28">
        <v>0</v>
      </c>
      <c r="F28" t="s">
        <v>190</v>
      </c>
      <c r="G28">
        <v>80902</v>
      </c>
      <c r="H28">
        <v>126747718.8</v>
      </c>
      <c r="I28">
        <v>52.2</v>
      </c>
      <c r="J28">
        <v>0.69322189688682556</v>
      </c>
      <c r="K28">
        <v>0.72296296358108525</v>
      </c>
      <c r="L28">
        <v>0.66933333277702334</v>
      </c>
      <c r="M28">
        <v>0.9608888888888889</v>
      </c>
      <c r="N28">
        <v>0.96074074074074067</v>
      </c>
      <c r="O28">
        <v>0.98997214484679663</v>
      </c>
      <c r="P28">
        <v>49.2</v>
      </c>
      <c r="Q28">
        <v>3447971.4</v>
      </c>
      <c r="R28">
        <v>80272</v>
      </c>
      <c r="S28">
        <v>2</v>
      </c>
      <c r="T28">
        <v>182</v>
      </c>
      <c r="U28">
        <v>0.96133333333333337</v>
      </c>
      <c r="V28">
        <v>0.95851851851851855</v>
      </c>
      <c r="W28">
        <v>0.99071494893221912</v>
      </c>
      <c r="X28">
        <v>47.2</v>
      </c>
      <c r="Y28">
        <v>4593171.5999999996</v>
      </c>
      <c r="Z28">
        <v>81079</v>
      </c>
      <c r="AA28">
        <v>2</v>
      </c>
      <c r="AB28">
        <v>183</v>
      </c>
      <c r="AD28">
        <f>Tabela3[[#This Row],[kan_params]]</f>
        <v>80902</v>
      </c>
      <c r="AE28">
        <f>Tabela3[[#This Row],[kan_train_acc]]</f>
        <v>0.69322189688682556</v>
      </c>
      <c r="AF28">
        <f>Tabela3[[#This Row],[kan_val_acc]]</f>
        <v>0.72296296358108525</v>
      </c>
      <c r="AG28">
        <f>Tabela3[[#This Row],[kan_test_acc]]</f>
        <v>0.66933333277702334</v>
      </c>
      <c r="AH28">
        <f>Tabela3[[#This Row],[mlp_test_acc]]</f>
        <v>0.9608888888888889</v>
      </c>
      <c r="AI28">
        <f>Tabela3[[#This Row],[mlp_val_acc]]</f>
        <v>0.96074074074074067</v>
      </c>
      <c r="AJ28">
        <f>Tabela3[[#This Row],[mlp_train_acc]]</f>
        <v>0.98997214484679663</v>
      </c>
    </row>
    <row r="29" spans="1:36" x14ac:dyDescent="0.25">
      <c r="A29" t="s">
        <v>71</v>
      </c>
      <c r="B29">
        <v>12</v>
      </c>
      <c r="C29">
        <v>3</v>
      </c>
      <c r="D29">
        <v>4</v>
      </c>
      <c r="E29">
        <v>0</v>
      </c>
      <c r="F29" t="s">
        <v>80</v>
      </c>
      <c r="G29">
        <v>81616</v>
      </c>
      <c r="H29">
        <v>48741530.399999999</v>
      </c>
      <c r="I29">
        <v>20</v>
      </c>
      <c r="J29">
        <v>0.11142061427235603</v>
      </c>
      <c r="K29">
        <v>0.2088888853788376</v>
      </c>
      <c r="L29">
        <v>0.10844444558024406</v>
      </c>
      <c r="M29">
        <v>0.97555555555555551</v>
      </c>
      <c r="N29">
        <v>0.98148148148148151</v>
      </c>
      <c r="O29">
        <v>0.99071494893221912</v>
      </c>
      <c r="P29">
        <v>56</v>
      </c>
      <c r="Q29">
        <v>4795049.4000000004</v>
      </c>
      <c r="R29">
        <v>81079</v>
      </c>
      <c r="S29">
        <v>2</v>
      </c>
      <c r="T29">
        <v>183</v>
      </c>
      <c r="U29">
        <v>0.96888888888888891</v>
      </c>
      <c r="V29">
        <v>0.97777777777777775</v>
      </c>
      <c r="W29">
        <v>0.98514391829155057</v>
      </c>
      <c r="X29">
        <v>45</v>
      </c>
      <c r="Y29">
        <v>2995734.8</v>
      </c>
      <c r="Z29">
        <v>81890</v>
      </c>
      <c r="AA29">
        <v>2</v>
      </c>
      <c r="AB29">
        <v>184</v>
      </c>
      <c r="AD29">
        <f>Tabela3[[#This Row],[kan_params]]</f>
        <v>81616</v>
      </c>
      <c r="AE29">
        <f>Tabela3[[#This Row],[kan_train_acc]]</f>
        <v>0.11142061427235603</v>
      </c>
      <c r="AF29">
        <f>Tabela3[[#This Row],[kan_val_acc]]</f>
        <v>0.2088888853788376</v>
      </c>
      <c r="AG29">
        <f>Tabela3[[#This Row],[kan_test_acc]]</f>
        <v>0.10844444558024406</v>
      </c>
      <c r="AH29">
        <f>Tabela3[[#This Row],[mlp_test_acc]]</f>
        <v>0.97555555555555551</v>
      </c>
      <c r="AI29">
        <f>Tabela3[[#This Row],[mlp_val_acc]]</f>
        <v>0.98148148148148151</v>
      </c>
      <c r="AJ29">
        <f>Tabela3[[#This Row],[mlp_train_acc]]</f>
        <v>0.99071494893221912</v>
      </c>
    </row>
    <row r="30" spans="1:36" x14ac:dyDescent="0.25">
      <c r="A30" t="s">
        <v>71</v>
      </c>
      <c r="B30">
        <v>8</v>
      </c>
      <c r="C30">
        <v>3</v>
      </c>
      <c r="D30">
        <v>2</v>
      </c>
      <c r="E30">
        <v>0</v>
      </c>
      <c r="F30" t="s">
        <v>191</v>
      </c>
      <c r="G30">
        <v>82828</v>
      </c>
      <c r="H30">
        <v>145484595.19999999</v>
      </c>
      <c r="I30">
        <v>57</v>
      </c>
      <c r="J30">
        <v>0.75097494125366215</v>
      </c>
      <c r="K30">
        <v>0.75407407283782957</v>
      </c>
      <c r="L30">
        <v>0.73555555343627932</v>
      </c>
      <c r="M30">
        <v>0.96266666666666667</v>
      </c>
      <c r="N30">
        <v>0.95259259259259255</v>
      </c>
      <c r="O30">
        <v>0.98978644382544101</v>
      </c>
      <c r="P30">
        <v>48.2</v>
      </c>
      <c r="Q30">
        <v>3822396.2</v>
      </c>
      <c r="R30">
        <v>82705</v>
      </c>
      <c r="S30">
        <v>2</v>
      </c>
      <c r="T30">
        <v>185</v>
      </c>
      <c r="U30">
        <v>0.95955555555555549</v>
      </c>
      <c r="V30">
        <v>0.95703703703703702</v>
      </c>
      <c r="W30">
        <v>0.98922934076137414</v>
      </c>
      <c r="X30">
        <v>50.6</v>
      </c>
      <c r="Y30">
        <v>4012562.8</v>
      </c>
      <c r="Z30">
        <v>83524</v>
      </c>
      <c r="AA30">
        <v>2</v>
      </c>
      <c r="AB30">
        <v>186</v>
      </c>
      <c r="AD30">
        <f>Tabela3[[#This Row],[kan_params]]</f>
        <v>82828</v>
      </c>
      <c r="AE30">
        <f>Tabela3[[#This Row],[kan_train_acc]]</f>
        <v>0.75097494125366215</v>
      </c>
      <c r="AF30">
        <f>Tabela3[[#This Row],[kan_val_acc]]</f>
        <v>0.75407407283782957</v>
      </c>
      <c r="AG30">
        <f>Tabela3[[#This Row],[kan_test_acc]]</f>
        <v>0.73555555343627932</v>
      </c>
      <c r="AH30">
        <f>Tabela3[[#This Row],[mlp_test_acc]]</f>
        <v>0.96266666666666667</v>
      </c>
      <c r="AI30">
        <f>Tabela3[[#This Row],[mlp_val_acc]]</f>
        <v>0.95259259259259255</v>
      </c>
      <c r="AJ30">
        <f>Tabela3[[#This Row],[mlp_train_acc]]</f>
        <v>0.98978644382544101</v>
      </c>
    </row>
    <row r="31" spans="1:36" x14ac:dyDescent="0.25">
      <c r="A31" t="s">
        <v>71</v>
      </c>
      <c r="B31">
        <v>8</v>
      </c>
      <c r="C31">
        <v>3</v>
      </c>
      <c r="D31">
        <v>2</v>
      </c>
      <c r="E31">
        <v>0</v>
      </c>
      <c r="F31" t="s">
        <v>156</v>
      </c>
      <c r="G31">
        <v>84754</v>
      </c>
      <c r="H31">
        <v>143063111.80000001</v>
      </c>
      <c r="I31">
        <v>56</v>
      </c>
      <c r="J31">
        <v>0.68430827856063847</v>
      </c>
      <c r="K31">
        <v>0.78148149251937871</v>
      </c>
      <c r="L31">
        <v>0.65822223424911497</v>
      </c>
      <c r="M31">
        <v>0.9622222222222222</v>
      </c>
      <c r="N31">
        <v>0.95851851851851855</v>
      </c>
      <c r="O31">
        <v>0.98941504178272976</v>
      </c>
      <c r="P31">
        <v>46.4</v>
      </c>
      <c r="Q31">
        <v>3606819.6</v>
      </c>
      <c r="R31">
        <v>84347</v>
      </c>
      <c r="S31">
        <v>2</v>
      </c>
      <c r="T31">
        <v>187</v>
      </c>
      <c r="U31">
        <v>0.96266666666666667</v>
      </c>
      <c r="V31">
        <v>0.95703703703703702</v>
      </c>
      <c r="W31">
        <v>0.9922005571030641</v>
      </c>
      <c r="X31">
        <v>51.8</v>
      </c>
      <c r="Y31">
        <v>3914339.6</v>
      </c>
      <c r="Z31">
        <v>85174</v>
      </c>
      <c r="AA31">
        <v>2</v>
      </c>
      <c r="AB31">
        <v>188</v>
      </c>
      <c r="AD31">
        <f>Tabela3[[#This Row],[kan_params]]</f>
        <v>84754</v>
      </c>
      <c r="AE31">
        <f>Tabela3[[#This Row],[kan_train_acc]]</f>
        <v>0.68430827856063847</v>
      </c>
      <c r="AF31">
        <f>Tabela3[[#This Row],[kan_val_acc]]</f>
        <v>0.78148149251937871</v>
      </c>
      <c r="AG31">
        <f>Tabela3[[#This Row],[kan_test_acc]]</f>
        <v>0.65822223424911497</v>
      </c>
      <c r="AH31">
        <f>Tabela3[[#This Row],[mlp_test_acc]]</f>
        <v>0.9622222222222222</v>
      </c>
      <c r="AI31">
        <f>Tabela3[[#This Row],[mlp_val_acc]]</f>
        <v>0.95851851851851855</v>
      </c>
      <c r="AJ31">
        <f>Tabela3[[#This Row],[mlp_train_acc]]</f>
        <v>0.98941504178272976</v>
      </c>
    </row>
    <row r="32" spans="1:36" x14ac:dyDescent="0.25">
      <c r="A32" t="s">
        <v>71</v>
      </c>
      <c r="B32">
        <v>10</v>
      </c>
      <c r="C32">
        <v>3</v>
      </c>
      <c r="D32">
        <v>3</v>
      </c>
      <c r="E32">
        <v>0</v>
      </c>
      <c r="F32" t="s">
        <v>153</v>
      </c>
      <c r="G32">
        <v>86515</v>
      </c>
      <c r="H32">
        <v>77833683</v>
      </c>
      <c r="I32">
        <v>29.2</v>
      </c>
      <c r="J32">
        <v>0.26666667163372038</v>
      </c>
      <c r="K32">
        <v>0.39037036895751953</v>
      </c>
      <c r="L32">
        <v>0.27511111199855803</v>
      </c>
      <c r="M32">
        <v>0.97466666666666668</v>
      </c>
      <c r="N32">
        <v>0.98518518518518516</v>
      </c>
      <c r="O32">
        <v>0.99015784586815225</v>
      </c>
      <c r="P32">
        <v>55</v>
      </c>
      <c r="Q32">
        <v>5801410.7999999998</v>
      </c>
      <c r="R32">
        <v>86005</v>
      </c>
      <c r="S32">
        <v>2</v>
      </c>
      <c r="T32">
        <v>189</v>
      </c>
      <c r="U32">
        <v>0.97288888888888891</v>
      </c>
      <c r="V32">
        <v>0.98444444444444446</v>
      </c>
      <c r="W32">
        <v>0.99145775301764161</v>
      </c>
      <c r="X32">
        <v>56.2</v>
      </c>
      <c r="Y32">
        <v>5362346.4000000004</v>
      </c>
      <c r="Z32">
        <v>86840</v>
      </c>
      <c r="AA32">
        <v>2</v>
      </c>
      <c r="AB32">
        <v>190</v>
      </c>
      <c r="AD32">
        <f>Tabela3[[#This Row],[kan_params]]</f>
        <v>86515</v>
      </c>
      <c r="AE32">
        <f>Tabela3[[#This Row],[kan_train_acc]]</f>
        <v>0.26666667163372038</v>
      </c>
      <c r="AF32">
        <f>Tabela3[[#This Row],[kan_val_acc]]</f>
        <v>0.39037036895751953</v>
      </c>
      <c r="AG32">
        <f>Tabela3[[#This Row],[kan_test_acc]]</f>
        <v>0.27511111199855803</v>
      </c>
      <c r="AH32">
        <f>Tabela3[[#This Row],[mlp_test_acc]]</f>
        <v>0.97466666666666668</v>
      </c>
      <c r="AI32">
        <f>Tabela3[[#This Row],[mlp_val_acc]]</f>
        <v>0.98518518518518516</v>
      </c>
      <c r="AJ32">
        <f>Tabela3[[#This Row],[mlp_train_acc]]</f>
        <v>0.99015784586815225</v>
      </c>
    </row>
    <row r="33" spans="1:36" x14ac:dyDescent="0.25">
      <c r="A33" t="s">
        <v>71</v>
      </c>
      <c r="B33">
        <v>8</v>
      </c>
      <c r="C33">
        <v>3</v>
      </c>
      <c r="D33">
        <v>2</v>
      </c>
      <c r="E33">
        <v>0</v>
      </c>
      <c r="F33" t="s">
        <v>192</v>
      </c>
      <c r="G33">
        <v>86680</v>
      </c>
      <c r="H33">
        <v>133415176</v>
      </c>
      <c r="I33">
        <v>50.2</v>
      </c>
      <c r="J33">
        <v>0.67353761196136475</v>
      </c>
      <c r="K33">
        <v>0.75777778625488279</v>
      </c>
      <c r="L33">
        <v>0.633777791261673</v>
      </c>
      <c r="M33">
        <v>0.95466666666666666</v>
      </c>
      <c r="N33">
        <v>0.95333333333333337</v>
      </c>
      <c r="O33">
        <v>0.9845868152274837</v>
      </c>
      <c r="P33">
        <v>39.6</v>
      </c>
      <c r="Q33">
        <v>2976251</v>
      </c>
      <c r="R33">
        <v>86005</v>
      </c>
      <c r="S33">
        <v>2</v>
      </c>
      <c r="T33">
        <v>189</v>
      </c>
      <c r="U33">
        <v>0.96533333333333338</v>
      </c>
      <c r="V33">
        <v>0.95703703703703702</v>
      </c>
      <c r="W33">
        <v>0.99090064995357474</v>
      </c>
      <c r="X33">
        <v>48</v>
      </c>
      <c r="Y33">
        <v>5010646.4000000004</v>
      </c>
      <c r="Z33">
        <v>86840</v>
      </c>
      <c r="AA33">
        <v>2</v>
      </c>
      <c r="AB33">
        <v>190</v>
      </c>
      <c r="AD33">
        <f>Tabela3[[#This Row],[kan_params]]</f>
        <v>86680</v>
      </c>
      <c r="AE33">
        <f>Tabela3[[#This Row],[kan_train_acc]]</f>
        <v>0.67353761196136475</v>
      </c>
      <c r="AF33">
        <f>Tabela3[[#This Row],[kan_val_acc]]</f>
        <v>0.75777778625488279</v>
      </c>
      <c r="AG33">
        <f>Tabela3[[#This Row],[kan_test_acc]]</f>
        <v>0.633777791261673</v>
      </c>
      <c r="AH33">
        <f>Tabela3[[#This Row],[mlp_test_acc]]</f>
        <v>0.95466666666666666</v>
      </c>
      <c r="AI33">
        <f>Tabela3[[#This Row],[mlp_val_acc]]</f>
        <v>0.95333333333333337</v>
      </c>
      <c r="AJ33">
        <f>Tabela3[[#This Row],[mlp_train_acc]]</f>
        <v>0.9845868152274837</v>
      </c>
    </row>
    <row r="34" spans="1:36" x14ac:dyDescent="0.25">
      <c r="A34" t="s">
        <v>71</v>
      </c>
      <c r="B34">
        <v>8</v>
      </c>
      <c r="C34">
        <v>3</v>
      </c>
      <c r="D34">
        <v>2</v>
      </c>
      <c r="E34">
        <v>0</v>
      </c>
      <c r="F34" t="s">
        <v>193</v>
      </c>
      <c r="G34">
        <v>88606</v>
      </c>
      <c r="H34">
        <v>126344264</v>
      </c>
      <c r="I34">
        <v>47.6</v>
      </c>
      <c r="J34">
        <v>0.71197772026062012</v>
      </c>
      <c r="K34">
        <v>0.73185185194015501</v>
      </c>
      <c r="L34">
        <v>0.70133333206176762</v>
      </c>
      <c r="M34">
        <v>0.96044444444444443</v>
      </c>
      <c r="N34">
        <v>0.95629629629629631</v>
      </c>
      <c r="O34">
        <v>0.99071494893221912</v>
      </c>
      <c r="P34">
        <v>44.6</v>
      </c>
      <c r="Q34">
        <v>3684984</v>
      </c>
      <c r="R34">
        <v>88522</v>
      </c>
      <c r="S34">
        <v>2</v>
      </c>
      <c r="T34">
        <v>192</v>
      </c>
      <c r="U34">
        <v>0.9582222222222222</v>
      </c>
      <c r="V34">
        <v>0.95407407407407407</v>
      </c>
      <c r="W34">
        <v>0.98848653667595165</v>
      </c>
      <c r="X34">
        <v>42.6</v>
      </c>
      <c r="Y34">
        <v>3673170.4</v>
      </c>
      <c r="Z34">
        <v>89369</v>
      </c>
      <c r="AA34">
        <v>2</v>
      </c>
      <c r="AB34">
        <v>193</v>
      </c>
      <c r="AD34">
        <f>Tabela3[[#This Row],[kan_params]]</f>
        <v>88606</v>
      </c>
      <c r="AE34">
        <f>Tabela3[[#This Row],[kan_train_acc]]</f>
        <v>0.71197772026062012</v>
      </c>
      <c r="AF34">
        <f>Tabela3[[#This Row],[kan_val_acc]]</f>
        <v>0.73185185194015501</v>
      </c>
      <c r="AG34">
        <f>Tabela3[[#This Row],[kan_test_acc]]</f>
        <v>0.70133333206176762</v>
      </c>
      <c r="AH34">
        <f>Tabela3[[#This Row],[mlp_test_acc]]</f>
        <v>0.96044444444444443</v>
      </c>
      <c r="AI34">
        <f>Tabela3[[#This Row],[mlp_val_acc]]</f>
        <v>0.95629629629629631</v>
      </c>
      <c r="AJ34">
        <f>Tabela3[[#This Row],[mlp_train_acc]]</f>
        <v>0.99071494893221912</v>
      </c>
    </row>
    <row r="35" spans="1:36" x14ac:dyDescent="0.25">
      <c r="A35" t="s">
        <v>71</v>
      </c>
      <c r="B35">
        <v>12</v>
      </c>
      <c r="C35">
        <v>3</v>
      </c>
      <c r="D35">
        <v>4</v>
      </c>
      <c r="E35">
        <v>0</v>
      </c>
      <c r="F35" t="s">
        <v>81</v>
      </c>
      <c r="G35">
        <v>88651</v>
      </c>
      <c r="H35">
        <v>36786787.399999999</v>
      </c>
      <c r="I35">
        <v>14.2</v>
      </c>
      <c r="J35">
        <v>0.12219127416610717</v>
      </c>
      <c r="K35">
        <v>0.23407407402992247</v>
      </c>
      <c r="L35">
        <v>0.11733333319425583</v>
      </c>
      <c r="M35">
        <v>0.96844444444444444</v>
      </c>
      <c r="N35">
        <v>0.97777777777777775</v>
      </c>
      <c r="O35">
        <v>0.99145775301764161</v>
      </c>
      <c r="P35">
        <v>56.4</v>
      </c>
      <c r="Q35">
        <v>4409757</v>
      </c>
      <c r="R35">
        <v>88522</v>
      </c>
      <c r="S35">
        <v>2</v>
      </c>
      <c r="T35">
        <v>192</v>
      </c>
      <c r="U35">
        <v>0.97111111111111115</v>
      </c>
      <c r="V35">
        <v>0.98</v>
      </c>
      <c r="W35">
        <v>0.99127205199628599</v>
      </c>
      <c r="X35">
        <v>54.4</v>
      </c>
      <c r="Y35">
        <v>4057661.6</v>
      </c>
      <c r="Z35">
        <v>89369</v>
      </c>
      <c r="AA35">
        <v>2</v>
      </c>
      <c r="AB35">
        <v>193</v>
      </c>
      <c r="AD35">
        <f>Tabela3[[#This Row],[kan_params]]</f>
        <v>88651</v>
      </c>
      <c r="AE35">
        <f>Tabela3[[#This Row],[kan_train_acc]]</f>
        <v>0.12219127416610717</v>
      </c>
      <c r="AF35">
        <f>Tabela3[[#This Row],[kan_val_acc]]</f>
        <v>0.23407407402992247</v>
      </c>
      <c r="AG35">
        <f>Tabela3[[#This Row],[kan_test_acc]]</f>
        <v>0.11733333319425583</v>
      </c>
      <c r="AH35">
        <f>Tabela3[[#This Row],[mlp_test_acc]]</f>
        <v>0.96844444444444444</v>
      </c>
      <c r="AI35">
        <f>Tabela3[[#This Row],[mlp_val_acc]]</f>
        <v>0.97777777777777775</v>
      </c>
      <c r="AJ35">
        <f>Tabela3[[#This Row],[mlp_train_acc]]</f>
        <v>0.99145775301764161</v>
      </c>
    </row>
    <row r="36" spans="1:36" x14ac:dyDescent="0.25">
      <c r="A36" t="s">
        <v>71</v>
      </c>
      <c r="B36">
        <v>18</v>
      </c>
      <c r="C36">
        <v>9</v>
      </c>
      <c r="D36">
        <v>4</v>
      </c>
      <c r="E36">
        <v>0</v>
      </c>
      <c r="F36" t="s">
        <v>78</v>
      </c>
      <c r="G36">
        <v>88858</v>
      </c>
      <c r="H36">
        <v>77146787</v>
      </c>
      <c r="I36">
        <v>37.4</v>
      </c>
      <c r="J36">
        <v>0.18607242554426193</v>
      </c>
      <c r="K36">
        <v>0.31777777671813967</v>
      </c>
      <c r="L36">
        <v>0.18622222244739534</v>
      </c>
      <c r="M36">
        <v>0.97199999999999998</v>
      </c>
      <c r="N36">
        <v>0.97925925925925927</v>
      </c>
      <c r="O36">
        <v>0.98904363974001852</v>
      </c>
      <c r="P36">
        <v>52.6</v>
      </c>
      <c r="Q36">
        <v>4559668.5999999996</v>
      </c>
      <c r="R36">
        <v>88522</v>
      </c>
      <c r="S36">
        <v>2</v>
      </c>
      <c r="T36">
        <v>192</v>
      </c>
      <c r="U36">
        <v>0.96977777777777785</v>
      </c>
      <c r="V36">
        <v>0.9748148148148148</v>
      </c>
      <c r="W36">
        <v>0.98848653667595165</v>
      </c>
      <c r="X36">
        <v>53.2</v>
      </c>
      <c r="Y36">
        <v>4136457.2</v>
      </c>
      <c r="Z36">
        <v>89369</v>
      </c>
      <c r="AA36">
        <v>2</v>
      </c>
      <c r="AB36">
        <v>193</v>
      </c>
      <c r="AD36">
        <f>Tabela3[[#This Row],[kan_params]]</f>
        <v>88858</v>
      </c>
      <c r="AE36">
        <f>Tabela3[[#This Row],[kan_train_acc]]</f>
        <v>0.18607242554426193</v>
      </c>
      <c r="AF36">
        <f>Tabela3[[#This Row],[kan_val_acc]]</f>
        <v>0.31777777671813967</v>
      </c>
      <c r="AG36">
        <f>Tabela3[[#This Row],[kan_test_acc]]</f>
        <v>0.18622222244739534</v>
      </c>
      <c r="AH36">
        <f>Tabela3[[#This Row],[mlp_test_acc]]</f>
        <v>0.97199999999999998</v>
      </c>
      <c r="AI36">
        <f>Tabela3[[#This Row],[mlp_val_acc]]</f>
        <v>0.97925925925925927</v>
      </c>
      <c r="AJ36">
        <f>Tabela3[[#This Row],[mlp_train_acc]]</f>
        <v>0.98904363974001852</v>
      </c>
    </row>
    <row r="37" spans="1:36" x14ac:dyDescent="0.25">
      <c r="A37" t="s">
        <v>71</v>
      </c>
      <c r="B37">
        <v>8</v>
      </c>
      <c r="C37">
        <v>3</v>
      </c>
      <c r="D37">
        <v>2</v>
      </c>
      <c r="E37">
        <v>0</v>
      </c>
      <c r="F37" t="s">
        <v>194</v>
      </c>
      <c r="G37">
        <v>90532</v>
      </c>
      <c r="H37">
        <v>90337180.599999994</v>
      </c>
      <c r="I37">
        <v>31.6</v>
      </c>
      <c r="J37">
        <v>0.46908078491687777</v>
      </c>
      <c r="K37">
        <v>0.53777776956558232</v>
      </c>
      <c r="L37">
        <v>0.43911110758781435</v>
      </c>
      <c r="M37">
        <v>0.96444444444444444</v>
      </c>
      <c r="N37">
        <v>0.95777777777777784</v>
      </c>
      <c r="O37">
        <v>0.98997214484679663</v>
      </c>
      <c r="P37">
        <v>46.8</v>
      </c>
      <c r="Q37">
        <v>4590825.2</v>
      </c>
      <c r="R37">
        <v>90220</v>
      </c>
      <c r="S37">
        <v>2</v>
      </c>
      <c r="T37">
        <v>194</v>
      </c>
      <c r="U37">
        <v>0.9662222222222222</v>
      </c>
      <c r="V37">
        <v>0.95925925925925926</v>
      </c>
      <c r="W37">
        <v>0.99405756731662021</v>
      </c>
      <c r="X37">
        <v>54.2</v>
      </c>
      <c r="Y37">
        <v>4495289.8</v>
      </c>
      <c r="Z37">
        <v>91075</v>
      </c>
      <c r="AA37">
        <v>2</v>
      </c>
      <c r="AB37">
        <v>195</v>
      </c>
      <c r="AD37">
        <f>Tabela3[[#This Row],[kan_params]]</f>
        <v>90532</v>
      </c>
      <c r="AE37">
        <f>Tabela3[[#This Row],[kan_train_acc]]</f>
        <v>0.46908078491687777</v>
      </c>
      <c r="AF37">
        <f>Tabela3[[#This Row],[kan_val_acc]]</f>
        <v>0.53777776956558232</v>
      </c>
      <c r="AG37">
        <f>Tabela3[[#This Row],[kan_test_acc]]</f>
        <v>0.43911110758781435</v>
      </c>
      <c r="AH37">
        <f>Tabela3[[#This Row],[mlp_test_acc]]</f>
        <v>0.96444444444444444</v>
      </c>
      <c r="AI37">
        <f>Tabela3[[#This Row],[mlp_val_acc]]</f>
        <v>0.95777777777777784</v>
      </c>
      <c r="AJ37">
        <f>Tabela3[[#This Row],[mlp_train_acc]]</f>
        <v>0.98997214484679663</v>
      </c>
    </row>
    <row r="38" spans="1:36" x14ac:dyDescent="0.25">
      <c r="A38" t="s">
        <v>71</v>
      </c>
      <c r="B38">
        <v>10</v>
      </c>
      <c r="C38">
        <v>3</v>
      </c>
      <c r="D38">
        <v>3</v>
      </c>
      <c r="E38">
        <v>0</v>
      </c>
      <c r="F38" t="s">
        <v>154</v>
      </c>
      <c r="G38">
        <v>92440</v>
      </c>
      <c r="H38">
        <v>80867590</v>
      </c>
      <c r="I38">
        <v>30.6</v>
      </c>
      <c r="J38">
        <v>0.20371402353048323</v>
      </c>
      <c r="K38">
        <v>0.36814814805984497</v>
      </c>
      <c r="L38">
        <v>0.2151111125946045</v>
      </c>
      <c r="M38">
        <v>0.97066666666666668</v>
      </c>
      <c r="N38">
        <v>0.98148148148148151</v>
      </c>
      <c r="O38">
        <v>0.98904363974001852</v>
      </c>
      <c r="P38">
        <v>53.2</v>
      </c>
      <c r="Q38">
        <v>5782771.7999999998</v>
      </c>
      <c r="R38">
        <v>91934</v>
      </c>
      <c r="S38">
        <v>2</v>
      </c>
      <c r="T38">
        <v>196</v>
      </c>
      <c r="U38">
        <v>0.97111111111111115</v>
      </c>
      <c r="V38">
        <v>0.98296296296296293</v>
      </c>
      <c r="W38">
        <v>0.9922005571030641</v>
      </c>
      <c r="X38">
        <v>55</v>
      </c>
      <c r="Y38">
        <v>4552119.4000000004</v>
      </c>
      <c r="Z38">
        <v>92797</v>
      </c>
      <c r="AA38">
        <v>2</v>
      </c>
      <c r="AB38">
        <v>197</v>
      </c>
      <c r="AD38">
        <f>Tabela3[[#This Row],[kan_params]]</f>
        <v>92440</v>
      </c>
      <c r="AE38">
        <f>Tabela3[[#This Row],[kan_train_acc]]</f>
        <v>0.20371402353048323</v>
      </c>
      <c r="AF38">
        <f>Tabela3[[#This Row],[kan_val_acc]]</f>
        <v>0.36814814805984497</v>
      </c>
      <c r="AG38">
        <f>Tabela3[[#This Row],[kan_test_acc]]</f>
        <v>0.2151111125946045</v>
      </c>
      <c r="AH38">
        <f>Tabela3[[#This Row],[mlp_test_acc]]</f>
        <v>0.97066666666666668</v>
      </c>
      <c r="AI38">
        <f>Tabela3[[#This Row],[mlp_val_acc]]</f>
        <v>0.98148148148148151</v>
      </c>
      <c r="AJ38">
        <f>Tabela3[[#This Row],[mlp_train_acc]]</f>
        <v>0.98904363974001852</v>
      </c>
    </row>
    <row r="39" spans="1:36" x14ac:dyDescent="0.25">
      <c r="A39" t="s">
        <v>71</v>
      </c>
      <c r="B39">
        <v>8</v>
      </c>
      <c r="C39">
        <v>3</v>
      </c>
      <c r="D39">
        <v>2</v>
      </c>
      <c r="E39">
        <v>0</v>
      </c>
      <c r="F39" t="s">
        <v>195</v>
      </c>
      <c r="G39">
        <v>92458</v>
      </c>
      <c r="H39">
        <v>174816413</v>
      </c>
      <c r="I39">
        <v>61</v>
      </c>
      <c r="J39">
        <v>0.73184771537780757</v>
      </c>
      <c r="K39">
        <v>0.79037036895751955</v>
      </c>
      <c r="L39">
        <v>0.70266665220260616</v>
      </c>
      <c r="M39">
        <v>0.95955555555555549</v>
      </c>
      <c r="N39">
        <v>0.95925925925925926</v>
      </c>
      <c r="O39">
        <v>0.99071494893221912</v>
      </c>
      <c r="P39">
        <v>47.6</v>
      </c>
      <c r="Q39">
        <v>4692729</v>
      </c>
      <c r="R39">
        <v>91934</v>
      </c>
      <c r="S39">
        <v>2</v>
      </c>
      <c r="T39">
        <v>196</v>
      </c>
      <c r="U39">
        <v>0.96044444444444443</v>
      </c>
      <c r="V39">
        <v>0.95851851851851855</v>
      </c>
      <c r="W39">
        <v>0.99145775301764161</v>
      </c>
      <c r="X39">
        <v>46.6</v>
      </c>
      <c r="Y39">
        <v>4512721</v>
      </c>
      <c r="Z39">
        <v>92797</v>
      </c>
      <c r="AA39">
        <v>2</v>
      </c>
      <c r="AB39">
        <v>197</v>
      </c>
      <c r="AD39">
        <f>Tabela3[[#This Row],[kan_params]]</f>
        <v>92458</v>
      </c>
      <c r="AE39">
        <f>Tabela3[[#This Row],[kan_train_acc]]</f>
        <v>0.73184771537780757</v>
      </c>
      <c r="AF39">
        <f>Tabela3[[#This Row],[kan_val_acc]]</f>
        <v>0.79037036895751955</v>
      </c>
      <c r="AG39">
        <f>Tabela3[[#This Row],[kan_test_acc]]</f>
        <v>0.70266665220260616</v>
      </c>
      <c r="AH39">
        <f>Tabela3[[#This Row],[mlp_test_acc]]</f>
        <v>0.95955555555555549</v>
      </c>
      <c r="AI39">
        <f>Tabela3[[#This Row],[mlp_val_acc]]</f>
        <v>0.95925925925925926</v>
      </c>
      <c r="AJ39">
        <f>Tabela3[[#This Row],[mlp_train_acc]]</f>
        <v>0.99071494893221912</v>
      </c>
    </row>
    <row r="40" spans="1:36" x14ac:dyDescent="0.25">
      <c r="A40" t="s">
        <v>71</v>
      </c>
      <c r="B40">
        <v>8</v>
      </c>
      <c r="C40">
        <v>3</v>
      </c>
      <c r="D40">
        <v>2</v>
      </c>
      <c r="E40">
        <v>0</v>
      </c>
      <c r="F40" t="s">
        <v>158</v>
      </c>
      <c r="G40">
        <v>94384</v>
      </c>
      <c r="H40">
        <v>159922426</v>
      </c>
      <c r="I40">
        <v>55.4</v>
      </c>
      <c r="J40">
        <v>0.70250695943832397</v>
      </c>
      <c r="K40">
        <v>0.76592592000961301</v>
      </c>
      <c r="L40">
        <v>0.67599999904632568</v>
      </c>
      <c r="M40">
        <v>0.96044444444444443</v>
      </c>
      <c r="N40">
        <v>0.95925925925925926</v>
      </c>
      <c r="O40">
        <v>0.99182915506035285</v>
      </c>
      <c r="P40">
        <v>50.4</v>
      </c>
      <c r="Q40">
        <v>4793703.2</v>
      </c>
      <c r="R40">
        <v>93664</v>
      </c>
      <c r="S40">
        <v>2</v>
      </c>
      <c r="T40">
        <v>198</v>
      </c>
      <c r="U40">
        <v>0.95955555555555549</v>
      </c>
      <c r="V40">
        <v>0.95851851851851855</v>
      </c>
      <c r="W40">
        <v>0.99294336118848658</v>
      </c>
      <c r="X40">
        <v>49.2</v>
      </c>
      <c r="Y40">
        <v>3971763.4</v>
      </c>
      <c r="Z40">
        <v>94535</v>
      </c>
      <c r="AA40">
        <v>2</v>
      </c>
      <c r="AB40">
        <v>199</v>
      </c>
      <c r="AD40">
        <f>Tabela3[[#This Row],[kan_params]]</f>
        <v>94384</v>
      </c>
      <c r="AE40">
        <f>Tabela3[[#This Row],[kan_train_acc]]</f>
        <v>0.70250695943832397</v>
      </c>
      <c r="AF40">
        <f>Tabela3[[#This Row],[kan_val_acc]]</f>
        <v>0.76592592000961301</v>
      </c>
      <c r="AG40">
        <f>Tabela3[[#This Row],[kan_test_acc]]</f>
        <v>0.67599999904632568</v>
      </c>
      <c r="AH40">
        <f>Tabela3[[#This Row],[mlp_test_acc]]</f>
        <v>0.96044444444444443</v>
      </c>
      <c r="AI40">
        <f>Tabela3[[#This Row],[mlp_val_acc]]</f>
        <v>0.95925925925925926</v>
      </c>
      <c r="AJ40">
        <f>Tabela3[[#This Row],[mlp_train_acc]]</f>
        <v>0.99182915506035285</v>
      </c>
    </row>
    <row r="41" spans="1:36" x14ac:dyDescent="0.25">
      <c r="A41" t="s">
        <v>71</v>
      </c>
      <c r="B41">
        <v>12</v>
      </c>
      <c r="C41">
        <v>3</v>
      </c>
      <c r="D41">
        <v>4</v>
      </c>
      <c r="E41">
        <v>0</v>
      </c>
      <c r="F41" t="s">
        <v>110</v>
      </c>
      <c r="G41">
        <v>95686</v>
      </c>
      <c r="H41">
        <v>33072289.399999999</v>
      </c>
      <c r="I41">
        <v>12</v>
      </c>
      <c r="J41">
        <v>6.2766946107149127E-2</v>
      </c>
      <c r="K41">
        <v>0.21111111342906952</v>
      </c>
      <c r="L41">
        <v>5.2444444410502909E-2</v>
      </c>
      <c r="M41">
        <v>0.96444444444444444</v>
      </c>
      <c r="N41">
        <v>0.97407407407407409</v>
      </c>
      <c r="O41">
        <v>0.98607242339832868</v>
      </c>
      <c r="P41">
        <v>39</v>
      </c>
      <c r="Q41">
        <v>2584210.4</v>
      </c>
      <c r="R41">
        <v>95410</v>
      </c>
      <c r="S41">
        <v>2</v>
      </c>
      <c r="T41">
        <v>200</v>
      </c>
      <c r="U41">
        <v>0.97555555555555551</v>
      </c>
      <c r="V41">
        <v>0.97037037037037033</v>
      </c>
      <c r="W41">
        <v>0.98978644382544101</v>
      </c>
      <c r="X41">
        <v>49</v>
      </c>
      <c r="Y41">
        <v>4364085.8</v>
      </c>
      <c r="Z41">
        <v>96289</v>
      </c>
      <c r="AA41">
        <v>2</v>
      </c>
      <c r="AB41">
        <v>201</v>
      </c>
      <c r="AD41">
        <f>Tabela3[[#This Row],[kan_params]]</f>
        <v>95686</v>
      </c>
      <c r="AE41">
        <f>Tabela3[[#This Row],[kan_train_acc]]</f>
        <v>6.2766946107149127E-2</v>
      </c>
      <c r="AF41">
        <f>Tabela3[[#This Row],[kan_val_acc]]</f>
        <v>0.21111111342906952</v>
      </c>
      <c r="AG41">
        <f>Tabela3[[#This Row],[kan_test_acc]]</f>
        <v>5.2444444410502909E-2</v>
      </c>
      <c r="AH41">
        <f>Tabela3[[#This Row],[mlp_test_acc]]</f>
        <v>0.96444444444444444</v>
      </c>
      <c r="AI41">
        <f>Tabela3[[#This Row],[mlp_val_acc]]</f>
        <v>0.97407407407407409</v>
      </c>
      <c r="AJ41">
        <f>Tabela3[[#This Row],[mlp_train_acc]]</f>
        <v>0.98607242339832868</v>
      </c>
    </row>
    <row r="42" spans="1:36" x14ac:dyDescent="0.25">
      <c r="A42" t="s">
        <v>71</v>
      </c>
      <c r="B42">
        <v>8</v>
      </c>
      <c r="C42">
        <v>3</v>
      </c>
      <c r="D42">
        <v>2</v>
      </c>
      <c r="E42">
        <v>0</v>
      </c>
      <c r="F42" t="s">
        <v>159</v>
      </c>
      <c r="G42">
        <v>96310</v>
      </c>
      <c r="H42">
        <v>215049001</v>
      </c>
      <c r="I42">
        <v>74.8</v>
      </c>
      <c r="J42">
        <v>0.77474467754364018</v>
      </c>
      <c r="K42">
        <v>0.81999999284744263</v>
      </c>
      <c r="L42">
        <v>0.7453333377838135</v>
      </c>
      <c r="M42">
        <v>0.95955555555555561</v>
      </c>
      <c r="N42">
        <v>0.95407407407407407</v>
      </c>
      <c r="O42">
        <v>0.9905292479108635</v>
      </c>
      <c r="P42">
        <v>44.2</v>
      </c>
      <c r="Q42">
        <v>3464812.4</v>
      </c>
      <c r="R42">
        <v>96289</v>
      </c>
      <c r="S42">
        <v>2</v>
      </c>
      <c r="T42">
        <v>201</v>
      </c>
      <c r="U42">
        <v>0.96488888888888891</v>
      </c>
      <c r="V42">
        <v>0.95925925925925926</v>
      </c>
      <c r="W42">
        <v>0.9922005571030641</v>
      </c>
      <c r="X42">
        <v>48.4</v>
      </c>
      <c r="Y42">
        <v>4752925.8</v>
      </c>
      <c r="Z42">
        <v>97172</v>
      </c>
      <c r="AA42">
        <v>2</v>
      </c>
      <c r="AB42">
        <v>202</v>
      </c>
      <c r="AD42">
        <f>Tabela3[[#This Row],[kan_params]]</f>
        <v>96310</v>
      </c>
      <c r="AE42">
        <f>Tabela3[[#This Row],[kan_train_acc]]</f>
        <v>0.77474467754364018</v>
      </c>
      <c r="AF42">
        <f>Tabela3[[#This Row],[kan_val_acc]]</f>
        <v>0.81999999284744263</v>
      </c>
      <c r="AG42">
        <f>Tabela3[[#This Row],[kan_test_acc]]</f>
        <v>0.7453333377838135</v>
      </c>
      <c r="AH42">
        <f>Tabela3[[#This Row],[mlp_test_acc]]</f>
        <v>0.95955555555555561</v>
      </c>
      <c r="AI42">
        <f>Tabela3[[#This Row],[mlp_val_acc]]</f>
        <v>0.95407407407407407</v>
      </c>
      <c r="AJ42">
        <f>Tabela3[[#This Row],[mlp_train_acc]]</f>
        <v>0.9905292479108635</v>
      </c>
    </row>
    <row r="43" spans="1:36" x14ac:dyDescent="0.25">
      <c r="A43" t="s">
        <v>71</v>
      </c>
      <c r="B43">
        <v>18</v>
      </c>
      <c r="C43">
        <v>9</v>
      </c>
      <c r="D43">
        <v>4</v>
      </c>
      <c r="E43">
        <v>0</v>
      </c>
      <c r="F43" t="s">
        <v>79</v>
      </c>
      <c r="G43">
        <v>98113</v>
      </c>
      <c r="H43">
        <v>76909856.400000006</v>
      </c>
      <c r="I43">
        <v>32.6</v>
      </c>
      <c r="J43">
        <v>0.16768802404403688</v>
      </c>
      <c r="K43">
        <v>0.34518518447875979</v>
      </c>
      <c r="L43">
        <v>0.16177777796983719</v>
      </c>
      <c r="M43">
        <v>0.97066666666666668</v>
      </c>
      <c r="N43">
        <v>0.97555555555555551</v>
      </c>
      <c r="O43">
        <v>0.98681522748375117</v>
      </c>
      <c r="P43">
        <v>48.2</v>
      </c>
      <c r="Q43">
        <v>3955241.4</v>
      </c>
      <c r="R43">
        <v>98059</v>
      </c>
      <c r="S43">
        <v>2</v>
      </c>
      <c r="T43">
        <v>203</v>
      </c>
      <c r="U43">
        <v>0.97155555555555551</v>
      </c>
      <c r="V43">
        <v>0.97333333333333338</v>
      </c>
      <c r="W43">
        <v>0.98532961931290619</v>
      </c>
      <c r="X43">
        <v>43.6</v>
      </c>
      <c r="Y43">
        <v>2642517.6</v>
      </c>
      <c r="Z43">
        <v>98950</v>
      </c>
      <c r="AA43">
        <v>2</v>
      </c>
      <c r="AB43">
        <v>204</v>
      </c>
      <c r="AD43">
        <f>Tabela3[[#This Row],[kan_params]]</f>
        <v>98113</v>
      </c>
      <c r="AE43">
        <f>Tabela3[[#This Row],[kan_train_acc]]</f>
        <v>0.16768802404403688</v>
      </c>
      <c r="AF43">
        <f>Tabela3[[#This Row],[kan_val_acc]]</f>
        <v>0.34518518447875979</v>
      </c>
      <c r="AG43">
        <f>Tabela3[[#This Row],[kan_test_acc]]</f>
        <v>0.16177777796983719</v>
      </c>
      <c r="AH43">
        <f>Tabela3[[#This Row],[mlp_test_acc]]</f>
        <v>0.97066666666666668</v>
      </c>
      <c r="AI43">
        <f>Tabela3[[#This Row],[mlp_val_acc]]</f>
        <v>0.97555555555555551</v>
      </c>
      <c r="AJ43">
        <f>Tabela3[[#This Row],[mlp_train_acc]]</f>
        <v>0.98681522748375117</v>
      </c>
    </row>
    <row r="44" spans="1:36" x14ac:dyDescent="0.25">
      <c r="A44" t="s">
        <v>71</v>
      </c>
      <c r="B44">
        <v>8</v>
      </c>
      <c r="C44">
        <v>3</v>
      </c>
      <c r="D44">
        <v>2</v>
      </c>
      <c r="E44">
        <v>0</v>
      </c>
      <c r="F44" t="s">
        <v>160</v>
      </c>
      <c r="G44">
        <v>98236</v>
      </c>
      <c r="H44">
        <v>155412189</v>
      </c>
      <c r="I44">
        <v>52.6</v>
      </c>
      <c r="J44">
        <v>0.74317549467086796</v>
      </c>
      <c r="K44">
        <v>0.75259259939193723</v>
      </c>
      <c r="L44">
        <v>0.71288887262344358</v>
      </c>
      <c r="M44">
        <v>0.9622222222222222</v>
      </c>
      <c r="N44">
        <v>0.95629629629629631</v>
      </c>
      <c r="O44">
        <v>0.99090064995357474</v>
      </c>
      <c r="P44">
        <v>47.8</v>
      </c>
      <c r="Q44">
        <v>4514924.8</v>
      </c>
      <c r="R44">
        <v>98059</v>
      </c>
      <c r="S44">
        <v>2</v>
      </c>
      <c r="T44">
        <v>203</v>
      </c>
      <c r="U44">
        <v>0.9662222222222222</v>
      </c>
      <c r="V44">
        <v>0.96148148148148149</v>
      </c>
      <c r="W44">
        <v>0.99164345403899723</v>
      </c>
      <c r="X44">
        <v>47.8</v>
      </c>
      <c r="Y44">
        <v>3518622.2</v>
      </c>
      <c r="Z44">
        <v>98950</v>
      </c>
      <c r="AA44">
        <v>2</v>
      </c>
      <c r="AB44">
        <v>204</v>
      </c>
      <c r="AD44">
        <f>Tabela3[[#This Row],[kan_params]]</f>
        <v>98236</v>
      </c>
      <c r="AE44">
        <f>Tabela3[[#This Row],[kan_train_acc]]</f>
        <v>0.74317549467086796</v>
      </c>
      <c r="AF44">
        <f>Tabela3[[#This Row],[kan_val_acc]]</f>
        <v>0.75259259939193723</v>
      </c>
      <c r="AG44">
        <f>Tabela3[[#This Row],[kan_test_acc]]</f>
        <v>0.71288887262344358</v>
      </c>
      <c r="AH44">
        <f>Tabela3[[#This Row],[mlp_test_acc]]</f>
        <v>0.9622222222222222</v>
      </c>
      <c r="AI44">
        <f>Tabela3[[#This Row],[mlp_val_acc]]</f>
        <v>0.95629629629629631</v>
      </c>
      <c r="AJ44">
        <f>Tabela3[[#This Row],[mlp_train_acc]]</f>
        <v>0.99090064995357474</v>
      </c>
    </row>
    <row r="45" spans="1:36" x14ac:dyDescent="0.25">
      <c r="A45" t="s">
        <v>71</v>
      </c>
      <c r="B45">
        <v>10</v>
      </c>
      <c r="C45">
        <v>3</v>
      </c>
      <c r="D45">
        <v>3</v>
      </c>
      <c r="E45">
        <v>0</v>
      </c>
      <c r="F45" t="s">
        <v>155</v>
      </c>
      <c r="G45">
        <v>98365</v>
      </c>
      <c r="H45">
        <v>65722977</v>
      </c>
      <c r="I45">
        <v>26.2</v>
      </c>
      <c r="J45">
        <v>0.23175487220287322</v>
      </c>
      <c r="K45">
        <v>0.36370369791984558</v>
      </c>
      <c r="L45">
        <v>0.22266666889190673</v>
      </c>
      <c r="M45">
        <v>0.9622222222222222</v>
      </c>
      <c r="N45">
        <v>0.97629629629629633</v>
      </c>
      <c r="O45">
        <v>0.99164345403899723</v>
      </c>
      <c r="P45">
        <v>56.6</v>
      </c>
      <c r="Q45">
        <v>4356266.2</v>
      </c>
      <c r="R45">
        <v>98059</v>
      </c>
      <c r="S45">
        <v>2</v>
      </c>
      <c r="T45">
        <v>203</v>
      </c>
      <c r="U45">
        <v>0.96</v>
      </c>
      <c r="V45">
        <v>0.97333333333333327</v>
      </c>
      <c r="W45">
        <v>0.9896007428040855</v>
      </c>
      <c r="X45">
        <v>51</v>
      </c>
      <c r="Y45">
        <v>3151213.8</v>
      </c>
      <c r="Z45">
        <v>98950</v>
      </c>
      <c r="AA45">
        <v>2</v>
      </c>
      <c r="AB45">
        <v>204</v>
      </c>
      <c r="AD45">
        <f>Tabela3[[#This Row],[kan_params]]</f>
        <v>98365</v>
      </c>
      <c r="AE45">
        <f>Tabela3[[#This Row],[kan_train_acc]]</f>
        <v>0.23175487220287322</v>
      </c>
      <c r="AF45">
        <f>Tabela3[[#This Row],[kan_val_acc]]</f>
        <v>0.36370369791984558</v>
      </c>
      <c r="AG45">
        <f>Tabela3[[#This Row],[kan_test_acc]]</f>
        <v>0.22266666889190673</v>
      </c>
      <c r="AH45">
        <f>Tabela3[[#This Row],[mlp_test_acc]]</f>
        <v>0.9622222222222222</v>
      </c>
      <c r="AI45">
        <f>Tabela3[[#This Row],[mlp_val_acc]]</f>
        <v>0.97629629629629633</v>
      </c>
      <c r="AJ45">
        <f>Tabela3[[#This Row],[mlp_train_acc]]</f>
        <v>0.99164345403899723</v>
      </c>
    </row>
    <row r="46" spans="1:36" x14ac:dyDescent="0.25">
      <c r="A46" t="s">
        <v>71</v>
      </c>
      <c r="B46">
        <v>8</v>
      </c>
      <c r="C46">
        <v>3</v>
      </c>
      <c r="D46">
        <v>2</v>
      </c>
      <c r="E46">
        <v>0</v>
      </c>
      <c r="F46" t="s">
        <v>161</v>
      </c>
      <c r="G46">
        <v>100162</v>
      </c>
      <c r="H46">
        <v>144754922</v>
      </c>
      <c r="I46">
        <v>49.2</v>
      </c>
      <c r="J46">
        <v>0.72869081497192378</v>
      </c>
      <c r="K46">
        <v>0.71407407522201538</v>
      </c>
      <c r="L46">
        <v>0.71377778053283691</v>
      </c>
      <c r="M46">
        <v>0.96666666666666667</v>
      </c>
      <c r="N46">
        <v>0.96074074074074078</v>
      </c>
      <c r="O46">
        <v>0.99368616527390907</v>
      </c>
      <c r="P46">
        <v>52</v>
      </c>
      <c r="Q46">
        <v>5446737</v>
      </c>
      <c r="R46">
        <v>99845</v>
      </c>
      <c r="S46">
        <v>2</v>
      </c>
      <c r="T46">
        <v>205</v>
      </c>
      <c r="U46">
        <v>0.96266666666666667</v>
      </c>
      <c r="V46">
        <v>0.9555555555555556</v>
      </c>
      <c r="W46">
        <v>0.99108635097493036</v>
      </c>
      <c r="X46">
        <v>45.4</v>
      </c>
      <c r="Y46">
        <v>3476353.2</v>
      </c>
      <c r="Z46">
        <v>100744</v>
      </c>
      <c r="AA46">
        <v>2</v>
      </c>
      <c r="AB46">
        <v>206</v>
      </c>
      <c r="AD46">
        <f>Tabela3[[#This Row],[kan_params]]</f>
        <v>100162</v>
      </c>
      <c r="AE46">
        <f>Tabela3[[#This Row],[kan_train_acc]]</f>
        <v>0.72869081497192378</v>
      </c>
      <c r="AF46">
        <f>Tabela3[[#This Row],[kan_val_acc]]</f>
        <v>0.71407407522201538</v>
      </c>
      <c r="AG46">
        <f>Tabela3[[#This Row],[kan_test_acc]]</f>
        <v>0.71377778053283691</v>
      </c>
      <c r="AH46">
        <f>Tabela3[[#This Row],[mlp_test_acc]]</f>
        <v>0.96666666666666667</v>
      </c>
      <c r="AI46">
        <f>Tabela3[[#This Row],[mlp_val_acc]]</f>
        <v>0.96074074074074078</v>
      </c>
      <c r="AJ46">
        <f>Tabela3[[#This Row],[mlp_train_acc]]</f>
        <v>0.99368616527390907</v>
      </c>
    </row>
    <row r="47" spans="1:36" x14ac:dyDescent="0.25">
      <c r="A47" t="s">
        <v>71</v>
      </c>
      <c r="B47">
        <v>8</v>
      </c>
      <c r="C47">
        <v>3</v>
      </c>
      <c r="D47">
        <v>2</v>
      </c>
      <c r="E47">
        <v>0</v>
      </c>
      <c r="F47" t="s">
        <v>162</v>
      </c>
      <c r="G47">
        <v>102088</v>
      </c>
      <c r="H47">
        <v>174573420.59999999</v>
      </c>
      <c r="I47">
        <v>57.6</v>
      </c>
      <c r="J47">
        <v>0.73184772729873659</v>
      </c>
      <c r="K47">
        <v>0.74592591524124141</v>
      </c>
      <c r="L47">
        <v>0.71022222042083738</v>
      </c>
      <c r="M47">
        <v>0.9635555555555555</v>
      </c>
      <c r="N47">
        <v>0.96</v>
      </c>
      <c r="O47">
        <v>0.99238625812441972</v>
      </c>
      <c r="P47">
        <v>49</v>
      </c>
      <c r="Q47">
        <v>6830510.2000000002</v>
      </c>
      <c r="R47">
        <v>101647</v>
      </c>
      <c r="S47">
        <v>2</v>
      </c>
      <c r="T47">
        <v>207</v>
      </c>
      <c r="U47">
        <v>0.96444444444444444</v>
      </c>
      <c r="V47">
        <v>0.96074074074074078</v>
      </c>
      <c r="W47">
        <v>0.99164345403899723</v>
      </c>
      <c r="X47">
        <v>49.8</v>
      </c>
      <c r="Y47">
        <v>4821473.2</v>
      </c>
      <c r="Z47">
        <v>102554</v>
      </c>
      <c r="AA47">
        <v>2</v>
      </c>
      <c r="AB47">
        <v>208</v>
      </c>
      <c r="AD47">
        <f>Tabela3[[#This Row],[kan_params]]</f>
        <v>102088</v>
      </c>
      <c r="AE47">
        <f>Tabela3[[#This Row],[kan_train_acc]]</f>
        <v>0.73184772729873659</v>
      </c>
      <c r="AF47">
        <f>Tabela3[[#This Row],[kan_val_acc]]</f>
        <v>0.74592591524124141</v>
      </c>
      <c r="AG47">
        <f>Tabela3[[#This Row],[kan_test_acc]]</f>
        <v>0.71022222042083738</v>
      </c>
      <c r="AH47">
        <f>Tabela3[[#This Row],[mlp_test_acc]]</f>
        <v>0.9635555555555555</v>
      </c>
      <c r="AI47">
        <f>Tabela3[[#This Row],[mlp_val_acc]]</f>
        <v>0.96</v>
      </c>
      <c r="AJ47">
        <f>Tabela3[[#This Row],[mlp_train_acc]]</f>
        <v>0.99238625812441972</v>
      </c>
    </row>
    <row r="48" spans="1:36" x14ac:dyDescent="0.25">
      <c r="A48" t="s">
        <v>71</v>
      </c>
      <c r="B48">
        <v>12</v>
      </c>
      <c r="C48">
        <v>3</v>
      </c>
      <c r="D48">
        <v>4</v>
      </c>
      <c r="E48">
        <v>0</v>
      </c>
      <c r="F48" t="s">
        <v>153</v>
      </c>
      <c r="G48">
        <v>102721</v>
      </c>
      <c r="H48">
        <v>43632810.200000003</v>
      </c>
      <c r="I48">
        <v>14</v>
      </c>
      <c r="J48">
        <v>0.10194986164569855</v>
      </c>
      <c r="K48">
        <v>0.25333333015441895</v>
      </c>
      <c r="L48">
        <v>0.1173333317041397</v>
      </c>
      <c r="M48">
        <v>0.97111111111111115</v>
      </c>
      <c r="N48">
        <v>0.97777777777777775</v>
      </c>
      <c r="O48">
        <v>0.9879294336118849</v>
      </c>
      <c r="P48">
        <v>38</v>
      </c>
      <c r="Q48">
        <v>3014308</v>
      </c>
      <c r="R48">
        <v>102554</v>
      </c>
      <c r="S48">
        <v>2</v>
      </c>
      <c r="T48">
        <v>208</v>
      </c>
      <c r="U48">
        <v>0.96888888888888891</v>
      </c>
      <c r="V48">
        <v>0.98148148148148151</v>
      </c>
      <c r="W48">
        <v>0.99257195914577534</v>
      </c>
      <c r="X48">
        <v>47</v>
      </c>
      <c r="Y48">
        <v>4070022.8</v>
      </c>
      <c r="Z48">
        <v>103465</v>
      </c>
      <c r="AA48">
        <v>2</v>
      </c>
      <c r="AB48">
        <v>209</v>
      </c>
      <c r="AD48">
        <f>Tabela3[[#This Row],[kan_params]]</f>
        <v>102721</v>
      </c>
      <c r="AE48">
        <f>Tabela3[[#This Row],[kan_train_acc]]</f>
        <v>0.10194986164569855</v>
      </c>
      <c r="AF48">
        <f>Tabela3[[#This Row],[kan_val_acc]]</f>
        <v>0.25333333015441895</v>
      </c>
      <c r="AG48">
        <f>Tabela3[[#This Row],[kan_test_acc]]</f>
        <v>0.1173333317041397</v>
      </c>
      <c r="AH48">
        <f>Tabela3[[#This Row],[mlp_test_acc]]</f>
        <v>0.97111111111111115</v>
      </c>
      <c r="AI48">
        <f>Tabela3[[#This Row],[mlp_val_acc]]</f>
        <v>0.97777777777777775</v>
      </c>
      <c r="AJ48">
        <f>Tabela3[[#This Row],[mlp_train_acc]]</f>
        <v>0.9879294336118849</v>
      </c>
    </row>
    <row r="49" spans="1:36" x14ac:dyDescent="0.25">
      <c r="A49" t="s">
        <v>71</v>
      </c>
      <c r="B49">
        <v>8</v>
      </c>
      <c r="C49">
        <v>3</v>
      </c>
      <c r="D49">
        <v>2</v>
      </c>
      <c r="E49">
        <v>0</v>
      </c>
      <c r="F49" t="s">
        <v>73</v>
      </c>
      <c r="G49">
        <v>104014</v>
      </c>
      <c r="H49">
        <v>157078550.40000001</v>
      </c>
      <c r="I49">
        <v>50.6</v>
      </c>
      <c r="J49">
        <v>0.71420613527297971</v>
      </c>
      <c r="K49">
        <v>0.75111110210418697</v>
      </c>
      <c r="L49">
        <v>0.6999999940395355</v>
      </c>
      <c r="M49">
        <v>0.9662222222222222</v>
      </c>
      <c r="N49">
        <v>0.95777777777777784</v>
      </c>
      <c r="O49">
        <v>0.99145775301764161</v>
      </c>
      <c r="P49">
        <v>47.2</v>
      </c>
      <c r="Q49">
        <v>5708128.4000000004</v>
      </c>
      <c r="R49">
        <v>103465</v>
      </c>
      <c r="S49">
        <v>2</v>
      </c>
      <c r="T49">
        <v>209</v>
      </c>
      <c r="U49">
        <v>0.95777777777777784</v>
      </c>
      <c r="V49">
        <v>0.95703703703703702</v>
      </c>
      <c r="W49">
        <v>0.98997214484679663</v>
      </c>
      <c r="X49">
        <v>41.6</v>
      </c>
      <c r="Y49">
        <v>4091370.4</v>
      </c>
      <c r="Z49">
        <v>104380</v>
      </c>
      <c r="AA49">
        <v>2</v>
      </c>
      <c r="AB49">
        <v>210</v>
      </c>
      <c r="AD49">
        <f>Tabela3[[#This Row],[kan_params]]</f>
        <v>104014</v>
      </c>
      <c r="AE49">
        <f>Tabela3[[#This Row],[kan_train_acc]]</f>
        <v>0.71420613527297971</v>
      </c>
      <c r="AF49">
        <f>Tabela3[[#This Row],[kan_val_acc]]</f>
        <v>0.75111110210418697</v>
      </c>
      <c r="AG49">
        <f>Tabela3[[#This Row],[kan_test_acc]]</f>
        <v>0.6999999940395355</v>
      </c>
      <c r="AH49">
        <f>Tabela3[[#This Row],[mlp_test_acc]]</f>
        <v>0.9662222222222222</v>
      </c>
      <c r="AI49">
        <f>Tabela3[[#This Row],[mlp_val_acc]]</f>
        <v>0.95777777777777784</v>
      </c>
      <c r="AJ49">
        <f>Tabela3[[#This Row],[mlp_train_acc]]</f>
        <v>0.99145775301764161</v>
      </c>
    </row>
    <row r="50" spans="1:36" x14ac:dyDescent="0.25">
      <c r="A50" t="s">
        <v>71</v>
      </c>
      <c r="B50">
        <v>10</v>
      </c>
      <c r="C50">
        <v>3</v>
      </c>
      <c r="D50">
        <v>3</v>
      </c>
      <c r="E50">
        <v>0</v>
      </c>
      <c r="F50" t="s">
        <v>156</v>
      </c>
      <c r="G50">
        <v>104290</v>
      </c>
      <c r="H50">
        <v>82999937</v>
      </c>
      <c r="I50">
        <v>31</v>
      </c>
      <c r="J50">
        <v>0.26610955893993377</v>
      </c>
      <c r="K50">
        <v>0.36444444656372071</v>
      </c>
      <c r="L50">
        <v>0.26800000220537185</v>
      </c>
      <c r="M50">
        <v>0.96044444444444443</v>
      </c>
      <c r="N50">
        <v>0.97407407407407409</v>
      </c>
      <c r="O50">
        <v>0.98941504178272988</v>
      </c>
      <c r="P50">
        <v>51.8</v>
      </c>
      <c r="Q50">
        <v>3304483.2</v>
      </c>
      <c r="R50">
        <v>103465</v>
      </c>
      <c r="S50">
        <v>2</v>
      </c>
      <c r="T50">
        <v>209</v>
      </c>
      <c r="U50">
        <v>0.96133333333333337</v>
      </c>
      <c r="V50">
        <v>0.9748148148148148</v>
      </c>
      <c r="W50">
        <v>0.98960074280408539</v>
      </c>
      <c r="X50">
        <v>50</v>
      </c>
      <c r="Y50">
        <v>4478218.5999999996</v>
      </c>
      <c r="Z50">
        <v>104380</v>
      </c>
      <c r="AA50">
        <v>2</v>
      </c>
      <c r="AB50">
        <v>210</v>
      </c>
      <c r="AD50">
        <f>Tabela3[[#This Row],[kan_params]]</f>
        <v>104290</v>
      </c>
      <c r="AE50">
        <f>Tabela3[[#This Row],[kan_train_acc]]</f>
        <v>0.26610955893993377</v>
      </c>
      <c r="AF50">
        <f>Tabela3[[#This Row],[kan_val_acc]]</f>
        <v>0.36444444656372071</v>
      </c>
      <c r="AG50">
        <f>Tabela3[[#This Row],[kan_test_acc]]</f>
        <v>0.26800000220537185</v>
      </c>
      <c r="AH50">
        <f>Tabela3[[#This Row],[mlp_test_acc]]</f>
        <v>0.96044444444444443</v>
      </c>
      <c r="AI50">
        <f>Tabela3[[#This Row],[mlp_val_acc]]</f>
        <v>0.97407407407407409</v>
      </c>
      <c r="AJ50">
        <f>Tabela3[[#This Row],[mlp_train_acc]]</f>
        <v>0.98941504178272988</v>
      </c>
    </row>
    <row r="51" spans="1:36" x14ac:dyDescent="0.25">
      <c r="A51" t="s">
        <v>71</v>
      </c>
      <c r="B51">
        <v>8</v>
      </c>
      <c r="C51">
        <v>3</v>
      </c>
      <c r="D51">
        <v>2</v>
      </c>
      <c r="E51">
        <v>0</v>
      </c>
      <c r="F51" t="s">
        <v>163</v>
      </c>
      <c r="G51">
        <v>105940</v>
      </c>
      <c r="H51">
        <v>151701271.19999999</v>
      </c>
      <c r="I51">
        <v>46.8</v>
      </c>
      <c r="J51">
        <v>0.65571030378341677</v>
      </c>
      <c r="K51">
        <v>0.71333332061767574</v>
      </c>
      <c r="L51">
        <v>0.62755556106567378</v>
      </c>
      <c r="M51">
        <v>0.9635555555555555</v>
      </c>
      <c r="N51">
        <v>0.95777777777777773</v>
      </c>
      <c r="O51">
        <v>0.99108635097493036</v>
      </c>
      <c r="P51">
        <v>43.4</v>
      </c>
      <c r="Q51">
        <v>4112089.6</v>
      </c>
      <c r="R51">
        <v>105299</v>
      </c>
      <c r="S51">
        <v>2</v>
      </c>
      <c r="T51">
        <v>211</v>
      </c>
      <c r="U51">
        <v>0.96044444444444443</v>
      </c>
      <c r="V51">
        <v>0.96148148148148149</v>
      </c>
      <c r="W51">
        <v>0.99108635097493036</v>
      </c>
      <c r="X51">
        <v>45</v>
      </c>
      <c r="Y51">
        <v>3743010.4</v>
      </c>
      <c r="Z51">
        <v>106222</v>
      </c>
      <c r="AA51">
        <v>2</v>
      </c>
      <c r="AB51">
        <v>212</v>
      </c>
      <c r="AD51">
        <f>Tabela3[[#This Row],[kan_params]]</f>
        <v>105940</v>
      </c>
      <c r="AE51">
        <f>Tabela3[[#This Row],[kan_train_acc]]</f>
        <v>0.65571030378341677</v>
      </c>
      <c r="AF51">
        <f>Tabela3[[#This Row],[kan_val_acc]]</f>
        <v>0.71333332061767574</v>
      </c>
      <c r="AG51">
        <f>Tabela3[[#This Row],[kan_test_acc]]</f>
        <v>0.62755556106567378</v>
      </c>
      <c r="AH51">
        <f>Tabela3[[#This Row],[mlp_test_acc]]</f>
        <v>0.9635555555555555</v>
      </c>
      <c r="AI51">
        <f>Tabela3[[#This Row],[mlp_val_acc]]</f>
        <v>0.95777777777777773</v>
      </c>
      <c r="AJ51">
        <f>Tabela3[[#This Row],[mlp_train_acc]]</f>
        <v>0.99108635097493036</v>
      </c>
    </row>
    <row r="52" spans="1:36" x14ac:dyDescent="0.25">
      <c r="A52" t="s">
        <v>71</v>
      </c>
      <c r="B52">
        <v>18</v>
      </c>
      <c r="C52">
        <v>9</v>
      </c>
      <c r="D52">
        <v>4</v>
      </c>
      <c r="E52">
        <v>0</v>
      </c>
      <c r="F52" t="s">
        <v>80</v>
      </c>
      <c r="G52">
        <v>107368</v>
      </c>
      <c r="H52">
        <v>68449413.799999997</v>
      </c>
      <c r="I52">
        <v>26.8</v>
      </c>
      <c r="J52">
        <v>0.17567316591739654</v>
      </c>
      <c r="K52">
        <v>0.2977777808904648</v>
      </c>
      <c r="L52">
        <v>0.16177777796983719</v>
      </c>
      <c r="M52">
        <v>0.96888888888888891</v>
      </c>
      <c r="N52">
        <v>0.97259259259259256</v>
      </c>
      <c r="O52">
        <v>0.9879294336118849</v>
      </c>
      <c r="P52">
        <v>46.4</v>
      </c>
      <c r="Q52">
        <v>3893750.2</v>
      </c>
      <c r="R52">
        <v>107149</v>
      </c>
      <c r="S52">
        <v>2</v>
      </c>
      <c r="T52">
        <v>213</v>
      </c>
      <c r="U52">
        <v>0.97066666666666668</v>
      </c>
      <c r="V52">
        <v>0.97185185185185186</v>
      </c>
      <c r="W52">
        <v>0.98811513463324052</v>
      </c>
      <c r="X52">
        <v>46.2</v>
      </c>
      <c r="Y52">
        <v>3078215.6</v>
      </c>
      <c r="Z52">
        <v>108080</v>
      </c>
      <c r="AA52">
        <v>2</v>
      </c>
      <c r="AB52">
        <v>214</v>
      </c>
      <c r="AD52">
        <f>Tabela3[[#This Row],[kan_params]]</f>
        <v>107368</v>
      </c>
      <c r="AE52">
        <f>Tabela3[[#This Row],[kan_train_acc]]</f>
        <v>0.17567316591739654</v>
      </c>
      <c r="AF52">
        <f>Tabela3[[#This Row],[kan_val_acc]]</f>
        <v>0.2977777808904648</v>
      </c>
      <c r="AG52">
        <f>Tabela3[[#This Row],[kan_test_acc]]</f>
        <v>0.16177777796983719</v>
      </c>
      <c r="AH52">
        <f>Tabela3[[#This Row],[mlp_test_acc]]</f>
        <v>0.96888888888888891</v>
      </c>
      <c r="AI52">
        <f>Tabela3[[#This Row],[mlp_val_acc]]</f>
        <v>0.97259259259259256</v>
      </c>
      <c r="AJ52">
        <f>Tabela3[[#This Row],[mlp_train_acc]]</f>
        <v>0.9879294336118849</v>
      </c>
    </row>
    <row r="53" spans="1:36" x14ac:dyDescent="0.25">
      <c r="A53" t="s">
        <v>71</v>
      </c>
      <c r="B53">
        <v>8</v>
      </c>
      <c r="C53">
        <v>3</v>
      </c>
      <c r="D53">
        <v>2</v>
      </c>
      <c r="E53">
        <v>0</v>
      </c>
      <c r="F53" t="s">
        <v>164</v>
      </c>
      <c r="G53">
        <v>107866</v>
      </c>
      <c r="H53">
        <v>206607660.59999999</v>
      </c>
      <c r="I53">
        <v>64.2</v>
      </c>
      <c r="J53">
        <v>0.79108636379241948</v>
      </c>
      <c r="K53">
        <v>0.8051851868629456</v>
      </c>
      <c r="L53">
        <v>0.75955556631088261</v>
      </c>
      <c r="M53">
        <v>0.9662222222222222</v>
      </c>
      <c r="N53">
        <v>0.96444444444444444</v>
      </c>
      <c r="O53">
        <v>0.99442896935933145</v>
      </c>
      <c r="P53">
        <v>53.2</v>
      </c>
      <c r="Q53">
        <v>4510936</v>
      </c>
      <c r="R53">
        <v>107149</v>
      </c>
      <c r="S53">
        <v>2</v>
      </c>
      <c r="T53">
        <v>213</v>
      </c>
      <c r="U53">
        <v>0.9622222222222222</v>
      </c>
      <c r="V53">
        <v>0.95925925925925926</v>
      </c>
      <c r="W53">
        <v>0.99090064995357474</v>
      </c>
      <c r="X53">
        <v>46.2</v>
      </c>
      <c r="Y53">
        <v>5464890.4000000004</v>
      </c>
      <c r="Z53">
        <v>108080</v>
      </c>
      <c r="AA53">
        <v>2</v>
      </c>
      <c r="AB53">
        <v>214</v>
      </c>
      <c r="AD53">
        <f>Tabela3[[#This Row],[kan_params]]</f>
        <v>107866</v>
      </c>
      <c r="AE53">
        <f>Tabela3[[#This Row],[kan_train_acc]]</f>
        <v>0.79108636379241948</v>
      </c>
      <c r="AF53">
        <f>Tabela3[[#This Row],[kan_val_acc]]</f>
        <v>0.8051851868629456</v>
      </c>
      <c r="AG53">
        <f>Tabela3[[#This Row],[kan_test_acc]]</f>
        <v>0.75955556631088261</v>
      </c>
      <c r="AH53">
        <f>Tabela3[[#This Row],[mlp_test_acc]]</f>
        <v>0.9662222222222222</v>
      </c>
      <c r="AI53">
        <f>Tabela3[[#This Row],[mlp_val_acc]]</f>
        <v>0.96444444444444444</v>
      </c>
      <c r="AJ53">
        <f>Tabela3[[#This Row],[mlp_train_acc]]</f>
        <v>0.99442896935933145</v>
      </c>
    </row>
    <row r="54" spans="1:36" x14ac:dyDescent="0.25">
      <c r="A54" t="s">
        <v>71</v>
      </c>
      <c r="B54">
        <v>12</v>
      </c>
      <c r="C54">
        <v>3</v>
      </c>
      <c r="D54">
        <v>4</v>
      </c>
      <c r="E54">
        <v>0</v>
      </c>
      <c r="F54" t="s">
        <v>154</v>
      </c>
      <c r="G54">
        <v>109756</v>
      </c>
      <c r="H54">
        <v>48641166.600000001</v>
      </c>
      <c r="I54">
        <v>16</v>
      </c>
      <c r="J54">
        <v>0.10436397455632687</v>
      </c>
      <c r="K54">
        <v>0.28148148059844968</v>
      </c>
      <c r="L54">
        <v>9.9111112020909789E-2</v>
      </c>
      <c r="M54">
        <v>0.97111111111111115</v>
      </c>
      <c r="N54">
        <v>0.98148148148148151</v>
      </c>
      <c r="O54">
        <v>0.99071494893221912</v>
      </c>
      <c r="P54">
        <v>50</v>
      </c>
      <c r="Q54">
        <v>5251894</v>
      </c>
      <c r="R54">
        <v>109015</v>
      </c>
      <c r="S54">
        <v>2</v>
      </c>
      <c r="T54">
        <v>215</v>
      </c>
      <c r="U54">
        <v>0.97333333333333338</v>
      </c>
      <c r="V54">
        <v>0.97037037037037033</v>
      </c>
      <c r="W54">
        <v>0.98700092850510679</v>
      </c>
      <c r="X54">
        <v>39</v>
      </c>
      <c r="Y54">
        <v>4625401.5999999996</v>
      </c>
      <c r="Z54">
        <v>109954</v>
      </c>
      <c r="AA54">
        <v>2</v>
      </c>
      <c r="AB54">
        <v>216</v>
      </c>
      <c r="AD54">
        <f>Tabela3[[#This Row],[kan_params]]</f>
        <v>109756</v>
      </c>
      <c r="AE54">
        <f>Tabela3[[#This Row],[kan_train_acc]]</f>
        <v>0.10436397455632687</v>
      </c>
      <c r="AF54">
        <f>Tabela3[[#This Row],[kan_val_acc]]</f>
        <v>0.28148148059844968</v>
      </c>
      <c r="AG54">
        <f>Tabela3[[#This Row],[kan_test_acc]]</f>
        <v>9.9111112020909789E-2</v>
      </c>
      <c r="AH54">
        <f>Tabela3[[#This Row],[mlp_test_acc]]</f>
        <v>0.97111111111111115</v>
      </c>
      <c r="AI54">
        <f>Tabela3[[#This Row],[mlp_val_acc]]</f>
        <v>0.98148148148148151</v>
      </c>
      <c r="AJ54">
        <f>Tabela3[[#This Row],[mlp_train_acc]]</f>
        <v>0.99071494893221912</v>
      </c>
    </row>
    <row r="55" spans="1:36" x14ac:dyDescent="0.25">
      <c r="A55" t="s">
        <v>71</v>
      </c>
      <c r="B55">
        <v>8</v>
      </c>
      <c r="C55">
        <v>3</v>
      </c>
      <c r="D55">
        <v>2</v>
      </c>
      <c r="E55">
        <v>0</v>
      </c>
      <c r="F55" t="s">
        <v>165</v>
      </c>
      <c r="G55">
        <v>109792</v>
      </c>
      <c r="H55">
        <v>137530298.19999999</v>
      </c>
      <c r="I55">
        <v>40.6</v>
      </c>
      <c r="J55">
        <v>0.63175488114356992</v>
      </c>
      <c r="K55">
        <v>0.68370370864868169</v>
      </c>
      <c r="L55">
        <v>0.60888888239860539</v>
      </c>
      <c r="M55">
        <v>0.95466666666666666</v>
      </c>
      <c r="N55">
        <v>0.95703703703703702</v>
      </c>
      <c r="O55">
        <v>0.99127205199628599</v>
      </c>
      <c r="P55">
        <v>43.2</v>
      </c>
      <c r="Q55">
        <v>4836768.4000000004</v>
      </c>
      <c r="R55">
        <v>109015</v>
      </c>
      <c r="S55">
        <v>2</v>
      </c>
      <c r="T55">
        <v>215</v>
      </c>
      <c r="U55">
        <v>0.96133333333333337</v>
      </c>
      <c r="V55">
        <v>0.95777777777777773</v>
      </c>
      <c r="W55">
        <v>0.99127205199628599</v>
      </c>
      <c r="X55">
        <v>44.8</v>
      </c>
      <c r="Y55">
        <v>4762198.2</v>
      </c>
      <c r="Z55">
        <v>109954</v>
      </c>
      <c r="AA55">
        <v>2</v>
      </c>
      <c r="AB55">
        <v>216</v>
      </c>
      <c r="AD55">
        <f>Tabela3[[#This Row],[kan_params]]</f>
        <v>109792</v>
      </c>
      <c r="AE55">
        <f>Tabela3[[#This Row],[kan_train_acc]]</f>
        <v>0.63175488114356992</v>
      </c>
      <c r="AF55">
        <f>Tabela3[[#This Row],[kan_val_acc]]</f>
        <v>0.68370370864868169</v>
      </c>
      <c r="AG55">
        <f>Tabela3[[#This Row],[kan_test_acc]]</f>
        <v>0.60888888239860539</v>
      </c>
      <c r="AH55">
        <f>Tabela3[[#This Row],[mlp_test_acc]]</f>
        <v>0.95466666666666666</v>
      </c>
      <c r="AI55">
        <f>Tabela3[[#This Row],[mlp_val_acc]]</f>
        <v>0.95703703703703702</v>
      </c>
      <c r="AJ55">
        <f>Tabela3[[#This Row],[mlp_train_acc]]</f>
        <v>0.99127205199628599</v>
      </c>
    </row>
    <row r="56" spans="1:36" x14ac:dyDescent="0.25">
      <c r="A56" t="s">
        <v>71</v>
      </c>
      <c r="B56">
        <v>10</v>
      </c>
      <c r="C56">
        <v>3</v>
      </c>
      <c r="D56">
        <v>3</v>
      </c>
      <c r="E56">
        <v>0</v>
      </c>
      <c r="F56" t="s">
        <v>157</v>
      </c>
      <c r="G56">
        <v>110215</v>
      </c>
      <c r="H56">
        <v>66416812</v>
      </c>
      <c r="I56">
        <v>22.8</v>
      </c>
      <c r="J56">
        <v>0.17418755292892457</v>
      </c>
      <c r="K56">
        <v>0.28814814984798431</v>
      </c>
      <c r="L56">
        <v>0.19199999868869783</v>
      </c>
      <c r="M56">
        <v>0.95866666666666667</v>
      </c>
      <c r="N56">
        <v>0.97703703703703704</v>
      </c>
      <c r="O56">
        <v>0.99145775301764161</v>
      </c>
      <c r="P56">
        <v>53.2</v>
      </c>
      <c r="Q56">
        <v>4625583.2</v>
      </c>
      <c r="R56">
        <v>109954</v>
      </c>
      <c r="S56">
        <v>2</v>
      </c>
      <c r="T56">
        <v>216</v>
      </c>
      <c r="U56">
        <v>0.96533333333333338</v>
      </c>
      <c r="V56">
        <v>0.97407407407407409</v>
      </c>
      <c r="W56">
        <v>0.99331476323119783</v>
      </c>
      <c r="X56">
        <v>56.2</v>
      </c>
      <c r="Y56">
        <v>4464348</v>
      </c>
      <c r="Z56">
        <v>110897</v>
      </c>
      <c r="AA56">
        <v>2</v>
      </c>
      <c r="AB56">
        <v>217</v>
      </c>
      <c r="AD56">
        <f>Tabela3[[#This Row],[kan_params]]</f>
        <v>110215</v>
      </c>
      <c r="AE56">
        <f>Tabela3[[#This Row],[kan_train_acc]]</f>
        <v>0.17418755292892457</v>
      </c>
      <c r="AF56">
        <f>Tabela3[[#This Row],[kan_val_acc]]</f>
        <v>0.28814814984798431</v>
      </c>
      <c r="AG56">
        <f>Tabela3[[#This Row],[kan_test_acc]]</f>
        <v>0.19199999868869783</v>
      </c>
      <c r="AH56">
        <f>Tabela3[[#This Row],[mlp_test_acc]]</f>
        <v>0.95866666666666667</v>
      </c>
      <c r="AI56">
        <f>Tabela3[[#This Row],[mlp_val_acc]]</f>
        <v>0.97703703703703704</v>
      </c>
      <c r="AJ56">
        <f>Tabela3[[#This Row],[mlp_train_acc]]</f>
        <v>0.99145775301764161</v>
      </c>
    </row>
    <row r="57" spans="1:36" x14ac:dyDescent="0.25">
      <c r="A57" t="s">
        <v>71</v>
      </c>
      <c r="B57">
        <v>8</v>
      </c>
      <c r="C57">
        <v>3</v>
      </c>
      <c r="D57">
        <v>2</v>
      </c>
      <c r="E57">
        <v>0</v>
      </c>
      <c r="F57" t="s">
        <v>166</v>
      </c>
      <c r="G57">
        <v>111718</v>
      </c>
      <c r="H57">
        <v>214935546.80000001</v>
      </c>
      <c r="I57">
        <v>64.599999999999994</v>
      </c>
      <c r="J57">
        <v>0.79034353494644161</v>
      </c>
      <c r="K57">
        <v>0.79777777194976807</v>
      </c>
      <c r="L57">
        <v>0.76133332252502439</v>
      </c>
      <c r="M57">
        <v>0.96355555555555561</v>
      </c>
      <c r="N57">
        <v>0.95851851851851855</v>
      </c>
      <c r="O57">
        <v>0.99182915506035285</v>
      </c>
      <c r="P57">
        <v>47.2</v>
      </c>
      <c r="Q57">
        <v>5681019</v>
      </c>
      <c r="R57">
        <v>110897</v>
      </c>
      <c r="S57">
        <v>2</v>
      </c>
      <c r="T57">
        <v>217</v>
      </c>
      <c r="U57">
        <v>0.9608888888888889</v>
      </c>
      <c r="V57">
        <v>0.95777777777777773</v>
      </c>
      <c r="W57">
        <v>0.9905292479108635</v>
      </c>
      <c r="X57">
        <v>48</v>
      </c>
      <c r="Y57">
        <v>4858952.5999999996</v>
      </c>
      <c r="Z57">
        <v>111844</v>
      </c>
      <c r="AA57">
        <v>2</v>
      </c>
      <c r="AB57">
        <v>218</v>
      </c>
      <c r="AD57">
        <f>Tabela3[[#This Row],[kan_params]]</f>
        <v>111718</v>
      </c>
      <c r="AE57">
        <f>Tabela3[[#This Row],[kan_train_acc]]</f>
        <v>0.79034353494644161</v>
      </c>
      <c r="AF57">
        <f>Tabela3[[#This Row],[kan_val_acc]]</f>
        <v>0.79777777194976807</v>
      </c>
      <c r="AG57">
        <f>Tabela3[[#This Row],[kan_test_acc]]</f>
        <v>0.76133332252502439</v>
      </c>
      <c r="AH57">
        <f>Tabela3[[#This Row],[mlp_test_acc]]</f>
        <v>0.96355555555555561</v>
      </c>
      <c r="AI57">
        <f>Tabela3[[#This Row],[mlp_val_acc]]</f>
        <v>0.95851851851851855</v>
      </c>
      <c r="AJ57">
        <f>Tabela3[[#This Row],[mlp_train_acc]]</f>
        <v>0.99182915506035285</v>
      </c>
    </row>
    <row r="58" spans="1:36" x14ac:dyDescent="0.25">
      <c r="A58" t="s">
        <v>71</v>
      </c>
      <c r="B58">
        <v>8</v>
      </c>
      <c r="C58">
        <v>3</v>
      </c>
      <c r="D58">
        <v>2</v>
      </c>
      <c r="E58">
        <v>0</v>
      </c>
      <c r="F58" t="s">
        <v>75</v>
      </c>
      <c r="G58">
        <v>113644</v>
      </c>
      <c r="H58">
        <v>138013868.80000001</v>
      </c>
      <c r="I58">
        <v>38.799999999999997</v>
      </c>
      <c r="J58">
        <v>0.63881150484085081</v>
      </c>
      <c r="K58">
        <v>0.7</v>
      </c>
      <c r="L58">
        <v>0.61911111474037173</v>
      </c>
      <c r="M58">
        <v>0.9608888888888889</v>
      </c>
      <c r="N58">
        <v>0.9555555555555556</v>
      </c>
      <c r="O58">
        <v>0.99182915506035285</v>
      </c>
      <c r="P58">
        <v>46.6</v>
      </c>
      <c r="Q58">
        <v>6315718</v>
      </c>
      <c r="R58">
        <v>112795</v>
      </c>
      <c r="S58">
        <v>2</v>
      </c>
      <c r="T58">
        <v>219</v>
      </c>
      <c r="U58">
        <v>0.96133333333333337</v>
      </c>
      <c r="V58">
        <v>0.95925925925925926</v>
      </c>
      <c r="W58">
        <v>0.99331476323119772</v>
      </c>
      <c r="X58">
        <v>44.8</v>
      </c>
      <c r="Y58">
        <v>5788816.5999999996</v>
      </c>
      <c r="Z58">
        <v>113750</v>
      </c>
      <c r="AA58">
        <v>2</v>
      </c>
      <c r="AB58">
        <v>220</v>
      </c>
      <c r="AD58">
        <f>Tabela3[[#This Row],[kan_params]]</f>
        <v>113644</v>
      </c>
      <c r="AE58">
        <f>Tabela3[[#This Row],[kan_train_acc]]</f>
        <v>0.63881150484085081</v>
      </c>
      <c r="AF58">
        <f>Tabela3[[#This Row],[kan_val_acc]]</f>
        <v>0.7</v>
      </c>
      <c r="AG58">
        <f>Tabela3[[#This Row],[kan_test_acc]]</f>
        <v>0.61911111474037173</v>
      </c>
      <c r="AH58">
        <f>Tabela3[[#This Row],[mlp_test_acc]]</f>
        <v>0.9608888888888889</v>
      </c>
      <c r="AI58">
        <f>Tabela3[[#This Row],[mlp_val_acc]]</f>
        <v>0.9555555555555556</v>
      </c>
      <c r="AJ58">
        <f>Tabela3[[#This Row],[mlp_train_acc]]</f>
        <v>0.99182915506035285</v>
      </c>
    </row>
    <row r="59" spans="1:36" x14ac:dyDescent="0.25">
      <c r="A59" t="s">
        <v>71</v>
      </c>
      <c r="B59">
        <v>8</v>
      </c>
      <c r="C59">
        <v>3</v>
      </c>
      <c r="D59">
        <v>2</v>
      </c>
      <c r="E59">
        <v>0</v>
      </c>
      <c r="F59" t="s">
        <v>88</v>
      </c>
      <c r="G59">
        <v>114954</v>
      </c>
      <c r="H59">
        <v>145475950.80000001</v>
      </c>
      <c r="I59">
        <v>35.4</v>
      </c>
      <c r="J59">
        <v>0.1892293393611908</v>
      </c>
      <c r="K59">
        <v>0.2911111146211624</v>
      </c>
      <c r="L59">
        <v>0.17777777910232545</v>
      </c>
      <c r="M59">
        <v>0.96444444444444444</v>
      </c>
      <c r="N59">
        <v>0.95851851851851855</v>
      </c>
      <c r="O59">
        <v>0.99127205199628599</v>
      </c>
      <c r="P59">
        <v>43.4</v>
      </c>
      <c r="Q59">
        <v>4610888.4000000004</v>
      </c>
      <c r="R59">
        <v>114709</v>
      </c>
      <c r="S59">
        <v>2</v>
      </c>
      <c r="T59">
        <v>221</v>
      </c>
      <c r="U59">
        <v>0.95777777777777773</v>
      </c>
      <c r="V59">
        <v>0.95851851851851855</v>
      </c>
      <c r="W59">
        <v>0.99145775301764161</v>
      </c>
      <c r="X59">
        <v>45.2</v>
      </c>
      <c r="Y59">
        <v>6018883</v>
      </c>
      <c r="Z59">
        <v>115672</v>
      </c>
      <c r="AA59">
        <v>2</v>
      </c>
      <c r="AB59">
        <v>222</v>
      </c>
      <c r="AD59">
        <f>Tabela3[[#This Row],[kan_params]]</f>
        <v>114954</v>
      </c>
      <c r="AE59">
        <f>Tabela3[[#This Row],[kan_train_acc]]</f>
        <v>0.1892293393611908</v>
      </c>
      <c r="AF59">
        <f>Tabela3[[#This Row],[kan_val_acc]]</f>
        <v>0.2911111146211624</v>
      </c>
      <c r="AG59">
        <f>Tabela3[[#This Row],[kan_test_acc]]</f>
        <v>0.17777777910232545</v>
      </c>
      <c r="AH59">
        <f>Tabela3[[#This Row],[mlp_test_acc]]</f>
        <v>0.96444444444444444</v>
      </c>
      <c r="AI59">
        <f>Tabela3[[#This Row],[mlp_val_acc]]</f>
        <v>0.95851851851851855</v>
      </c>
      <c r="AJ59">
        <f>Tabela3[[#This Row],[mlp_train_acc]]</f>
        <v>0.99127205199628599</v>
      </c>
    </row>
    <row r="60" spans="1:36" x14ac:dyDescent="0.25">
      <c r="A60" t="s">
        <v>71</v>
      </c>
      <c r="B60">
        <v>8</v>
      </c>
      <c r="C60">
        <v>3</v>
      </c>
      <c r="D60">
        <v>2</v>
      </c>
      <c r="E60">
        <v>0</v>
      </c>
      <c r="F60" t="s">
        <v>167</v>
      </c>
      <c r="G60">
        <v>115570</v>
      </c>
      <c r="H60">
        <v>152490451.80000001</v>
      </c>
      <c r="I60">
        <v>44</v>
      </c>
      <c r="J60">
        <v>0.63528318405151363</v>
      </c>
      <c r="K60">
        <v>0.680740749835968</v>
      </c>
      <c r="L60">
        <v>0.63288889527320857</v>
      </c>
      <c r="M60">
        <v>0.9635555555555555</v>
      </c>
      <c r="N60">
        <v>0.96296296296296291</v>
      </c>
      <c r="O60">
        <v>0.99164345403899723</v>
      </c>
      <c r="P60">
        <v>45.8</v>
      </c>
      <c r="Q60">
        <v>5528721.7999999998</v>
      </c>
      <c r="R60">
        <v>114709</v>
      </c>
      <c r="S60">
        <v>2</v>
      </c>
      <c r="T60">
        <v>221</v>
      </c>
      <c r="U60">
        <v>0.96488888888888891</v>
      </c>
      <c r="V60">
        <v>0.96</v>
      </c>
      <c r="W60">
        <v>0.99257195914577534</v>
      </c>
      <c r="X60">
        <v>50</v>
      </c>
      <c r="Y60">
        <v>7253601</v>
      </c>
      <c r="Z60">
        <v>115672</v>
      </c>
      <c r="AA60">
        <v>2</v>
      </c>
      <c r="AB60">
        <v>222</v>
      </c>
      <c r="AD60">
        <f>Tabela3[[#This Row],[kan_params]]</f>
        <v>115570</v>
      </c>
      <c r="AE60">
        <f>Tabela3[[#This Row],[kan_train_acc]]</f>
        <v>0.63528318405151363</v>
      </c>
      <c r="AF60">
        <f>Tabela3[[#This Row],[kan_val_acc]]</f>
        <v>0.680740749835968</v>
      </c>
      <c r="AG60">
        <f>Tabela3[[#This Row],[kan_test_acc]]</f>
        <v>0.63288889527320857</v>
      </c>
      <c r="AH60">
        <f>Tabela3[[#This Row],[mlp_test_acc]]</f>
        <v>0.9635555555555555</v>
      </c>
      <c r="AI60">
        <f>Tabela3[[#This Row],[mlp_val_acc]]</f>
        <v>0.96296296296296291</v>
      </c>
      <c r="AJ60">
        <f>Tabela3[[#This Row],[mlp_train_acc]]</f>
        <v>0.99164345403899723</v>
      </c>
    </row>
    <row r="61" spans="1:36" x14ac:dyDescent="0.25">
      <c r="A61" t="s">
        <v>71</v>
      </c>
      <c r="B61">
        <v>10</v>
      </c>
      <c r="C61">
        <v>3</v>
      </c>
      <c r="D61">
        <v>3</v>
      </c>
      <c r="E61">
        <v>0</v>
      </c>
      <c r="F61" t="s">
        <v>158</v>
      </c>
      <c r="G61">
        <v>116140</v>
      </c>
      <c r="H61">
        <v>55108370.200000003</v>
      </c>
      <c r="I61">
        <v>17.8</v>
      </c>
      <c r="J61">
        <v>0.11977716088294983</v>
      </c>
      <c r="K61">
        <v>0.26592592597007753</v>
      </c>
      <c r="L61">
        <v>0.13333333358168603</v>
      </c>
      <c r="M61">
        <v>0.95599999999999996</v>
      </c>
      <c r="N61">
        <v>0.97185185185185186</v>
      </c>
      <c r="O61">
        <v>0.98922934076137414</v>
      </c>
      <c r="P61">
        <v>45.2</v>
      </c>
      <c r="Q61">
        <v>3983099.8</v>
      </c>
      <c r="R61">
        <v>115672</v>
      </c>
      <c r="S61">
        <v>2</v>
      </c>
      <c r="T61">
        <v>222</v>
      </c>
      <c r="U61">
        <v>0.96044444444444443</v>
      </c>
      <c r="V61">
        <v>0.97259259259259256</v>
      </c>
      <c r="W61">
        <v>0.99405756731662021</v>
      </c>
      <c r="X61">
        <v>49.2</v>
      </c>
      <c r="Y61">
        <v>2727524.2</v>
      </c>
      <c r="Z61">
        <v>116639</v>
      </c>
      <c r="AA61">
        <v>2</v>
      </c>
      <c r="AB61">
        <v>223</v>
      </c>
      <c r="AD61">
        <f>Tabela3[[#This Row],[kan_params]]</f>
        <v>116140</v>
      </c>
      <c r="AE61">
        <f>Tabela3[[#This Row],[kan_train_acc]]</f>
        <v>0.11977716088294983</v>
      </c>
      <c r="AF61">
        <f>Tabela3[[#This Row],[kan_val_acc]]</f>
        <v>0.26592592597007753</v>
      </c>
      <c r="AG61">
        <f>Tabela3[[#This Row],[kan_test_acc]]</f>
        <v>0.13333333358168603</v>
      </c>
      <c r="AH61">
        <f>Tabela3[[#This Row],[mlp_test_acc]]</f>
        <v>0.95599999999999996</v>
      </c>
      <c r="AI61">
        <f>Tabela3[[#This Row],[mlp_val_acc]]</f>
        <v>0.97185185185185186</v>
      </c>
      <c r="AJ61">
        <f>Tabela3[[#This Row],[mlp_train_acc]]</f>
        <v>0.98922934076137414</v>
      </c>
    </row>
    <row r="62" spans="1:36" x14ac:dyDescent="0.25">
      <c r="A62" t="s">
        <v>71</v>
      </c>
      <c r="B62">
        <v>18</v>
      </c>
      <c r="C62">
        <v>9</v>
      </c>
      <c r="D62">
        <v>4</v>
      </c>
      <c r="E62">
        <v>0</v>
      </c>
      <c r="F62" t="s">
        <v>81</v>
      </c>
      <c r="G62">
        <v>116623</v>
      </c>
      <c r="H62">
        <v>60289522</v>
      </c>
      <c r="I62">
        <v>21</v>
      </c>
      <c r="J62">
        <v>0.21039926111698151</v>
      </c>
      <c r="K62">
        <v>0.2970370352268219</v>
      </c>
      <c r="L62">
        <v>0.21511111408472061</v>
      </c>
      <c r="M62">
        <v>0.97511111111111115</v>
      </c>
      <c r="N62">
        <v>0.97925925925925927</v>
      </c>
      <c r="O62">
        <v>0.99201485608170847</v>
      </c>
      <c r="P62">
        <v>53.6</v>
      </c>
      <c r="Q62">
        <v>4912827.5999999996</v>
      </c>
      <c r="R62">
        <v>115672</v>
      </c>
      <c r="S62">
        <v>2</v>
      </c>
      <c r="T62">
        <v>222</v>
      </c>
      <c r="U62">
        <v>0.96933333333333338</v>
      </c>
      <c r="V62">
        <v>0.97333333333333338</v>
      </c>
      <c r="W62">
        <v>0.98830083565459614</v>
      </c>
      <c r="X62">
        <v>47</v>
      </c>
      <c r="Y62">
        <v>4781061.8</v>
      </c>
      <c r="Z62">
        <v>116639</v>
      </c>
      <c r="AA62">
        <v>2</v>
      </c>
      <c r="AB62">
        <v>223</v>
      </c>
      <c r="AD62">
        <f>Tabela3[[#This Row],[kan_params]]</f>
        <v>116623</v>
      </c>
      <c r="AE62">
        <f>Tabela3[[#This Row],[kan_train_acc]]</f>
        <v>0.21039926111698151</v>
      </c>
      <c r="AF62">
        <f>Tabela3[[#This Row],[kan_val_acc]]</f>
        <v>0.2970370352268219</v>
      </c>
      <c r="AG62">
        <f>Tabela3[[#This Row],[kan_test_acc]]</f>
        <v>0.21511111408472061</v>
      </c>
      <c r="AH62">
        <f>Tabela3[[#This Row],[mlp_test_acc]]</f>
        <v>0.97511111111111115</v>
      </c>
      <c r="AI62">
        <f>Tabela3[[#This Row],[mlp_val_acc]]</f>
        <v>0.97925925925925927</v>
      </c>
      <c r="AJ62">
        <f>Tabela3[[#This Row],[mlp_train_acc]]</f>
        <v>0.99201485608170847</v>
      </c>
    </row>
    <row r="63" spans="1:36" x14ac:dyDescent="0.25">
      <c r="A63" t="s">
        <v>71</v>
      </c>
      <c r="B63">
        <v>12</v>
      </c>
      <c r="C63">
        <v>3</v>
      </c>
      <c r="D63">
        <v>4</v>
      </c>
      <c r="E63">
        <v>0</v>
      </c>
      <c r="F63" t="s">
        <v>155</v>
      </c>
      <c r="G63">
        <v>116791</v>
      </c>
      <c r="H63">
        <v>46349891.600000001</v>
      </c>
      <c r="I63">
        <v>13</v>
      </c>
      <c r="J63">
        <v>0.12999071180820465</v>
      </c>
      <c r="K63">
        <v>0.30370369553565979</v>
      </c>
      <c r="L63">
        <v>0.1111111119389534</v>
      </c>
      <c r="M63">
        <v>0.97111111111111115</v>
      </c>
      <c r="N63">
        <v>0.98518518518518516</v>
      </c>
      <c r="O63">
        <v>0.99071494893221912</v>
      </c>
      <c r="P63">
        <v>49</v>
      </c>
      <c r="Q63">
        <v>4990884.2</v>
      </c>
      <c r="R63">
        <v>116639</v>
      </c>
      <c r="S63">
        <v>2</v>
      </c>
      <c r="T63">
        <v>223</v>
      </c>
      <c r="U63">
        <v>0.97111111111111115</v>
      </c>
      <c r="V63">
        <v>0.97777777777777775</v>
      </c>
      <c r="W63">
        <v>0.98700092850510679</v>
      </c>
      <c r="X63">
        <v>40</v>
      </c>
      <c r="Y63">
        <v>3022876.2</v>
      </c>
      <c r="Z63">
        <v>117610</v>
      </c>
      <c r="AA63">
        <v>2</v>
      </c>
      <c r="AB63">
        <v>224</v>
      </c>
      <c r="AD63">
        <f>Tabela3[[#This Row],[kan_params]]</f>
        <v>116791</v>
      </c>
      <c r="AE63">
        <f>Tabela3[[#This Row],[kan_train_acc]]</f>
        <v>0.12999071180820465</v>
      </c>
      <c r="AF63">
        <f>Tabela3[[#This Row],[kan_val_acc]]</f>
        <v>0.30370369553565979</v>
      </c>
      <c r="AG63">
        <f>Tabela3[[#This Row],[kan_test_acc]]</f>
        <v>0.1111111119389534</v>
      </c>
      <c r="AH63">
        <f>Tabela3[[#This Row],[mlp_test_acc]]</f>
        <v>0.97111111111111115</v>
      </c>
      <c r="AI63">
        <f>Tabela3[[#This Row],[mlp_val_acc]]</f>
        <v>0.98518518518518516</v>
      </c>
      <c r="AJ63">
        <f>Tabela3[[#This Row],[mlp_train_acc]]</f>
        <v>0.99071494893221912</v>
      </c>
    </row>
    <row r="64" spans="1:36" x14ac:dyDescent="0.25">
      <c r="A64" t="s">
        <v>71</v>
      </c>
      <c r="B64">
        <v>8</v>
      </c>
      <c r="C64">
        <v>3</v>
      </c>
      <c r="D64">
        <v>2</v>
      </c>
      <c r="E64">
        <v>0</v>
      </c>
      <c r="F64" t="s">
        <v>179</v>
      </c>
      <c r="G64">
        <v>116880</v>
      </c>
      <c r="H64">
        <v>116027935</v>
      </c>
      <c r="I64">
        <v>28.2</v>
      </c>
      <c r="J64">
        <v>0.15951717793941497</v>
      </c>
      <c r="K64">
        <v>0.25407407283782957</v>
      </c>
      <c r="L64">
        <v>0.15955555588006973</v>
      </c>
      <c r="M64">
        <v>0.96577777777777774</v>
      </c>
      <c r="N64">
        <v>0.95629629629629631</v>
      </c>
      <c r="O64">
        <v>0.99182915506035285</v>
      </c>
      <c r="P64">
        <v>47.2</v>
      </c>
      <c r="Q64">
        <v>6049946.2000000002</v>
      </c>
      <c r="R64">
        <v>116639</v>
      </c>
      <c r="S64">
        <v>2</v>
      </c>
      <c r="T64">
        <v>223</v>
      </c>
      <c r="U64">
        <v>0.9662222222222222</v>
      </c>
      <c r="V64">
        <v>0.95851851851851855</v>
      </c>
      <c r="W64">
        <v>0.99090064995357474</v>
      </c>
      <c r="X64">
        <v>44.4</v>
      </c>
      <c r="Y64">
        <v>5675696.5999999996</v>
      </c>
      <c r="Z64">
        <v>117610</v>
      </c>
      <c r="AA64">
        <v>2</v>
      </c>
      <c r="AB64">
        <v>224</v>
      </c>
      <c r="AD64">
        <f>Tabela3[[#This Row],[kan_params]]</f>
        <v>116880</v>
      </c>
      <c r="AE64">
        <f>Tabela3[[#This Row],[kan_train_acc]]</f>
        <v>0.15951717793941497</v>
      </c>
      <c r="AF64">
        <f>Tabela3[[#This Row],[kan_val_acc]]</f>
        <v>0.25407407283782957</v>
      </c>
      <c r="AG64">
        <f>Tabela3[[#This Row],[kan_test_acc]]</f>
        <v>0.15955555588006973</v>
      </c>
      <c r="AH64">
        <f>Tabela3[[#This Row],[mlp_test_acc]]</f>
        <v>0.96577777777777774</v>
      </c>
      <c r="AI64">
        <f>Tabela3[[#This Row],[mlp_val_acc]]</f>
        <v>0.95629629629629631</v>
      </c>
      <c r="AJ64">
        <f>Tabela3[[#This Row],[mlp_train_acc]]</f>
        <v>0.99182915506035285</v>
      </c>
    </row>
    <row r="65" spans="1:36" x14ac:dyDescent="0.25">
      <c r="A65" t="s">
        <v>71</v>
      </c>
      <c r="B65">
        <v>8</v>
      </c>
      <c r="C65">
        <v>3</v>
      </c>
      <c r="D65">
        <v>2</v>
      </c>
      <c r="E65">
        <v>0</v>
      </c>
      <c r="F65" t="s">
        <v>168</v>
      </c>
      <c r="G65">
        <v>117496</v>
      </c>
      <c r="H65">
        <v>165750987.59999999</v>
      </c>
      <c r="I65">
        <v>41</v>
      </c>
      <c r="J65">
        <v>0.66183843612670901</v>
      </c>
      <c r="K65">
        <v>0.68592592477798464</v>
      </c>
      <c r="L65">
        <v>0.65333334803581233</v>
      </c>
      <c r="M65">
        <v>0.96488888888888891</v>
      </c>
      <c r="N65">
        <v>0.95925925925925926</v>
      </c>
      <c r="O65">
        <v>0.99145775301764161</v>
      </c>
      <c r="P65">
        <v>44.6</v>
      </c>
      <c r="Q65">
        <v>5276512</v>
      </c>
      <c r="R65">
        <v>116639</v>
      </c>
      <c r="S65">
        <v>2</v>
      </c>
      <c r="T65">
        <v>223</v>
      </c>
      <c r="U65">
        <v>0.96311111111111114</v>
      </c>
      <c r="V65">
        <v>0.96</v>
      </c>
      <c r="W65">
        <v>0.99127205199628599</v>
      </c>
      <c r="X65">
        <v>41.4</v>
      </c>
      <c r="Y65">
        <v>4726266.4000000004</v>
      </c>
      <c r="Z65">
        <v>117610</v>
      </c>
      <c r="AA65">
        <v>2</v>
      </c>
      <c r="AB65">
        <v>224</v>
      </c>
      <c r="AD65">
        <f>Tabela3[[#This Row],[kan_params]]</f>
        <v>117496</v>
      </c>
      <c r="AE65">
        <f>Tabela3[[#This Row],[kan_train_acc]]</f>
        <v>0.66183843612670901</v>
      </c>
      <c r="AF65">
        <f>Tabela3[[#This Row],[kan_val_acc]]</f>
        <v>0.68592592477798464</v>
      </c>
      <c r="AG65">
        <f>Tabela3[[#This Row],[kan_test_acc]]</f>
        <v>0.65333334803581233</v>
      </c>
      <c r="AH65">
        <f>Tabela3[[#This Row],[mlp_test_acc]]</f>
        <v>0.96488888888888891</v>
      </c>
      <c r="AI65">
        <f>Tabela3[[#This Row],[mlp_val_acc]]</f>
        <v>0.95925925925925926</v>
      </c>
      <c r="AJ65">
        <f>Tabela3[[#This Row],[mlp_train_acc]]</f>
        <v>0.99145775301764161</v>
      </c>
    </row>
    <row r="66" spans="1:36" x14ac:dyDescent="0.25">
      <c r="A66" t="s">
        <v>71</v>
      </c>
      <c r="B66">
        <v>8</v>
      </c>
      <c r="C66">
        <v>3</v>
      </c>
      <c r="D66">
        <v>2</v>
      </c>
      <c r="E66">
        <v>0</v>
      </c>
      <c r="F66" t="s">
        <v>180</v>
      </c>
      <c r="G66">
        <v>118806</v>
      </c>
      <c r="H66">
        <v>89689722.799999997</v>
      </c>
      <c r="I66">
        <v>21</v>
      </c>
      <c r="J66">
        <v>0.12609099298715593</v>
      </c>
      <c r="K66">
        <v>0.22444444000720978</v>
      </c>
      <c r="L66">
        <v>0.12577777802944184</v>
      </c>
      <c r="M66">
        <v>0.96799999999999997</v>
      </c>
      <c r="N66">
        <v>0.96444444444444444</v>
      </c>
      <c r="O66">
        <v>0.99535747446610956</v>
      </c>
      <c r="P66">
        <v>52.6</v>
      </c>
      <c r="Q66">
        <v>5280309.5999999996</v>
      </c>
      <c r="R66">
        <v>118585</v>
      </c>
      <c r="S66">
        <v>2</v>
      </c>
      <c r="T66">
        <v>225</v>
      </c>
      <c r="U66">
        <v>0.9635555555555555</v>
      </c>
      <c r="V66">
        <v>0.95851851851851855</v>
      </c>
      <c r="W66">
        <v>0.99164345403899723</v>
      </c>
      <c r="X66">
        <v>42.8</v>
      </c>
      <c r="Y66">
        <v>5458207.2000000002</v>
      </c>
      <c r="Z66">
        <v>119564</v>
      </c>
      <c r="AA66">
        <v>2</v>
      </c>
      <c r="AB66">
        <v>226</v>
      </c>
      <c r="AD66">
        <f>Tabela3[[#This Row],[kan_params]]</f>
        <v>118806</v>
      </c>
      <c r="AE66">
        <f>Tabela3[[#This Row],[kan_train_acc]]</f>
        <v>0.12609099298715593</v>
      </c>
      <c r="AF66">
        <f>Tabela3[[#This Row],[kan_val_acc]]</f>
        <v>0.22444444000720978</v>
      </c>
      <c r="AG66">
        <f>Tabela3[[#This Row],[kan_test_acc]]</f>
        <v>0.12577777802944184</v>
      </c>
      <c r="AH66">
        <f>Tabela3[[#This Row],[mlp_test_acc]]</f>
        <v>0.96799999999999997</v>
      </c>
      <c r="AI66">
        <f>Tabela3[[#This Row],[mlp_val_acc]]</f>
        <v>0.96444444444444444</v>
      </c>
      <c r="AJ66">
        <f>Tabela3[[#This Row],[mlp_train_acc]]</f>
        <v>0.99535747446610956</v>
      </c>
    </row>
    <row r="67" spans="1:36" x14ac:dyDescent="0.25">
      <c r="A67" t="s">
        <v>71</v>
      </c>
      <c r="B67">
        <v>8</v>
      </c>
      <c r="C67">
        <v>3</v>
      </c>
      <c r="D67">
        <v>2</v>
      </c>
      <c r="E67">
        <v>0</v>
      </c>
      <c r="F67" t="s">
        <v>169</v>
      </c>
      <c r="G67">
        <v>119422</v>
      </c>
      <c r="H67">
        <v>285015230.60000002</v>
      </c>
      <c r="I67">
        <v>67.2</v>
      </c>
      <c r="J67">
        <v>0.75097492933273313</v>
      </c>
      <c r="K67">
        <v>0.78370369672775264</v>
      </c>
      <c r="L67">
        <v>0.71555556058883663</v>
      </c>
      <c r="M67">
        <v>0.96044444444444443</v>
      </c>
      <c r="N67">
        <v>0.95481481481481478</v>
      </c>
      <c r="O67">
        <v>0.98867223769730728</v>
      </c>
      <c r="P67">
        <v>41</v>
      </c>
      <c r="Q67">
        <v>4460143.2</v>
      </c>
      <c r="R67">
        <v>118585</v>
      </c>
      <c r="S67">
        <v>2</v>
      </c>
      <c r="T67">
        <v>225</v>
      </c>
      <c r="U67">
        <v>0.9608888888888889</v>
      </c>
      <c r="V67">
        <v>0.95925925925925926</v>
      </c>
      <c r="W67">
        <v>0.99275766016713096</v>
      </c>
      <c r="X67">
        <v>47.6</v>
      </c>
      <c r="Y67">
        <v>5897387.4000000004</v>
      </c>
      <c r="Z67">
        <v>119564</v>
      </c>
      <c r="AA67">
        <v>2</v>
      </c>
      <c r="AB67">
        <v>226</v>
      </c>
      <c r="AD67">
        <f>Tabela3[[#This Row],[kan_params]]</f>
        <v>119422</v>
      </c>
      <c r="AE67">
        <f>Tabela3[[#This Row],[kan_train_acc]]</f>
        <v>0.75097492933273313</v>
      </c>
      <c r="AF67">
        <f>Tabela3[[#This Row],[kan_val_acc]]</f>
        <v>0.78370369672775264</v>
      </c>
      <c r="AG67">
        <f>Tabela3[[#This Row],[kan_test_acc]]</f>
        <v>0.71555556058883663</v>
      </c>
      <c r="AH67">
        <f>Tabela3[[#This Row],[mlp_test_acc]]</f>
        <v>0.96044444444444443</v>
      </c>
      <c r="AI67">
        <f>Tabela3[[#This Row],[mlp_val_acc]]</f>
        <v>0.95481481481481478</v>
      </c>
      <c r="AJ67">
        <f>Tabela3[[#This Row],[mlp_train_acc]]</f>
        <v>0.98867223769730728</v>
      </c>
    </row>
    <row r="68" spans="1:36" x14ac:dyDescent="0.25">
      <c r="A68" t="s">
        <v>71</v>
      </c>
      <c r="B68">
        <v>8</v>
      </c>
      <c r="C68">
        <v>3</v>
      </c>
      <c r="D68">
        <v>2</v>
      </c>
      <c r="E68">
        <v>0</v>
      </c>
      <c r="F68" t="s">
        <v>181</v>
      </c>
      <c r="G68">
        <v>120732</v>
      </c>
      <c r="H68">
        <v>95140247.400000006</v>
      </c>
      <c r="I68">
        <v>22.2</v>
      </c>
      <c r="J68">
        <v>0.14410399347543718</v>
      </c>
      <c r="K68">
        <v>0.24074074029922485</v>
      </c>
      <c r="L68">
        <v>0.12933333367109298</v>
      </c>
      <c r="M68">
        <v>0.95866666666666667</v>
      </c>
      <c r="N68">
        <v>0.96740740740740738</v>
      </c>
      <c r="O68">
        <v>0.99331476323119772</v>
      </c>
      <c r="P68">
        <v>49.2</v>
      </c>
      <c r="Q68">
        <v>4523105</v>
      </c>
      <c r="R68">
        <v>120547</v>
      </c>
      <c r="S68">
        <v>2</v>
      </c>
      <c r="T68">
        <v>227</v>
      </c>
      <c r="U68">
        <v>0.95422222222222219</v>
      </c>
      <c r="V68">
        <v>0.96148148148148149</v>
      </c>
      <c r="W68">
        <v>0.98662952646239555</v>
      </c>
      <c r="X68">
        <v>37</v>
      </c>
      <c r="Y68">
        <v>4805353.4000000004</v>
      </c>
      <c r="Z68">
        <v>121534</v>
      </c>
      <c r="AA68">
        <v>2</v>
      </c>
      <c r="AB68">
        <v>228</v>
      </c>
      <c r="AD68">
        <f>Tabela3[[#This Row],[kan_params]]</f>
        <v>120732</v>
      </c>
      <c r="AE68">
        <f>Tabela3[[#This Row],[kan_train_acc]]</f>
        <v>0.14410399347543718</v>
      </c>
      <c r="AF68">
        <f>Tabela3[[#This Row],[kan_val_acc]]</f>
        <v>0.24074074029922485</v>
      </c>
      <c r="AG68">
        <f>Tabela3[[#This Row],[kan_test_acc]]</f>
        <v>0.12933333367109298</v>
      </c>
      <c r="AH68">
        <f>Tabela3[[#This Row],[mlp_test_acc]]</f>
        <v>0.95866666666666667</v>
      </c>
      <c r="AI68">
        <f>Tabela3[[#This Row],[mlp_val_acc]]</f>
        <v>0.96740740740740738</v>
      </c>
      <c r="AJ68">
        <f>Tabela3[[#This Row],[mlp_train_acc]]</f>
        <v>0.99331476323119772</v>
      </c>
    </row>
    <row r="69" spans="1:36" x14ac:dyDescent="0.25">
      <c r="A69" t="s">
        <v>71</v>
      </c>
      <c r="B69">
        <v>8</v>
      </c>
      <c r="C69">
        <v>3</v>
      </c>
      <c r="D69">
        <v>2</v>
      </c>
      <c r="E69">
        <v>0</v>
      </c>
      <c r="F69" t="s">
        <v>170</v>
      </c>
      <c r="G69">
        <v>121348</v>
      </c>
      <c r="H69">
        <v>273602943.39999998</v>
      </c>
      <c r="I69">
        <v>64.2</v>
      </c>
      <c r="J69">
        <v>0.81374187469482417</v>
      </c>
      <c r="K69">
        <v>0.78962962627410893</v>
      </c>
      <c r="L69">
        <v>0.78088887929916384</v>
      </c>
      <c r="M69">
        <v>0.96711111111111114</v>
      </c>
      <c r="N69">
        <v>0.95777777777777773</v>
      </c>
      <c r="O69">
        <v>0.99368616527390907</v>
      </c>
      <c r="P69">
        <v>46.2</v>
      </c>
      <c r="Q69">
        <v>6150656.7999999998</v>
      </c>
      <c r="R69">
        <v>120547</v>
      </c>
      <c r="S69">
        <v>2</v>
      </c>
      <c r="T69">
        <v>227</v>
      </c>
      <c r="U69">
        <v>0.9608888888888889</v>
      </c>
      <c r="V69">
        <v>0.96</v>
      </c>
      <c r="W69">
        <v>0.98997214484679663</v>
      </c>
      <c r="X69">
        <v>44.2</v>
      </c>
      <c r="Y69">
        <v>6442491.2000000002</v>
      </c>
      <c r="Z69">
        <v>121534</v>
      </c>
      <c r="AA69">
        <v>2</v>
      </c>
      <c r="AB69">
        <v>228</v>
      </c>
      <c r="AD69">
        <f>Tabela3[[#This Row],[kan_params]]</f>
        <v>121348</v>
      </c>
      <c r="AE69">
        <f>Tabela3[[#This Row],[kan_train_acc]]</f>
        <v>0.81374187469482417</v>
      </c>
      <c r="AF69">
        <f>Tabela3[[#This Row],[kan_val_acc]]</f>
        <v>0.78962962627410893</v>
      </c>
      <c r="AG69">
        <f>Tabela3[[#This Row],[kan_test_acc]]</f>
        <v>0.78088887929916384</v>
      </c>
      <c r="AH69">
        <f>Tabela3[[#This Row],[mlp_test_acc]]</f>
        <v>0.96711111111111114</v>
      </c>
      <c r="AI69">
        <f>Tabela3[[#This Row],[mlp_val_acc]]</f>
        <v>0.95777777777777773</v>
      </c>
      <c r="AJ69">
        <f>Tabela3[[#This Row],[mlp_train_acc]]</f>
        <v>0.99368616527390907</v>
      </c>
    </row>
    <row r="70" spans="1:36" x14ac:dyDescent="0.25">
      <c r="A70" t="s">
        <v>71</v>
      </c>
      <c r="B70">
        <v>8</v>
      </c>
      <c r="C70">
        <v>3</v>
      </c>
      <c r="D70">
        <v>2</v>
      </c>
      <c r="E70">
        <v>0</v>
      </c>
      <c r="F70" t="s">
        <v>117</v>
      </c>
      <c r="G70">
        <v>121614</v>
      </c>
      <c r="H70">
        <v>120879059</v>
      </c>
      <c r="I70">
        <v>26</v>
      </c>
      <c r="J70">
        <v>0.13184772431850433</v>
      </c>
      <c r="K70">
        <v>0.31111112236976624</v>
      </c>
      <c r="L70">
        <v>0.14666666090488434</v>
      </c>
      <c r="M70">
        <v>0.97333333333333338</v>
      </c>
      <c r="N70">
        <v>0.98518518518518516</v>
      </c>
      <c r="O70">
        <v>0.98607242339832868</v>
      </c>
      <c r="P70">
        <v>45</v>
      </c>
      <c r="Q70">
        <v>5638022</v>
      </c>
      <c r="R70">
        <v>121534</v>
      </c>
      <c r="S70">
        <v>2</v>
      </c>
      <c r="T70">
        <v>228</v>
      </c>
      <c r="U70">
        <v>0.97333333333333338</v>
      </c>
      <c r="V70">
        <v>0.98148148148148151</v>
      </c>
      <c r="W70">
        <v>0.99350046425255334</v>
      </c>
      <c r="X70">
        <v>50</v>
      </c>
      <c r="Y70">
        <v>3670179</v>
      </c>
      <c r="Z70">
        <v>122525</v>
      </c>
      <c r="AA70">
        <v>2</v>
      </c>
      <c r="AB70">
        <v>229</v>
      </c>
      <c r="AD70">
        <f>Tabela3[[#This Row],[kan_params]]</f>
        <v>121614</v>
      </c>
      <c r="AE70">
        <f>Tabela3[[#This Row],[kan_train_acc]]</f>
        <v>0.13184772431850433</v>
      </c>
      <c r="AF70">
        <f>Tabela3[[#This Row],[kan_val_acc]]</f>
        <v>0.31111112236976624</v>
      </c>
      <c r="AG70">
        <f>Tabela3[[#This Row],[kan_test_acc]]</f>
        <v>0.14666666090488434</v>
      </c>
      <c r="AH70">
        <f>Tabela3[[#This Row],[mlp_test_acc]]</f>
        <v>0.97333333333333338</v>
      </c>
      <c r="AI70">
        <f>Tabela3[[#This Row],[mlp_val_acc]]</f>
        <v>0.98518518518518516</v>
      </c>
      <c r="AJ70">
        <f>Tabela3[[#This Row],[mlp_train_acc]]</f>
        <v>0.98607242339832868</v>
      </c>
    </row>
    <row r="71" spans="1:36" x14ac:dyDescent="0.25">
      <c r="A71" t="s">
        <v>71</v>
      </c>
      <c r="B71">
        <v>10</v>
      </c>
      <c r="C71">
        <v>3</v>
      </c>
      <c r="D71">
        <v>3</v>
      </c>
      <c r="E71">
        <v>0</v>
      </c>
      <c r="F71" t="s">
        <v>72</v>
      </c>
      <c r="G71">
        <v>122065</v>
      </c>
      <c r="H71">
        <v>80061994.200000003</v>
      </c>
      <c r="I71">
        <v>24.2</v>
      </c>
      <c r="J71">
        <v>0.20612813532352448</v>
      </c>
      <c r="K71">
        <v>0.35407407879829406</v>
      </c>
      <c r="L71">
        <v>0.20266666859388352</v>
      </c>
      <c r="M71">
        <v>0.95422222222222219</v>
      </c>
      <c r="N71">
        <v>0.97703703703703704</v>
      </c>
      <c r="O71">
        <v>0.98978644382544101</v>
      </c>
      <c r="P71">
        <v>47.6</v>
      </c>
      <c r="Q71">
        <v>3416191.8</v>
      </c>
      <c r="R71">
        <v>121534</v>
      </c>
      <c r="S71">
        <v>2</v>
      </c>
      <c r="T71">
        <v>228</v>
      </c>
      <c r="U71">
        <v>0.96133333333333326</v>
      </c>
      <c r="V71">
        <v>0.9748148148148148</v>
      </c>
      <c r="W71">
        <v>0.98997214484679663</v>
      </c>
      <c r="X71">
        <v>47.4</v>
      </c>
      <c r="Y71">
        <v>4469608.4000000004</v>
      </c>
      <c r="Z71">
        <v>122525</v>
      </c>
      <c r="AA71">
        <v>2</v>
      </c>
      <c r="AB71">
        <v>229</v>
      </c>
      <c r="AD71">
        <f>Tabela3[[#This Row],[kan_params]]</f>
        <v>122065</v>
      </c>
      <c r="AE71">
        <f>Tabela3[[#This Row],[kan_train_acc]]</f>
        <v>0.20612813532352448</v>
      </c>
      <c r="AF71">
        <f>Tabela3[[#This Row],[kan_val_acc]]</f>
        <v>0.35407407879829406</v>
      </c>
      <c r="AG71">
        <f>Tabela3[[#This Row],[kan_test_acc]]</f>
        <v>0.20266666859388352</v>
      </c>
      <c r="AH71">
        <f>Tabela3[[#This Row],[mlp_test_acc]]</f>
        <v>0.95422222222222219</v>
      </c>
      <c r="AI71">
        <f>Tabela3[[#This Row],[mlp_val_acc]]</f>
        <v>0.97703703703703704</v>
      </c>
      <c r="AJ71">
        <f>Tabela3[[#This Row],[mlp_train_acc]]</f>
        <v>0.98978644382544101</v>
      </c>
    </row>
    <row r="72" spans="1:36" x14ac:dyDescent="0.25">
      <c r="A72" t="s">
        <v>71</v>
      </c>
      <c r="B72">
        <v>8</v>
      </c>
      <c r="C72">
        <v>3</v>
      </c>
      <c r="D72">
        <v>2</v>
      </c>
      <c r="E72">
        <v>0</v>
      </c>
      <c r="F72" t="s">
        <v>182</v>
      </c>
      <c r="G72">
        <v>122658</v>
      </c>
      <c r="H72">
        <v>61521584</v>
      </c>
      <c r="I72">
        <v>16</v>
      </c>
      <c r="J72">
        <v>9.5636025071144104E-2</v>
      </c>
      <c r="K72">
        <v>0.14444445073604584</v>
      </c>
      <c r="L72">
        <v>8.6666665971279144E-2</v>
      </c>
      <c r="M72">
        <v>0.94666666666666666</v>
      </c>
      <c r="N72">
        <v>0.98888888888888893</v>
      </c>
      <c r="O72">
        <v>0.99350046425255334</v>
      </c>
      <c r="P72">
        <v>56</v>
      </c>
      <c r="Q72">
        <v>2495170</v>
      </c>
      <c r="R72">
        <v>122525</v>
      </c>
      <c r="S72">
        <v>2</v>
      </c>
      <c r="T72">
        <v>229</v>
      </c>
      <c r="U72">
        <v>0.93333333333333335</v>
      </c>
      <c r="V72">
        <v>0.97037037037037033</v>
      </c>
      <c r="W72">
        <v>0.97585886722376969</v>
      </c>
      <c r="X72">
        <v>27</v>
      </c>
      <c r="Y72">
        <v>1222185</v>
      </c>
      <c r="Z72">
        <v>123520</v>
      </c>
      <c r="AA72">
        <v>2</v>
      </c>
      <c r="AB72">
        <v>230</v>
      </c>
      <c r="AD72">
        <f>Tabela3[[#This Row],[kan_params]]</f>
        <v>122658</v>
      </c>
      <c r="AE72">
        <f>Tabela3[[#This Row],[kan_train_acc]]</f>
        <v>9.5636025071144104E-2</v>
      </c>
      <c r="AF72">
        <f>Tabela3[[#This Row],[kan_val_acc]]</f>
        <v>0.14444445073604584</v>
      </c>
      <c r="AG72">
        <f>Tabela3[[#This Row],[kan_test_acc]]</f>
        <v>8.6666665971279144E-2</v>
      </c>
      <c r="AH72">
        <f>Tabela3[[#This Row],[mlp_test_acc]]</f>
        <v>0.94666666666666666</v>
      </c>
      <c r="AI72">
        <f>Tabela3[[#This Row],[mlp_val_acc]]</f>
        <v>0.98888888888888893</v>
      </c>
      <c r="AJ72">
        <f>Tabela3[[#This Row],[mlp_train_acc]]</f>
        <v>0.99350046425255334</v>
      </c>
    </row>
    <row r="73" spans="1:36" x14ac:dyDescent="0.25">
      <c r="A73" t="s">
        <v>71</v>
      </c>
      <c r="B73">
        <v>8</v>
      </c>
      <c r="C73">
        <v>3</v>
      </c>
      <c r="D73">
        <v>2</v>
      </c>
      <c r="E73">
        <v>0</v>
      </c>
      <c r="F73" t="s">
        <v>77</v>
      </c>
      <c r="G73">
        <v>123274</v>
      </c>
      <c r="H73">
        <v>180846610</v>
      </c>
      <c r="I73">
        <v>37.6</v>
      </c>
      <c r="J73">
        <v>0.47892293930053709</v>
      </c>
      <c r="K73">
        <v>0.51629630327224729</v>
      </c>
      <c r="L73">
        <v>0.45599999725818635</v>
      </c>
      <c r="M73">
        <v>0.96133333333333326</v>
      </c>
      <c r="N73">
        <v>0.95851851851851855</v>
      </c>
      <c r="O73">
        <v>0.98960074280408539</v>
      </c>
      <c r="P73">
        <v>41.6</v>
      </c>
      <c r="Q73">
        <v>5799034.5999999996</v>
      </c>
      <c r="R73">
        <v>122525</v>
      </c>
      <c r="S73">
        <v>2</v>
      </c>
      <c r="T73">
        <v>229</v>
      </c>
      <c r="U73">
        <v>0.96177777777777773</v>
      </c>
      <c r="V73">
        <v>0.96296296296296291</v>
      </c>
      <c r="W73">
        <v>0.99312906220984221</v>
      </c>
      <c r="X73">
        <v>47.8</v>
      </c>
      <c r="Y73">
        <v>6675386.5999999996</v>
      </c>
      <c r="Z73">
        <v>123520</v>
      </c>
      <c r="AA73">
        <v>2</v>
      </c>
      <c r="AB73">
        <v>230</v>
      </c>
      <c r="AD73">
        <f>Tabela3[[#This Row],[kan_params]]</f>
        <v>123274</v>
      </c>
      <c r="AE73">
        <f>Tabela3[[#This Row],[kan_train_acc]]</f>
        <v>0.47892293930053709</v>
      </c>
      <c r="AF73">
        <f>Tabela3[[#This Row],[kan_val_acc]]</f>
        <v>0.51629630327224729</v>
      </c>
      <c r="AG73">
        <f>Tabela3[[#This Row],[kan_test_acc]]</f>
        <v>0.45599999725818635</v>
      </c>
      <c r="AH73">
        <f>Tabela3[[#This Row],[mlp_test_acc]]</f>
        <v>0.96133333333333326</v>
      </c>
      <c r="AI73">
        <f>Tabela3[[#This Row],[mlp_val_acc]]</f>
        <v>0.95851851851851855</v>
      </c>
      <c r="AJ73">
        <f>Tabela3[[#This Row],[mlp_train_acc]]</f>
        <v>0.98960074280408539</v>
      </c>
    </row>
    <row r="74" spans="1:36" x14ac:dyDescent="0.25">
      <c r="A74" t="s">
        <v>71</v>
      </c>
      <c r="B74">
        <v>12</v>
      </c>
      <c r="C74">
        <v>3</v>
      </c>
      <c r="D74">
        <v>4</v>
      </c>
      <c r="E74">
        <v>0</v>
      </c>
      <c r="F74" t="s">
        <v>156</v>
      </c>
      <c r="G74">
        <v>123826</v>
      </c>
      <c r="H74">
        <v>42428381.799999997</v>
      </c>
      <c r="I74">
        <v>12</v>
      </c>
      <c r="J74">
        <v>8.8393689692020411E-2</v>
      </c>
      <c r="K74">
        <v>0.23629629313945771</v>
      </c>
      <c r="L74">
        <v>8.0888889729976654E-2</v>
      </c>
      <c r="M74">
        <v>0.97111111111111115</v>
      </c>
      <c r="N74">
        <v>0.97777777777777775</v>
      </c>
      <c r="O74">
        <v>0.98978644382544101</v>
      </c>
      <c r="P74">
        <v>42</v>
      </c>
      <c r="Q74">
        <v>3585939.6</v>
      </c>
      <c r="R74">
        <v>123520</v>
      </c>
      <c r="S74">
        <v>2</v>
      </c>
      <c r="T74">
        <v>230</v>
      </c>
      <c r="U74">
        <v>0.97333333333333338</v>
      </c>
      <c r="V74">
        <v>0.98148148148148151</v>
      </c>
      <c r="W74">
        <v>0.98978644382544101</v>
      </c>
      <c r="X74">
        <v>51</v>
      </c>
      <c r="Y74">
        <v>4609768.4000000004</v>
      </c>
      <c r="Z74">
        <v>124519</v>
      </c>
      <c r="AA74">
        <v>2</v>
      </c>
      <c r="AB74">
        <v>231</v>
      </c>
      <c r="AD74">
        <f>Tabela3[[#This Row],[kan_params]]</f>
        <v>123826</v>
      </c>
      <c r="AE74">
        <f>Tabela3[[#This Row],[kan_train_acc]]</f>
        <v>8.8393689692020411E-2</v>
      </c>
      <c r="AF74">
        <f>Tabela3[[#This Row],[kan_val_acc]]</f>
        <v>0.23629629313945771</v>
      </c>
      <c r="AG74">
        <f>Tabela3[[#This Row],[kan_test_acc]]</f>
        <v>8.0888889729976654E-2</v>
      </c>
      <c r="AH74">
        <f>Tabela3[[#This Row],[mlp_test_acc]]</f>
        <v>0.97111111111111115</v>
      </c>
      <c r="AI74">
        <f>Tabela3[[#This Row],[mlp_val_acc]]</f>
        <v>0.97777777777777775</v>
      </c>
      <c r="AJ74">
        <f>Tabela3[[#This Row],[mlp_train_acc]]</f>
        <v>0.98978644382544101</v>
      </c>
    </row>
    <row r="75" spans="1:36" x14ac:dyDescent="0.25">
      <c r="A75" t="s">
        <v>71</v>
      </c>
      <c r="B75">
        <v>8</v>
      </c>
      <c r="C75">
        <v>3</v>
      </c>
      <c r="D75">
        <v>2</v>
      </c>
      <c r="E75">
        <v>0</v>
      </c>
      <c r="F75" t="s">
        <v>131</v>
      </c>
      <c r="G75">
        <v>124944</v>
      </c>
      <c r="H75">
        <v>174733808.40000001</v>
      </c>
      <c r="I75">
        <v>36</v>
      </c>
      <c r="J75">
        <v>0.21337047517299651</v>
      </c>
      <c r="K75">
        <v>0.33555556237697604</v>
      </c>
      <c r="L75">
        <v>0.2071111097931862</v>
      </c>
      <c r="M75">
        <v>0.97333333333333338</v>
      </c>
      <c r="N75">
        <v>0.98444444444444446</v>
      </c>
      <c r="O75">
        <v>0.99108635097493036</v>
      </c>
      <c r="P75">
        <v>51.4</v>
      </c>
      <c r="Q75">
        <v>4782319</v>
      </c>
      <c r="R75">
        <v>124519</v>
      </c>
      <c r="S75">
        <v>2</v>
      </c>
      <c r="T75">
        <v>231</v>
      </c>
      <c r="U75">
        <v>0.97288888888888891</v>
      </c>
      <c r="V75">
        <v>0.97925925925925927</v>
      </c>
      <c r="W75">
        <v>0.98607242339832868</v>
      </c>
      <c r="X75">
        <v>44.2</v>
      </c>
      <c r="Y75">
        <v>3838481.2</v>
      </c>
      <c r="Z75">
        <v>125522</v>
      </c>
      <c r="AA75">
        <v>2</v>
      </c>
      <c r="AB75">
        <v>232</v>
      </c>
      <c r="AD75">
        <f>Tabela3[[#This Row],[kan_params]]</f>
        <v>124944</v>
      </c>
      <c r="AE75">
        <f>Tabela3[[#This Row],[kan_train_acc]]</f>
        <v>0.21337047517299651</v>
      </c>
      <c r="AF75">
        <f>Tabela3[[#This Row],[kan_val_acc]]</f>
        <v>0.33555556237697604</v>
      </c>
      <c r="AG75">
        <f>Tabela3[[#This Row],[kan_test_acc]]</f>
        <v>0.2071111097931862</v>
      </c>
      <c r="AH75">
        <f>Tabela3[[#This Row],[mlp_test_acc]]</f>
        <v>0.97333333333333338</v>
      </c>
      <c r="AI75">
        <f>Tabela3[[#This Row],[mlp_val_acc]]</f>
        <v>0.98444444444444446</v>
      </c>
      <c r="AJ75">
        <f>Tabela3[[#This Row],[mlp_train_acc]]</f>
        <v>0.99108635097493036</v>
      </c>
    </row>
    <row r="76" spans="1:36" x14ac:dyDescent="0.25">
      <c r="A76" t="s">
        <v>71</v>
      </c>
      <c r="B76">
        <v>8</v>
      </c>
      <c r="C76">
        <v>3</v>
      </c>
      <c r="D76">
        <v>2</v>
      </c>
      <c r="E76">
        <v>0</v>
      </c>
      <c r="F76" t="s">
        <v>171</v>
      </c>
      <c r="G76">
        <v>125200</v>
      </c>
      <c r="H76">
        <v>217044123</v>
      </c>
      <c r="I76">
        <v>47.6</v>
      </c>
      <c r="J76">
        <v>0.69897863864898679</v>
      </c>
      <c r="K76">
        <v>0.74740740060806277</v>
      </c>
      <c r="L76">
        <v>0.68044444322586062</v>
      </c>
      <c r="M76">
        <v>0.96266666666666667</v>
      </c>
      <c r="N76">
        <v>0.9622222222222222</v>
      </c>
      <c r="O76">
        <v>0.99257195914577523</v>
      </c>
      <c r="P76">
        <v>49.4</v>
      </c>
      <c r="Q76">
        <v>6914841.4000000004</v>
      </c>
      <c r="R76">
        <v>124519</v>
      </c>
      <c r="S76">
        <v>2</v>
      </c>
      <c r="T76">
        <v>231</v>
      </c>
      <c r="U76">
        <v>0.96266666666666667</v>
      </c>
      <c r="V76">
        <v>0.95777777777777773</v>
      </c>
      <c r="W76">
        <v>0.99090064995357474</v>
      </c>
      <c r="X76">
        <v>44</v>
      </c>
      <c r="Y76">
        <v>5295940.4000000004</v>
      </c>
      <c r="Z76">
        <v>125522</v>
      </c>
      <c r="AA76">
        <v>2</v>
      </c>
      <c r="AB76">
        <v>232</v>
      </c>
      <c r="AD76">
        <f>Tabela3[[#This Row],[kan_params]]</f>
        <v>125200</v>
      </c>
      <c r="AE76">
        <f>Tabela3[[#This Row],[kan_train_acc]]</f>
        <v>0.69897863864898679</v>
      </c>
      <c r="AF76">
        <f>Tabela3[[#This Row],[kan_val_acc]]</f>
        <v>0.74740740060806277</v>
      </c>
      <c r="AG76">
        <f>Tabela3[[#This Row],[kan_test_acc]]</f>
        <v>0.68044444322586062</v>
      </c>
      <c r="AH76">
        <f>Tabela3[[#This Row],[mlp_test_acc]]</f>
        <v>0.96266666666666667</v>
      </c>
      <c r="AI76">
        <f>Tabela3[[#This Row],[mlp_val_acc]]</f>
        <v>0.9622222222222222</v>
      </c>
      <c r="AJ76">
        <f>Tabela3[[#This Row],[mlp_train_acc]]</f>
        <v>0.99257195914577523</v>
      </c>
    </row>
    <row r="77" spans="1:36" x14ac:dyDescent="0.25">
      <c r="A77" t="s">
        <v>71</v>
      </c>
      <c r="B77">
        <v>18</v>
      </c>
      <c r="C77">
        <v>9</v>
      </c>
      <c r="D77">
        <v>4</v>
      </c>
      <c r="E77">
        <v>0</v>
      </c>
      <c r="F77" t="s">
        <v>110</v>
      </c>
      <c r="G77">
        <v>125878</v>
      </c>
      <c r="H77">
        <v>53839975.399999999</v>
      </c>
      <c r="I77">
        <v>18.600000000000001</v>
      </c>
      <c r="J77">
        <v>0.15246053934097289</v>
      </c>
      <c r="K77">
        <v>0.31925926208496092</v>
      </c>
      <c r="L77">
        <v>0.14844444319605826</v>
      </c>
      <c r="M77">
        <v>0.97466666666666668</v>
      </c>
      <c r="N77">
        <v>0.9748148148148148</v>
      </c>
      <c r="O77">
        <v>0.98737233054781803</v>
      </c>
      <c r="P77">
        <v>45.6</v>
      </c>
      <c r="Q77">
        <v>4196754</v>
      </c>
      <c r="R77">
        <v>125522</v>
      </c>
      <c r="S77">
        <v>2</v>
      </c>
      <c r="T77">
        <v>232</v>
      </c>
      <c r="U77">
        <v>0.96844444444444444</v>
      </c>
      <c r="V77">
        <v>0.97407407407407409</v>
      </c>
      <c r="W77">
        <v>0.98737233054781803</v>
      </c>
      <c r="X77">
        <v>44.4</v>
      </c>
      <c r="Y77">
        <v>3152046.8</v>
      </c>
      <c r="Z77">
        <v>126529</v>
      </c>
      <c r="AA77">
        <v>2</v>
      </c>
      <c r="AB77">
        <v>233</v>
      </c>
      <c r="AD77">
        <f>Tabela3[[#This Row],[kan_params]]</f>
        <v>125878</v>
      </c>
      <c r="AE77">
        <f>Tabela3[[#This Row],[kan_train_acc]]</f>
        <v>0.15246053934097289</v>
      </c>
      <c r="AF77">
        <f>Tabela3[[#This Row],[kan_val_acc]]</f>
        <v>0.31925926208496092</v>
      </c>
      <c r="AG77">
        <f>Tabela3[[#This Row],[kan_test_acc]]</f>
        <v>0.14844444319605826</v>
      </c>
      <c r="AH77">
        <f>Tabela3[[#This Row],[mlp_test_acc]]</f>
        <v>0.97466666666666668</v>
      </c>
      <c r="AI77">
        <f>Tabela3[[#This Row],[mlp_val_acc]]</f>
        <v>0.9748148148148148</v>
      </c>
      <c r="AJ77">
        <f>Tabela3[[#This Row],[mlp_train_acc]]</f>
        <v>0.98737233054781803</v>
      </c>
    </row>
    <row r="78" spans="1:36" x14ac:dyDescent="0.25">
      <c r="A78" t="s">
        <v>71</v>
      </c>
      <c r="B78">
        <v>8</v>
      </c>
      <c r="C78">
        <v>3</v>
      </c>
      <c r="D78">
        <v>2</v>
      </c>
      <c r="E78">
        <v>0</v>
      </c>
      <c r="F78" t="s">
        <v>118</v>
      </c>
      <c r="G78">
        <v>126689</v>
      </c>
      <c r="H78">
        <v>137098032.40000001</v>
      </c>
      <c r="I78">
        <v>30</v>
      </c>
      <c r="J78">
        <v>0.23491179049015046</v>
      </c>
      <c r="K78">
        <v>0.29407407045364381</v>
      </c>
      <c r="L78">
        <v>0.24355555474758148</v>
      </c>
      <c r="M78">
        <v>0.97466666666666668</v>
      </c>
      <c r="N78">
        <v>0.98222222222222222</v>
      </c>
      <c r="O78">
        <v>0.99015784586815225</v>
      </c>
      <c r="P78">
        <v>50</v>
      </c>
      <c r="Q78">
        <v>5013495.5999999996</v>
      </c>
      <c r="R78">
        <v>126529</v>
      </c>
      <c r="S78">
        <v>2</v>
      </c>
      <c r="T78">
        <v>233</v>
      </c>
      <c r="U78">
        <v>0.97511111111111104</v>
      </c>
      <c r="V78">
        <v>0.98370370370370375</v>
      </c>
      <c r="W78">
        <v>0.99182915506035285</v>
      </c>
      <c r="X78">
        <v>48.4</v>
      </c>
      <c r="Y78">
        <v>2920324.6</v>
      </c>
      <c r="Z78">
        <v>127540</v>
      </c>
      <c r="AA78">
        <v>2</v>
      </c>
      <c r="AB78">
        <v>234</v>
      </c>
      <c r="AD78">
        <f>Tabela3[[#This Row],[kan_params]]</f>
        <v>126689</v>
      </c>
      <c r="AE78">
        <f>Tabela3[[#This Row],[kan_train_acc]]</f>
        <v>0.23491179049015046</v>
      </c>
      <c r="AF78">
        <f>Tabela3[[#This Row],[kan_val_acc]]</f>
        <v>0.29407407045364381</v>
      </c>
      <c r="AG78">
        <f>Tabela3[[#This Row],[kan_test_acc]]</f>
        <v>0.24355555474758148</v>
      </c>
      <c r="AH78">
        <f>Tabela3[[#This Row],[mlp_test_acc]]</f>
        <v>0.97466666666666668</v>
      </c>
      <c r="AI78">
        <f>Tabela3[[#This Row],[mlp_val_acc]]</f>
        <v>0.98222222222222222</v>
      </c>
      <c r="AJ78">
        <f>Tabela3[[#This Row],[mlp_train_acc]]</f>
        <v>0.99015784586815225</v>
      </c>
    </row>
    <row r="79" spans="1:36" x14ac:dyDescent="0.25">
      <c r="A79" t="s">
        <v>71</v>
      </c>
      <c r="B79">
        <v>10</v>
      </c>
      <c r="C79">
        <v>3</v>
      </c>
      <c r="D79">
        <v>3</v>
      </c>
      <c r="E79">
        <v>0</v>
      </c>
      <c r="F79" t="s">
        <v>73</v>
      </c>
      <c r="G79">
        <v>127990</v>
      </c>
      <c r="H79">
        <v>84756264.599999994</v>
      </c>
      <c r="I79">
        <v>24.8</v>
      </c>
      <c r="J79">
        <v>0.23119777739048003</v>
      </c>
      <c r="K79">
        <v>0.35925925970077516</v>
      </c>
      <c r="L79">
        <v>0.22133333384990692</v>
      </c>
      <c r="M79">
        <v>0.96</v>
      </c>
      <c r="N79">
        <v>0.97629629629629633</v>
      </c>
      <c r="O79">
        <v>0.99257195914577534</v>
      </c>
      <c r="P79">
        <v>52.8</v>
      </c>
      <c r="Q79">
        <v>4080035.4</v>
      </c>
      <c r="R79">
        <v>127540</v>
      </c>
      <c r="S79">
        <v>2</v>
      </c>
      <c r="T79">
        <v>234</v>
      </c>
      <c r="U79">
        <v>0.95777777777777773</v>
      </c>
      <c r="V79">
        <v>0.97259259259259256</v>
      </c>
      <c r="W79">
        <v>0.99090064995357474</v>
      </c>
      <c r="X79">
        <v>49.6</v>
      </c>
      <c r="Y79">
        <v>2968011.4</v>
      </c>
      <c r="Z79">
        <v>128555</v>
      </c>
      <c r="AA79">
        <v>2</v>
      </c>
      <c r="AB79">
        <v>235</v>
      </c>
      <c r="AD79">
        <f>Tabela3[[#This Row],[kan_params]]</f>
        <v>127990</v>
      </c>
      <c r="AE79">
        <f>Tabela3[[#This Row],[kan_train_acc]]</f>
        <v>0.23119777739048003</v>
      </c>
      <c r="AF79">
        <f>Tabela3[[#This Row],[kan_val_acc]]</f>
        <v>0.35925925970077516</v>
      </c>
      <c r="AG79">
        <f>Tabela3[[#This Row],[kan_test_acc]]</f>
        <v>0.22133333384990692</v>
      </c>
      <c r="AH79">
        <f>Tabela3[[#This Row],[mlp_test_acc]]</f>
        <v>0.96</v>
      </c>
      <c r="AI79">
        <f>Tabela3[[#This Row],[mlp_val_acc]]</f>
        <v>0.97629629629629633</v>
      </c>
      <c r="AJ79">
        <f>Tabela3[[#This Row],[mlp_train_acc]]</f>
        <v>0.99257195914577534</v>
      </c>
    </row>
    <row r="80" spans="1:36" x14ac:dyDescent="0.25">
      <c r="A80" t="s">
        <v>71</v>
      </c>
      <c r="B80">
        <v>8</v>
      </c>
      <c r="C80">
        <v>3</v>
      </c>
      <c r="D80">
        <v>2</v>
      </c>
      <c r="E80">
        <v>0</v>
      </c>
      <c r="F80" t="s">
        <v>145</v>
      </c>
      <c r="G80">
        <v>128274</v>
      </c>
      <c r="H80">
        <v>105915083.2</v>
      </c>
      <c r="I80">
        <v>21</v>
      </c>
      <c r="J80">
        <v>0.12887650877237319</v>
      </c>
      <c r="K80">
        <v>0.30518518090248109</v>
      </c>
      <c r="L80">
        <v>0.12399999946355819</v>
      </c>
      <c r="M80">
        <v>0.97466666666666668</v>
      </c>
      <c r="N80">
        <v>0.98296296296296304</v>
      </c>
      <c r="O80">
        <v>0.99090064995357474</v>
      </c>
      <c r="P80">
        <v>49.6</v>
      </c>
      <c r="Q80">
        <v>4663338.4000000004</v>
      </c>
      <c r="R80">
        <v>127540</v>
      </c>
      <c r="S80">
        <v>2</v>
      </c>
      <c r="T80">
        <v>234</v>
      </c>
      <c r="U80">
        <v>0.97466666666666668</v>
      </c>
      <c r="V80">
        <v>0.98444444444444446</v>
      </c>
      <c r="W80">
        <v>0.98811513463324052</v>
      </c>
      <c r="X80">
        <v>46.8</v>
      </c>
      <c r="Y80">
        <v>4624685</v>
      </c>
      <c r="Z80">
        <v>128555</v>
      </c>
      <c r="AA80">
        <v>2</v>
      </c>
      <c r="AB80">
        <v>235</v>
      </c>
      <c r="AD80">
        <f>Tabela3[[#This Row],[kan_params]]</f>
        <v>128274</v>
      </c>
      <c r="AE80">
        <f>Tabela3[[#This Row],[kan_train_acc]]</f>
        <v>0.12887650877237319</v>
      </c>
      <c r="AF80">
        <f>Tabela3[[#This Row],[kan_val_acc]]</f>
        <v>0.30518518090248109</v>
      </c>
      <c r="AG80">
        <f>Tabela3[[#This Row],[kan_test_acc]]</f>
        <v>0.12399999946355819</v>
      </c>
      <c r="AH80">
        <f>Tabela3[[#This Row],[mlp_test_acc]]</f>
        <v>0.97466666666666668</v>
      </c>
      <c r="AI80">
        <f>Tabela3[[#This Row],[mlp_val_acc]]</f>
        <v>0.98296296296296304</v>
      </c>
      <c r="AJ80">
        <f>Tabela3[[#This Row],[mlp_train_acc]]</f>
        <v>0.99090064995357474</v>
      </c>
    </row>
    <row r="81" spans="1:36" x14ac:dyDescent="0.25">
      <c r="A81" t="s">
        <v>71</v>
      </c>
      <c r="B81">
        <v>8</v>
      </c>
      <c r="C81">
        <v>3</v>
      </c>
      <c r="D81">
        <v>2</v>
      </c>
      <c r="E81">
        <v>0</v>
      </c>
      <c r="F81" t="s">
        <v>132</v>
      </c>
      <c r="G81">
        <v>130149</v>
      </c>
      <c r="H81">
        <v>119325702.59999999</v>
      </c>
      <c r="I81">
        <v>24.8</v>
      </c>
      <c r="J81">
        <v>0.1689879298210144</v>
      </c>
      <c r="K81">
        <v>0.23555555641651155</v>
      </c>
      <c r="L81">
        <v>0.16400000154972078</v>
      </c>
      <c r="M81">
        <v>0.97377777777777774</v>
      </c>
      <c r="N81">
        <v>0.98370370370370375</v>
      </c>
      <c r="O81">
        <v>0.98960074280408539</v>
      </c>
      <c r="P81">
        <v>48.8</v>
      </c>
      <c r="Q81">
        <v>4085996.6</v>
      </c>
      <c r="R81">
        <v>129574</v>
      </c>
      <c r="S81">
        <v>2</v>
      </c>
      <c r="T81">
        <v>236</v>
      </c>
      <c r="U81">
        <v>0.97066666666666668</v>
      </c>
      <c r="V81">
        <v>0.97851851851851857</v>
      </c>
      <c r="W81">
        <v>0.98588672237697306</v>
      </c>
      <c r="X81">
        <v>41</v>
      </c>
      <c r="Y81">
        <v>2914219.2</v>
      </c>
      <c r="Z81">
        <v>130597</v>
      </c>
      <c r="AA81">
        <v>2</v>
      </c>
      <c r="AB81">
        <v>237</v>
      </c>
      <c r="AD81">
        <f>Tabela3[[#This Row],[kan_params]]</f>
        <v>130149</v>
      </c>
      <c r="AE81">
        <f>Tabela3[[#This Row],[kan_train_acc]]</f>
        <v>0.1689879298210144</v>
      </c>
      <c r="AF81">
        <f>Tabela3[[#This Row],[kan_val_acc]]</f>
        <v>0.23555555641651155</v>
      </c>
      <c r="AG81">
        <f>Tabela3[[#This Row],[kan_test_acc]]</f>
        <v>0.16400000154972078</v>
      </c>
      <c r="AH81">
        <f>Tabela3[[#This Row],[mlp_test_acc]]</f>
        <v>0.97377777777777774</v>
      </c>
      <c r="AI81">
        <f>Tabela3[[#This Row],[mlp_val_acc]]</f>
        <v>0.98370370370370375</v>
      </c>
      <c r="AJ81">
        <f>Tabela3[[#This Row],[mlp_train_acc]]</f>
        <v>0.98960074280408539</v>
      </c>
    </row>
    <row r="82" spans="1:36" x14ac:dyDescent="0.25">
      <c r="A82" t="s">
        <v>71</v>
      </c>
      <c r="B82">
        <v>12</v>
      </c>
      <c r="C82">
        <v>3</v>
      </c>
      <c r="D82">
        <v>4</v>
      </c>
      <c r="E82">
        <v>0</v>
      </c>
      <c r="F82" t="s">
        <v>157</v>
      </c>
      <c r="G82">
        <v>130861</v>
      </c>
      <c r="H82">
        <v>78650378.400000006</v>
      </c>
      <c r="I82">
        <v>21.2</v>
      </c>
      <c r="J82">
        <v>0.12999071627855302</v>
      </c>
      <c r="K82">
        <v>0.18518518507480622</v>
      </c>
      <c r="L82">
        <v>0.13111111372709275</v>
      </c>
      <c r="M82">
        <v>0.97022222222222221</v>
      </c>
      <c r="N82">
        <v>0.97777777777777775</v>
      </c>
      <c r="O82">
        <v>0.98811513463324041</v>
      </c>
      <c r="P82">
        <v>42</v>
      </c>
      <c r="Q82">
        <v>4623175.2</v>
      </c>
      <c r="R82">
        <v>130597</v>
      </c>
      <c r="S82">
        <v>2</v>
      </c>
      <c r="T82">
        <v>237</v>
      </c>
      <c r="U82">
        <v>0.97155555555555551</v>
      </c>
      <c r="V82">
        <v>0.97703703703703704</v>
      </c>
      <c r="W82">
        <v>0.98774373259052928</v>
      </c>
      <c r="X82">
        <v>42.8</v>
      </c>
      <c r="Y82">
        <v>4778767.8</v>
      </c>
      <c r="Z82">
        <v>131624</v>
      </c>
      <c r="AA82">
        <v>2</v>
      </c>
      <c r="AB82">
        <v>238</v>
      </c>
      <c r="AD82">
        <f>Tabela3[[#This Row],[kan_params]]</f>
        <v>130861</v>
      </c>
      <c r="AE82">
        <f>Tabela3[[#This Row],[kan_train_acc]]</f>
        <v>0.12999071627855302</v>
      </c>
      <c r="AF82">
        <f>Tabela3[[#This Row],[kan_val_acc]]</f>
        <v>0.18518518507480622</v>
      </c>
      <c r="AG82">
        <f>Tabela3[[#This Row],[kan_test_acc]]</f>
        <v>0.13111111372709275</v>
      </c>
      <c r="AH82">
        <f>Tabela3[[#This Row],[mlp_test_acc]]</f>
        <v>0.97022222222222221</v>
      </c>
      <c r="AI82">
        <f>Tabela3[[#This Row],[mlp_val_acc]]</f>
        <v>0.97777777777777775</v>
      </c>
      <c r="AJ82">
        <f>Tabela3[[#This Row],[mlp_train_acc]]</f>
        <v>0.98811513463324041</v>
      </c>
    </row>
    <row r="83" spans="1:36" x14ac:dyDescent="0.25">
      <c r="A83" t="s">
        <v>71</v>
      </c>
      <c r="B83">
        <v>8</v>
      </c>
      <c r="C83">
        <v>3</v>
      </c>
      <c r="D83">
        <v>2</v>
      </c>
      <c r="E83">
        <v>0</v>
      </c>
      <c r="F83" t="s">
        <v>119</v>
      </c>
      <c r="G83">
        <v>131764</v>
      </c>
      <c r="H83">
        <v>99973612.200000003</v>
      </c>
      <c r="I83">
        <v>20.8</v>
      </c>
      <c r="J83">
        <v>0.14763230979442596</v>
      </c>
      <c r="K83">
        <v>0.2214814841747284</v>
      </c>
      <c r="L83">
        <v>0.15066666752099991</v>
      </c>
      <c r="M83">
        <v>0.97155555555555562</v>
      </c>
      <c r="N83">
        <v>0.98074074074074069</v>
      </c>
      <c r="O83">
        <v>0.98830083565459603</v>
      </c>
      <c r="P83">
        <v>43.2</v>
      </c>
      <c r="Q83">
        <v>4186813</v>
      </c>
      <c r="R83">
        <v>131624</v>
      </c>
      <c r="S83">
        <v>2</v>
      </c>
      <c r="T83">
        <v>238</v>
      </c>
      <c r="U83">
        <v>0.97511111111111104</v>
      </c>
      <c r="V83">
        <v>0.98296296296296293</v>
      </c>
      <c r="W83">
        <v>0.99405756731662021</v>
      </c>
      <c r="X83">
        <v>52.4</v>
      </c>
      <c r="Y83">
        <v>3210344.8</v>
      </c>
      <c r="Z83">
        <v>132655</v>
      </c>
      <c r="AA83">
        <v>2</v>
      </c>
      <c r="AB83">
        <v>239</v>
      </c>
      <c r="AD83">
        <f>Tabela3[[#This Row],[kan_params]]</f>
        <v>131764</v>
      </c>
      <c r="AE83">
        <f>Tabela3[[#This Row],[kan_train_acc]]</f>
        <v>0.14763230979442596</v>
      </c>
      <c r="AF83">
        <f>Tabela3[[#This Row],[kan_val_acc]]</f>
        <v>0.2214814841747284</v>
      </c>
      <c r="AG83">
        <f>Tabela3[[#This Row],[kan_test_acc]]</f>
        <v>0.15066666752099991</v>
      </c>
      <c r="AH83">
        <f>Tabela3[[#This Row],[mlp_test_acc]]</f>
        <v>0.97155555555555562</v>
      </c>
      <c r="AI83">
        <f>Tabela3[[#This Row],[mlp_val_acc]]</f>
        <v>0.98074074074074069</v>
      </c>
      <c r="AJ83">
        <f>Tabela3[[#This Row],[mlp_train_acc]]</f>
        <v>0.98830083565459603</v>
      </c>
    </row>
    <row r="84" spans="1:36" x14ac:dyDescent="0.25">
      <c r="A84" t="s">
        <v>71</v>
      </c>
      <c r="B84">
        <v>8</v>
      </c>
      <c r="C84">
        <v>3</v>
      </c>
      <c r="D84">
        <v>2</v>
      </c>
      <c r="E84">
        <v>0</v>
      </c>
      <c r="F84" t="s">
        <v>146</v>
      </c>
      <c r="G84">
        <v>133609</v>
      </c>
      <c r="H84">
        <v>185496971</v>
      </c>
      <c r="I84">
        <v>36.4</v>
      </c>
      <c r="J84">
        <v>0.22636954933404924</v>
      </c>
      <c r="K84">
        <v>0.3711111068725586</v>
      </c>
      <c r="L84">
        <v>0.21288888901472092</v>
      </c>
      <c r="M84">
        <v>0.97377777777777785</v>
      </c>
      <c r="N84">
        <v>0.98222222222222222</v>
      </c>
      <c r="O84">
        <v>0.98811513463324052</v>
      </c>
      <c r="P84">
        <v>44.8</v>
      </c>
      <c r="Q84">
        <v>4459016.8</v>
      </c>
      <c r="R84">
        <v>132655</v>
      </c>
      <c r="S84">
        <v>2</v>
      </c>
      <c r="T84">
        <v>239</v>
      </c>
      <c r="U84">
        <v>0.97333333333333338</v>
      </c>
      <c r="V84">
        <v>0.97925925925925927</v>
      </c>
      <c r="W84">
        <v>0.98960074280408539</v>
      </c>
      <c r="X84">
        <v>43.8</v>
      </c>
      <c r="Y84">
        <v>3575108.2</v>
      </c>
      <c r="Z84">
        <v>133690</v>
      </c>
      <c r="AA84">
        <v>2</v>
      </c>
      <c r="AB84">
        <v>240</v>
      </c>
      <c r="AD84">
        <f>Tabela3[[#This Row],[kan_params]]</f>
        <v>133609</v>
      </c>
      <c r="AE84">
        <f>Tabela3[[#This Row],[kan_train_acc]]</f>
        <v>0.22636954933404924</v>
      </c>
      <c r="AF84">
        <f>Tabela3[[#This Row],[kan_val_acc]]</f>
        <v>0.3711111068725586</v>
      </c>
      <c r="AG84">
        <f>Tabela3[[#This Row],[kan_test_acc]]</f>
        <v>0.21288888901472092</v>
      </c>
      <c r="AH84">
        <f>Tabela3[[#This Row],[mlp_test_acc]]</f>
        <v>0.97377777777777785</v>
      </c>
      <c r="AI84">
        <f>Tabela3[[#This Row],[mlp_val_acc]]</f>
        <v>0.98222222222222222</v>
      </c>
      <c r="AJ84">
        <f>Tabela3[[#This Row],[mlp_train_acc]]</f>
        <v>0.98811513463324052</v>
      </c>
    </row>
    <row r="85" spans="1:36" x14ac:dyDescent="0.25">
      <c r="A85" t="s">
        <v>71</v>
      </c>
      <c r="B85">
        <v>10</v>
      </c>
      <c r="C85">
        <v>3</v>
      </c>
      <c r="D85">
        <v>3</v>
      </c>
      <c r="E85">
        <v>0</v>
      </c>
      <c r="F85" t="s">
        <v>74</v>
      </c>
      <c r="G85">
        <v>133915</v>
      </c>
      <c r="H85">
        <v>165964322.40000001</v>
      </c>
      <c r="I85">
        <v>47.2</v>
      </c>
      <c r="J85">
        <v>0.317920146882534</v>
      </c>
      <c r="K85">
        <v>0.49925926923751829</v>
      </c>
      <c r="L85">
        <v>0.31599999964237213</v>
      </c>
      <c r="M85">
        <v>0.9622222222222222</v>
      </c>
      <c r="N85">
        <v>0.97703703703703704</v>
      </c>
      <c r="O85">
        <v>0.99201485608170847</v>
      </c>
      <c r="P85">
        <v>56.6</v>
      </c>
      <c r="Q85">
        <v>3440595</v>
      </c>
      <c r="R85">
        <v>133690</v>
      </c>
      <c r="S85">
        <v>2</v>
      </c>
      <c r="T85">
        <v>240</v>
      </c>
      <c r="U85">
        <v>0.96444444444444444</v>
      </c>
      <c r="V85">
        <v>0.9748148148148148</v>
      </c>
      <c r="W85">
        <v>0.99238625812441961</v>
      </c>
      <c r="X85">
        <v>52.6</v>
      </c>
      <c r="Y85">
        <v>4331464.2</v>
      </c>
      <c r="Z85">
        <v>134729</v>
      </c>
      <c r="AA85">
        <v>2</v>
      </c>
      <c r="AB85">
        <v>241</v>
      </c>
      <c r="AD85">
        <f>Tabela3[[#This Row],[kan_params]]</f>
        <v>133915</v>
      </c>
      <c r="AE85">
        <f>Tabela3[[#This Row],[kan_train_acc]]</f>
        <v>0.317920146882534</v>
      </c>
      <c r="AF85">
        <f>Tabela3[[#This Row],[kan_val_acc]]</f>
        <v>0.49925926923751829</v>
      </c>
      <c r="AG85">
        <f>Tabela3[[#This Row],[kan_test_acc]]</f>
        <v>0.31599999964237213</v>
      </c>
      <c r="AH85">
        <f>Tabela3[[#This Row],[mlp_test_acc]]</f>
        <v>0.9622222222222222</v>
      </c>
      <c r="AI85">
        <f>Tabela3[[#This Row],[mlp_val_acc]]</f>
        <v>0.97703703703703704</v>
      </c>
      <c r="AJ85">
        <f>Tabela3[[#This Row],[mlp_train_acc]]</f>
        <v>0.99201485608170847</v>
      </c>
    </row>
    <row r="86" spans="1:36" x14ac:dyDescent="0.25">
      <c r="A86" t="s">
        <v>71</v>
      </c>
      <c r="B86">
        <v>18</v>
      </c>
      <c r="C86">
        <v>9</v>
      </c>
      <c r="D86">
        <v>4</v>
      </c>
      <c r="E86">
        <v>0</v>
      </c>
      <c r="F86" t="s">
        <v>153</v>
      </c>
      <c r="G86">
        <v>135133</v>
      </c>
      <c r="H86">
        <v>64226390</v>
      </c>
      <c r="I86">
        <v>20</v>
      </c>
      <c r="J86">
        <v>0.16453110575675964</v>
      </c>
      <c r="K86">
        <v>0.25703704059123994</v>
      </c>
      <c r="L86">
        <v>0.15288888663053513</v>
      </c>
      <c r="M86">
        <v>0.97377777777777785</v>
      </c>
      <c r="N86">
        <v>0.97111111111111104</v>
      </c>
      <c r="O86">
        <v>0.98570102135561755</v>
      </c>
      <c r="P86">
        <v>38.6</v>
      </c>
      <c r="Q86">
        <v>3168572.6</v>
      </c>
      <c r="R86">
        <v>134729</v>
      </c>
      <c r="S86">
        <v>2</v>
      </c>
      <c r="T86">
        <v>241</v>
      </c>
      <c r="U86">
        <v>0.97777777777777775</v>
      </c>
      <c r="V86">
        <v>0.97333333333333338</v>
      </c>
      <c r="W86">
        <v>0.99294336118848647</v>
      </c>
      <c r="X86">
        <v>49</v>
      </c>
      <c r="Y86">
        <v>5174361.4000000004</v>
      </c>
      <c r="Z86">
        <v>135772</v>
      </c>
      <c r="AA86">
        <v>2</v>
      </c>
      <c r="AB86">
        <v>242</v>
      </c>
      <c r="AD86">
        <f>Tabela3[[#This Row],[kan_params]]</f>
        <v>135133</v>
      </c>
      <c r="AE86">
        <f>Tabela3[[#This Row],[kan_train_acc]]</f>
        <v>0.16453110575675964</v>
      </c>
      <c r="AF86">
        <f>Tabela3[[#This Row],[kan_val_acc]]</f>
        <v>0.25703704059123994</v>
      </c>
      <c r="AG86">
        <f>Tabela3[[#This Row],[kan_test_acc]]</f>
        <v>0.15288888663053513</v>
      </c>
      <c r="AH86">
        <f>Tabela3[[#This Row],[mlp_test_acc]]</f>
        <v>0.97377777777777785</v>
      </c>
      <c r="AI86">
        <f>Tabela3[[#This Row],[mlp_val_acc]]</f>
        <v>0.97111111111111104</v>
      </c>
      <c r="AJ86">
        <f>Tabela3[[#This Row],[mlp_train_acc]]</f>
        <v>0.98570102135561755</v>
      </c>
    </row>
    <row r="87" spans="1:36" x14ac:dyDescent="0.25">
      <c r="A87" t="s">
        <v>71</v>
      </c>
      <c r="B87">
        <v>8</v>
      </c>
      <c r="C87">
        <v>3</v>
      </c>
      <c r="D87">
        <v>2</v>
      </c>
      <c r="E87">
        <v>0</v>
      </c>
      <c r="F87" t="s">
        <v>133</v>
      </c>
      <c r="G87">
        <v>135354</v>
      </c>
      <c r="H87">
        <v>89124314.799999997</v>
      </c>
      <c r="I87">
        <v>16.2</v>
      </c>
      <c r="J87">
        <v>0.12720520049333572</v>
      </c>
      <c r="K87">
        <v>0.21407407224178315</v>
      </c>
      <c r="L87">
        <v>0.11644444167613983</v>
      </c>
      <c r="M87">
        <v>0.97555555555555551</v>
      </c>
      <c r="N87">
        <v>0.97851851851851845</v>
      </c>
      <c r="O87">
        <v>0.99071494893221912</v>
      </c>
      <c r="P87">
        <v>48.4</v>
      </c>
      <c r="Q87">
        <v>4433408.2</v>
      </c>
      <c r="R87">
        <v>134729</v>
      </c>
      <c r="S87">
        <v>2</v>
      </c>
      <c r="T87">
        <v>241</v>
      </c>
      <c r="U87">
        <v>0.97377777777777785</v>
      </c>
      <c r="V87">
        <v>0.9807407407407408</v>
      </c>
      <c r="W87">
        <v>0.99127205199628599</v>
      </c>
      <c r="X87">
        <v>51</v>
      </c>
      <c r="Y87">
        <v>4388452.5999999996</v>
      </c>
      <c r="Z87">
        <v>135772</v>
      </c>
      <c r="AA87">
        <v>2</v>
      </c>
      <c r="AB87">
        <v>242</v>
      </c>
      <c r="AD87">
        <f>Tabela3[[#This Row],[kan_params]]</f>
        <v>135354</v>
      </c>
      <c r="AE87">
        <f>Tabela3[[#This Row],[kan_train_acc]]</f>
        <v>0.12720520049333572</v>
      </c>
      <c r="AF87">
        <f>Tabela3[[#This Row],[kan_val_acc]]</f>
        <v>0.21407407224178315</v>
      </c>
      <c r="AG87">
        <f>Tabela3[[#This Row],[kan_test_acc]]</f>
        <v>0.11644444167613983</v>
      </c>
      <c r="AH87">
        <f>Tabela3[[#This Row],[mlp_test_acc]]</f>
        <v>0.97555555555555551</v>
      </c>
      <c r="AI87">
        <f>Tabela3[[#This Row],[mlp_val_acc]]</f>
        <v>0.97851851851851845</v>
      </c>
      <c r="AJ87">
        <f>Tabela3[[#This Row],[mlp_train_acc]]</f>
        <v>0.99071494893221912</v>
      </c>
    </row>
    <row r="88" spans="1:36" x14ac:dyDescent="0.25">
      <c r="A88" t="s">
        <v>71</v>
      </c>
      <c r="B88">
        <v>8</v>
      </c>
      <c r="C88">
        <v>3</v>
      </c>
      <c r="D88">
        <v>2</v>
      </c>
      <c r="E88">
        <v>0</v>
      </c>
      <c r="F88" t="s">
        <v>120</v>
      </c>
      <c r="G88">
        <v>136839</v>
      </c>
      <c r="H88">
        <v>118485288</v>
      </c>
      <c r="I88">
        <v>23.8</v>
      </c>
      <c r="J88">
        <v>0.10863509774208069</v>
      </c>
      <c r="K88">
        <v>0.23555555641651155</v>
      </c>
      <c r="L88">
        <v>0.10222222059965133</v>
      </c>
      <c r="M88">
        <v>0.97288888888888891</v>
      </c>
      <c r="N88">
        <v>0.98148148148148151</v>
      </c>
      <c r="O88">
        <v>0.98904363974001852</v>
      </c>
      <c r="P88">
        <v>43</v>
      </c>
      <c r="Q88">
        <v>4988662.5999999996</v>
      </c>
      <c r="R88">
        <v>136819</v>
      </c>
      <c r="S88">
        <v>2</v>
      </c>
      <c r="T88">
        <v>243</v>
      </c>
      <c r="U88">
        <v>0.97111111111111115</v>
      </c>
      <c r="V88">
        <v>0.98074074074074069</v>
      </c>
      <c r="W88">
        <v>0.98941504178272976</v>
      </c>
      <c r="X88">
        <v>47.4</v>
      </c>
      <c r="Y88">
        <v>3801261.6</v>
      </c>
      <c r="Z88">
        <v>137870</v>
      </c>
      <c r="AA88">
        <v>2</v>
      </c>
      <c r="AB88">
        <v>244</v>
      </c>
      <c r="AD88">
        <f>Tabela3[[#This Row],[kan_params]]</f>
        <v>136839</v>
      </c>
      <c r="AE88">
        <f>Tabela3[[#This Row],[kan_train_acc]]</f>
        <v>0.10863509774208069</v>
      </c>
      <c r="AF88">
        <f>Tabela3[[#This Row],[kan_val_acc]]</f>
        <v>0.23555555641651155</v>
      </c>
      <c r="AG88">
        <f>Tabela3[[#This Row],[kan_test_acc]]</f>
        <v>0.10222222059965133</v>
      </c>
      <c r="AH88">
        <f>Tabela3[[#This Row],[mlp_test_acc]]</f>
        <v>0.97288888888888891</v>
      </c>
      <c r="AI88">
        <f>Tabela3[[#This Row],[mlp_val_acc]]</f>
        <v>0.98148148148148151</v>
      </c>
      <c r="AJ88">
        <f>Tabela3[[#This Row],[mlp_train_acc]]</f>
        <v>0.98904363974001852</v>
      </c>
    </row>
    <row r="89" spans="1:36" x14ac:dyDescent="0.25">
      <c r="A89" t="s">
        <v>71</v>
      </c>
      <c r="B89">
        <v>12</v>
      </c>
      <c r="C89">
        <v>3</v>
      </c>
      <c r="D89">
        <v>4</v>
      </c>
      <c r="E89">
        <v>0</v>
      </c>
      <c r="F89" t="s">
        <v>158</v>
      </c>
      <c r="G89">
        <v>137896</v>
      </c>
      <c r="H89">
        <v>83305608.599999994</v>
      </c>
      <c r="I89">
        <v>21.2</v>
      </c>
      <c r="J89">
        <v>9.0622100420296198E-2</v>
      </c>
      <c r="K89">
        <v>0.19185185432434082</v>
      </c>
      <c r="L89">
        <v>8.6666666157543662E-2</v>
      </c>
      <c r="M89">
        <v>0.97244444444444444</v>
      </c>
      <c r="N89">
        <v>0.98</v>
      </c>
      <c r="O89">
        <v>0.9931290622098421</v>
      </c>
      <c r="P89">
        <v>49.4</v>
      </c>
      <c r="Q89">
        <v>4593949.2</v>
      </c>
      <c r="R89">
        <v>137870</v>
      </c>
      <c r="S89">
        <v>2</v>
      </c>
      <c r="T89">
        <v>244</v>
      </c>
      <c r="U89">
        <v>0.97066666666666668</v>
      </c>
      <c r="V89">
        <v>0.97407407407407409</v>
      </c>
      <c r="W89">
        <v>0.98811513463324041</v>
      </c>
      <c r="X89">
        <v>39.6</v>
      </c>
      <c r="Y89">
        <v>4585162.8</v>
      </c>
      <c r="Z89">
        <v>138925</v>
      </c>
      <c r="AA89">
        <v>2</v>
      </c>
      <c r="AB89">
        <v>245</v>
      </c>
      <c r="AD89">
        <f>Tabela3[[#This Row],[kan_params]]</f>
        <v>137896</v>
      </c>
      <c r="AE89">
        <f>Tabela3[[#This Row],[kan_train_acc]]</f>
        <v>9.0622100420296198E-2</v>
      </c>
      <c r="AF89">
        <f>Tabela3[[#This Row],[kan_val_acc]]</f>
        <v>0.19185185432434082</v>
      </c>
      <c r="AG89">
        <f>Tabela3[[#This Row],[kan_test_acc]]</f>
        <v>8.6666666157543662E-2</v>
      </c>
      <c r="AH89">
        <f>Tabela3[[#This Row],[mlp_test_acc]]</f>
        <v>0.97244444444444444</v>
      </c>
      <c r="AI89">
        <f>Tabela3[[#This Row],[mlp_val_acc]]</f>
        <v>0.98</v>
      </c>
      <c r="AJ89">
        <f>Tabela3[[#This Row],[mlp_train_acc]]</f>
        <v>0.9931290622098421</v>
      </c>
    </row>
    <row r="90" spans="1:36" x14ac:dyDescent="0.25">
      <c r="A90" t="s">
        <v>71</v>
      </c>
      <c r="B90">
        <v>8</v>
      </c>
      <c r="C90">
        <v>3</v>
      </c>
      <c r="D90">
        <v>2</v>
      </c>
      <c r="E90">
        <v>0</v>
      </c>
      <c r="F90" t="s">
        <v>147</v>
      </c>
      <c r="G90">
        <v>138944</v>
      </c>
      <c r="H90">
        <v>89418989.400000006</v>
      </c>
      <c r="I90">
        <v>17.2</v>
      </c>
      <c r="J90">
        <v>0.14558959901332855</v>
      </c>
      <c r="K90">
        <v>0.2133333295583725</v>
      </c>
      <c r="L90">
        <v>0.14177777916193007</v>
      </c>
      <c r="M90">
        <v>0.97422222222222221</v>
      </c>
      <c r="N90">
        <v>0.98148148148148151</v>
      </c>
      <c r="O90">
        <v>0.98848653667595177</v>
      </c>
      <c r="P90">
        <v>43.2</v>
      </c>
      <c r="Q90">
        <v>5195331.4000000004</v>
      </c>
      <c r="R90">
        <v>138925</v>
      </c>
      <c r="S90">
        <v>2</v>
      </c>
      <c r="T90">
        <v>245</v>
      </c>
      <c r="U90">
        <v>0.97511111111111115</v>
      </c>
      <c r="V90">
        <v>0.98148148148148151</v>
      </c>
      <c r="W90">
        <v>0.98978644382544101</v>
      </c>
      <c r="X90">
        <v>42.6</v>
      </c>
      <c r="Y90">
        <v>4375044.5999999996</v>
      </c>
      <c r="Z90">
        <v>139984</v>
      </c>
      <c r="AA90">
        <v>2</v>
      </c>
      <c r="AB90">
        <v>246</v>
      </c>
      <c r="AD90">
        <f>Tabela3[[#This Row],[kan_params]]</f>
        <v>138944</v>
      </c>
      <c r="AE90">
        <f>Tabela3[[#This Row],[kan_train_acc]]</f>
        <v>0.14558959901332855</v>
      </c>
      <c r="AF90">
        <f>Tabela3[[#This Row],[kan_val_acc]]</f>
        <v>0.2133333295583725</v>
      </c>
      <c r="AG90">
        <f>Tabela3[[#This Row],[kan_test_acc]]</f>
        <v>0.14177777916193007</v>
      </c>
      <c r="AH90">
        <f>Tabela3[[#This Row],[mlp_test_acc]]</f>
        <v>0.97422222222222221</v>
      </c>
      <c r="AI90">
        <f>Tabela3[[#This Row],[mlp_val_acc]]</f>
        <v>0.98148148148148151</v>
      </c>
      <c r="AJ90">
        <f>Tabela3[[#This Row],[mlp_train_acc]]</f>
        <v>0.98848653667595177</v>
      </c>
    </row>
    <row r="91" spans="1:36" x14ac:dyDescent="0.25">
      <c r="A91" t="s">
        <v>71</v>
      </c>
      <c r="B91">
        <v>10</v>
      </c>
      <c r="C91">
        <v>3</v>
      </c>
      <c r="D91">
        <v>3</v>
      </c>
      <c r="E91">
        <v>0</v>
      </c>
      <c r="F91" t="s">
        <v>75</v>
      </c>
      <c r="G91">
        <v>139840</v>
      </c>
      <c r="H91">
        <v>121823922</v>
      </c>
      <c r="I91">
        <v>33.4</v>
      </c>
      <c r="J91">
        <v>0.26462396085262296</v>
      </c>
      <c r="K91">
        <v>0.41851852536201478</v>
      </c>
      <c r="L91">
        <v>0.26622222363948822</v>
      </c>
      <c r="M91">
        <v>0.96044444444444443</v>
      </c>
      <c r="N91">
        <v>0.97259259259259256</v>
      </c>
      <c r="O91">
        <v>0.98960074280408539</v>
      </c>
      <c r="P91">
        <v>46.8</v>
      </c>
      <c r="Q91">
        <v>4137634.8</v>
      </c>
      <c r="R91">
        <v>138925</v>
      </c>
      <c r="S91">
        <v>2</v>
      </c>
      <c r="T91">
        <v>245</v>
      </c>
      <c r="U91">
        <v>0.9608888888888889</v>
      </c>
      <c r="V91">
        <v>0.97555555555555551</v>
      </c>
      <c r="W91">
        <v>0.99275766016713085</v>
      </c>
      <c r="X91">
        <v>53.8</v>
      </c>
      <c r="Y91">
        <v>4361532.4000000004</v>
      </c>
      <c r="Z91">
        <v>139984</v>
      </c>
      <c r="AA91">
        <v>2</v>
      </c>
      <c r="AB91">
        <v>246</v>
      </c>
      <c r="AD91">
        <f>Tabela3[[#This Row],[kan_params]]</f>
        <v>139840</v>
      </c>
      <c r="AE91">
        <f>Tabela3[[#This Row],[kan_train_acc]]</f>
        <v>0.26462396085262296</v>
      </c>
      <c r="AF91">
        <f>Tabela3[[#This Row],[kan_val_acc]]</f>
        <v>0.41851852536201478</v>
      </c>
      <c r="AG91">
        <f>Tabela3[[#This Row],[kan_test_acc]]</f>
        <v>0.26622222363948822</v>
      </c>
      <c r="AH91">
        <f>Tabela3[[#This Row],[mlp_test_acc]]</f>
        <v>0.96044444444444443</v>
      </c>
      <c r="AI91">
        <f>Tabela3[[#This Row],[mlp_val_acc]]</f>
        <v>0.97259259259259256</v>
      </c>
      <c r="AJ91">
        <f>Tabela3[[#This Row],[mlp_train_acc]]</f>
        <v>0.98960074280408539</v>
      </c>
    </row>
    <row r="92" spans="1:36" x14ac:dyDescent="0.25">
      <c r="A92" t="s">
        <v>71</v>
      </c>
      <c r="B92">
        <v>8</v>
      </c>
      <c r="C92">
        <v>3</v>
      </c>
      <c r="D92">
        <v>2</v>
      </c>
      <c r="E92">
        <v>0</v>
      </c>
      <c r="F92" t="s">
        <v>134</v>
      </c>
      <c r="G92">
        <v>140559</v>
      </c>
      <c r="H92">
        <v>109885646.40000001</v>
      </c>
      <c r="I92">
        <v>20.8</v>
      </c>
      <c r="J92">
        <v>0.11272052079439163</v>
      </c>
      <c r="K92">
        <v>0.23259259462356568</v>
      </c>
      <c r="L92">
        <v>0.12311111241579056</v>
      </c>
      <c r="M92">
        <v>0.97244444444444444</v>
      </c>
      <c r="N92">
        <v>0.98</v>
      </c>
      <c r="O92">
        <v>0.99182915506035285</v>
      </c>
      <c r="P92">
        <v>51</v>
      </c>
      <c r="Q92">
        <v>5012053.2</v>
      </c>
      <c r="R92">
        <v>139984</v>
      </c>
      <c r="S92">
        <v>2</v>
      </c>
      <c r="T92">
        <v>246</v>
      </c>
      <c r="U92">
        <v>0.97244444444444444</v>
      </c>
      <c r="V92">
        <v>0.98074074074074069</v>
      </c>
      <c r="W92">
        <v>0.99034354688950788</v>
      </c>
      <c r="X92">
        <v>47.2</v>
      </c>
      <c r="Y92">
        <v>3470322.8</v>
      </c>
      <c r="Z92">
        <v>141047</v>
      </c>
      <c r="AA92">
        <v>2</v>
      </c>
      <c r="AB92">
        <v>247</v>
      </c>
      <c r="AD92">
        <f>Tabela3[[#This Row],[kan_params]]</f>
        <v>140559</v>
      </c>
      <c r="AE92">
        <f>Tabela3[[#This Row],[kan_train_acc]]</f>
        <v>0.11272052079439163</v>
      </c>
      <c r="AF92">
        <f>Tabela3[[#This Row],[kan_val_acc]]</f>
        <v>0.23259259462356568</v>
      </c>
      <c r="AG92">
        <f>Tabela3[[#This Row],[kan_test_acc]]</f>
        <v>0.12311111241579056</v>
      </c>
      <c r="AH92">
        <f>Tabela3[[#This Row],[mlp_test_acc]]</f>
        <v>0.97244444444444444</v>
      </c>
      <c r="AI92">
        <f>Tabela3[[#This Row],[mlp_val_acc]]</f>
        <v>0.98</v>
      </c>
      <c r="AJ92">
        <f>Tabela3[[#This Row],[mlp_train_acc]]</f>
        <v>0.99182915506035285</v>
      </c>
    </row>
    <row r="93" spans="1:36" x14ac:dyDescent="0.25">
      <c r="A93" t="s">
        <v>71</v>
      </c>
      <c r="B93">
        <v>10</v>
      </c>
      <c r="C93">
        <v>3</v>
      </c>
      <c r="D93">
        <v>3</v>
      </c>
      <c r="E93">
        <v>0</v>
      </c>
      <c r="F93" t="s">
        <v>88</v>
      </c>
      <c r="G93">
        <v>141450</v>
      </c>
      <c r="H93">
        <v>127477641</v>
      </c>
      <c r="I93">
        <v>29.4</v>
      </c>
      <c r="J93">
        <v>0.12033426091074943</v>
      </c>
      <c r="K93">
        <v>0.20962962806224822</v>
      </c>
      <c r="L93">
        <v>0.11244444623589515</v>
      </c>
      <c r="M93">
        <v>0.9635555555555555</v>
      </c>
      <c r="N93">
        <v>0.97777777777777775</v>
      </c>
      <c r="O93">
        <v>0.99164345403899723</v>
      </c>
      <c r="P93">
        <v>49.8</v>
      </c>
      <c r="Q93">
        <v>3975718.4</v>
      </c>
      <c r="R93">
        <v>141047</v>
      </c>
      <c r="S93">
        <v>2</v>
      </c>
      <c r="T93">
        <v>247</v>
      </c>
      <c r="U93">
        <v>0.96</v>
      </c>
      <c r="V93">
        <v>0.97703703703703704</v>
      </c>
      <c r="W93">
        <v>0.99220055710306398</v>
      </c>
      <c r="X93">
        <v>54.4</v>
      </c>
      <c r="Y93">
        <v>5417906.5999999996</v>
      </c>
      <c r="Z93">
        <v>142114</v>
      </c>
      <c r="AA93">
        <v>2</v>
      </c>
      <c r="AB93">
        <v>248</v>
      </c>
      <c r="AD93">
        <f>Tabela3[[#This Row],[kan_params]]</f>
        <v>141450</v>
      </c>
      <c r="AE93">
        <f>Tabela3[[#This Row],[kan_train_acc]]</f>
        <v>0.12033426091074943</v>
      </c>
      <c r="AF93">
        <f>Tabela3[[#This Row],[kan_val_acc]]</f>
        <v>0.20962962806224822</v>
      </c>
      <c r="AG93">
        <f>Tabela3[[#This Row],[kan_test_acc]]</f>
        <v>0.11244444623589515</v>
      </c>
      <c r="AH93">
        <f>Tabela3[[#This Row],[mlp_test_acc]]</f>
        <v>0.9635555555555555</v>
      </c>
      <c r="AI93">
        <f>Tabela3[[#This Row],[mlp_val_acc]]</f>
        <v>0.97777777777777775</v>
      </c>
      <c r="AJ93">
        <f>Tabela3[[#This Row],[mlp_train_acc]]</f>
        <v>0.99164345403899723</v>
      </c>
    </row>
    <row r="94" spans="1:36" x14ac:dyDescent="0.25">
      <c r="A94" t="s">
        <v>71</v>
      </c>
      <c r="B94">
        <v>8</v>
      </c>
      <c r="C94">
        <v>3</v>
      </c>
      <c r="D94">
        <v>2</v>
      </c>
      <c r="E94">
        <v>0</v>
      </c>
      <c r="F94" t="s">
        <v>121</v>
      </c>
      <c r="G94">
        <v>141914</v>
      </c>
      <c r="H94">
        <v>138284757.40000001</v>
      </c>
      <c r="I94">
        <v>27</v>
      </c>
      <c r="J94">
        <v>0.15208913534879684</v>
      </c>
      <c r="K94">
        <v>0.32074073851108553</v>
      </c>
      <c r="L94">
        <v>0.15022222250699996</v>
      </c>
      <c r="M94">
        <v>0.97244444444444444</v>
      </c>
      <c r="N94">
        <v>0.98296296296296293</v>
      </c>
      <c r="O94">
        <v>0.9879294336118849</v>
      </c>
      <c r="P94">
        <v>44.8</v>
      </c>
      <c r="Q94">
        <v>4562850.5999999996</v>
      </c>
      <c r="R94">
        <v>141047</v>
      </c>
      <c r="S94">
        <v>2</v>
      </c>
      <c r="T94">
        <v>247</v>
      </c>
      <c r="U94">
        <v>0.97377777777777774</v>
      </c>
      <c r="V94">
        <v>0.98222222222222222</v>
      </c>
      <c r="W94">
        <v>0.99034354688950788</v>
      </c>
      <c r="X94">
        <v>46.8</v>
      </c>
      <c r="Y94">
        <v>5340003.2</v>
      </c>
      <c r="Z94">
        <v>142114</v>
      </c>
      <c r="AA94">
        <v>2</v>
      </c>
      <c r="AB94">
        <v>248</v>
      </c>
      <c r="AD94">
        <f>Tabela3[[#This Row],[kan_params]]</f>
        <v>141914</v>
      </c>
      <c r="AE94">
        <f>Tabela3[[#This Row],[kan_train_acc]]</f>
        <v>0.15208913534879684</v>
      </c>
      <c r="AF94">
        <f>Tabela3[[#This Row],[kan_val_acc]]</f>
        <v>0.32074073851108553</v>
      </c>
      <c r="AG94">
        <f>Tabela3[[#This Row],[kan_test_acc]]</f>
        <v>0.15022222250699996</v>
      </c>
      <c r="AH94">
        <f>Tabela3[[#This Row],[mlp_test_acc]]</f>
        <v>0.97244444444444444</v>
      </c>
      <c r="AI94">
        <f>Tabela3[[#This Row],[mlp_val_acc]]</f>
        <v>0.98296296296296293</v>
      </c>
      <c r="AJ94">
        <f>Tabela3[[#This Row],[mlp_train_acc]]</f>
        <v>0.9879294336118849</v>
      </c>
    </row>
    <row r="95" spans="1:36" x14ac:dyDescent="0.25">
      <c r="A95" t="s">
        <v>71</v>
      </c>
      <c r="B95">
        <v>8</v>
      </c>
      <c r="C95">
        <v>3</v>
      </c>
      <c r="D95">
        <v>2</v>
      </c>
      <c r="E95">
        <v>0</v>
      </c>
      <c r="F95" t="s">
        <v>148</v>
      </c>
      <c r="G95">
        <v>144279</v>
      </c>
      <c r="H95">
        <v>167075223.59999999</v>
      </c>
      <c r="I95">
        <v>31.8</v>
      </c>
      <c r="J95">
        <v>0.17585886418819427</v>
      </c>
      <c r="K95">
        <v>0.28962963521480561</v>
      </c>
      <c r="L95">
        <v>0.17999999821186066</v>
      </c>
      <c r="M95">
        <v>0.97244444444444444</v>
      </c>
      <c r="N95">
        <v>0.98296296296296293</v>
      </c>
      <c r="O95">
        <v>0.99090064995357474</v>
      </c>
      <c r="P95">
        <v>45.4</v>
      </c>
      <c r="Q95">
        <v>5488135.2000000002</v>
      </c>
      <c r="R95">
        <v>144260</v>
      </c>
      <c r="S95">
        <v>2</v>
      </c>
      <c r="T95">
        <v>250</v>
      </c>
      <c r="U95">
        <v>0.97288888888888891</v>
      </c>
      <c r="V95">
        <v>0.98222222222222222</v>
      </c>
      <c r="W95">
        <v>0.98978644382544101</v>
      </c>
      <c r="X95">
        <v>45</v>
      </c>
      <c r="Y95">
        <v>4611459.5999999996</v>
      </c>
      <c r="Z95">
        <v>145339</v>
      </c>
      <c r="AA95">
        <v>2</v>
      </c>
      <c r="AB95">
        <v>251</v>
      </c>
      <c r="AD95">
        <f>Tabela3[[#This Row],[kan_params]]</f>
        <v>144279</v>
      </c>
      <c r="AE95">
        <f>Tabela3[[#This Row],[kan_train_acc]]</f>
        <v>0.17585886418819427</v>
      </c>
      <c r="AF95">
        <f>Tabela3[[#This Row],[kan_val_acc]]</f>
        <v>0.28962963521480561</v>
      </c>
      <c r="AG95">
        <f>Tabela3[[#This Row],[kan_test_acc]]</f>
        <v>0.17999999821186066</v>
      </c>
      <c r="AH95">
        <f>Tabela3[[#This Row],[mlp_test_acc]]</f>
        <v>0.97244444444444444</v>
      </c>
      <c r="AI95">
        <f>Tabela3[[#This Row],[mlp_val_acc]]</f>
        <v>0.98296296296296293</v>
      </c>
      <c r="AJ95">
        <f>Tabela3[[#This Row],[mlp_train_acc]]</f>
        <v>0.99090064995357474</v>
      </c>
    </row>
    <row r="96" spans="1:36" x14ac:dyDescent="0.25">
      <c r="A96" t="s">
        <v>71</v>
      </c>
      <c r="B96">
        <v>18</v>
      </c>
      <c r="C96">
        <v>9</v>
      </c>
      <c r="D96">
        <v>4</v>
      </c>
      <c r="E96">
        <v>0</v>
      </c>
      <c r="F96" t="s">
        <v>154</v>
      </c>
      <c r="G96">
        <v>144388</v>
      </c>
      <c r="H96">
        <v>73317177.599999994</v>
      </c>
      <c r="I96">
        <v>22</v>
      </c>
      <c r="J96">
        <v>0.14336118996143341</v>
      </c>
      <c r="K96">
        <v>0.30296297073364259</v>
      </c>
      <c r="L96">
        <v>0.13155555427074433</v>
      </c>
      <c r="M96">
        <v>0.97244444444444444</v>
      </c>
      <c r="N96">
        <v>0.97629629629629633</v>
      </c>
      <c r="O96">
        <v>0.98848653667595177</v>
      </c>
      <c r="P96">
        <v>44.6</v>
      </c>
      <c r="Q96">
        <v>4126417.8</v>
      </c>
      <c r="R96">
        <v>144260</v>
      </c>
      <c r="S96">
        <v>2</v>
      </c>
      <c r="T96">
        <v>250</v>
      </c>
      <c r="U96">
        <v>0.97422222222222221</v>
      </c>
      <c r="V96">
        <v>0.97629629629629633</v>
      </c>
      <c r="W96">
        <v>0.9879294336118849</v>
      </c>
      <c r="X96">
        <v>44</v>
      </c>
      <c r="Y96">
        <v>3428933.8</v>
      </c>
      <c r="Z96">
        <v>145339</v>
      </c>
      <c r="AA96">
        <v>2</v>
      </c>
      <c r="AB96">
        <v>251</v>
      </c>
      <c r="AD96">
        <f>Tabela3[[#This Row],[kan_params]]</f>
        <v>144388</v>
      </c>
      <c r="AE96">
        <f>Tabela3[[#This Row],[kan_train_acc]]</f>
        <v>0.14336118996143341</v>
      </c>
      <c r="AF96">
        <f>Tabela3[[#This Row],[kan_val_acc]]</f>
        <v>0.30296297073364259</v>
      </c>
      <c r="AG96">
        <f>Tabela3[[#This Row],[kan_test_acc]]</f>
        <v>0.13155555427074433</v>
      </c>
      <c r="AH96">
        <f>Tabela3[[#This Row],[mlp_test_acc]]</f>
        <v>0.97244444444444444</v>
      </c>
      <c r="AI96">
        <f>Tabela3[[#This Row],[mlp_val_acc]]</f>
        <v>0.97629629629629633</v>
      </c>
      <c r="AJ96">
        <f>Tabela3[[#This Row],[mlp_train_acc]]</f>
        <v>0.98848653667595177</v>
      </c>
    </row>
    <row r="97" spans="1:36" x14ac:dyDescent="0.25">
      <c r="A97" t="s">
        <v>71</v>
      </c>
      <c r="B97">
        <v>12</v>
      </c>
      <c r="C97">
        <v>3</v>
      </c>
      <c r="D97">
        <v>4</v>
      </c>
      <c r="E97">
        <v>0</v>
      </c>
      <c r="F97" t="s">
        <v>72</v>
      </c>
      <c r="G97">
        <v>144931</v>
      </c>
      <c r="H97">
        <v>73630132.799999997</v>
      </c>
      <c r="I97">
        <v>17.8</v>
      </c>
      <c r="J97">
        <v>0.10027855187654496</v>
      </c>
      <c r="K97">
        <v>0.20148148536682128</v>
      </c>
      <c r="L97">
        <v>9.4222222268581388E-2</v>
      </c>
      <c r="M97">
        <v>0.96888888888888891</v>
      </c>
      <c r="N97">
        <v>0.9748148148148148</v>
      </c>
      <c r="O97">
        <v>0.9879294336118849</v>
      </c>
      <c r="P97">
        <v>38.6</v>
      </c>
      <c r="Q97">
        <v>5429261.2000000002</v>
      </c>
      <c r="R97">
        <v>144260</v>
      </c>
      <c r="S97">
        <v>2</v>
      </c>
      <c r="T97">
        <v>250</v>
      </c>
      <c r="U97">
        <v>0.97244444444444444</v>
      </c>
      <c r="V97">
        <v>0.9807407407407408</v>
      </c>
      <c r="W97">
        <v>0.9922005571030641</v>
      </c>
      <c r="X97">
        <v>46.8</v>
      </c>
      <c r="Y97">
        <v>4690422</v>
      </c>
      <c r="Z97">
        <v>145339</v>
      </c>
      <c r="AA97">
        <v>2</v>
      </c>
      <c r="AB97">
        <v>251</v>
      </c>
      <c r="AD97">
        <f>Tabela3[[#This Row],[kan_params]]</f>
        <v>144931</v>
      </c>
      <c r="AE97">
        <f>Tabela3[[#This Row],[kan_train_acc]]</f>
        <v>0.10027855187654496</v>
      </c>
      <c r="AF97">
        <f>Tabela3[[#This Row],[kan_val_acc]]</f>
        <v>0.20148148536682128</v>
      </c>
      <c r="AG97">
        <f>Tabela3[[#This Row],[kan_test_acc]]</f>
        <v>9.4222222268581388E-2</v>
      </c>
      <c r="AH97">
        <f>Tabela3[[#This Row],[mlp_test_acc]]</f>
        <v>0.96888888888888891</v>
      </c>
      <c r="AI97">
        <f>Tabela3[[#This Row],[mlp_val_acc]]</f>
        <v>0.9748148148148148</v>
      </c>
      <c r="AJ97">
        <f>Tabela3[[#This Row],[mlp_train_acc]]</f>
        <v>0.9879294336118849</v>
      </c>
    </row>
    <row r="98" spans="1:36" x14ac:dyDescent="0.25">
      <c r="A98" t="s">
        <v>71</v>
      </c>
      <c r="B98">
        <v>10</v>
      </c>
      <c r="C98">
        <v>3</v>
      </c>
      <c r="D98">
        <v>3</v>
      </c>
      <c r="E98">
        <v>0</v>
      </c>
      <c r="F98" t="s">
        <v>102</v>
      </c>
      <c r="G98">
        <v>145548</v>
      </c>
      <c r="H98">
        <v>108899488.2</v>
      </c>
      <c r="I98">
        <v>24.2</v>
      </c>
      <c r="J98">
        <v>0.12646239548921584</v>
      </c>
      <c r="K98">
        <v>0.21333333253860473</v>
      </c>
      <c r="L98">
        <v>0.12088888734579087</v>
      </c>
      <c r="M98">
        <v>0.96</v>
      </c>
      <c r="N98">
        <v>0.97407407407407409</v>
      </c>
      <c r="O98">
        <v>0.98997214484679663</v>
      </c>
      <c r="P98">
        <v>46.6</v>
      </c>
      <c r="Q98">
        <v>3779506.8</v>
      </c>
      <c r="R98">
        <v>145339</v>
      </c>
      <c r="S98">
        <v>2</v>
      </c>
      <c r="T98">
        <v>251</v>
      </c>
      <c r="U98">
        <v>0.96266666666666667</v>
      </c>
      <c r="V98">
        <v>0.97703703703703704</v>
      </c>
      <c r="W98">
        <v>0.99238625812441972</v>
      </c>
      <c r="X98">
        <v>52.4</v>
      </c>
      <c r="Y98">
        <v>5491153.4000000004</v>
      </c>
      <c r="Z98">
        <v>146422</v>
      </c>
      <c r="AA98">
        <v>2</v>
      </c>
      <c r="AB98">
        <v>252</v>
      </c>
      <c r="AD98">
        <f>Tabela3[[#This Row],[kan_params]]</f>
        <v>145548</v>
      </c>
      <c r="AE98">
        <f>Tabela3[[#This Row],[kan_train_acc]]</f>
        <v>0.12646239548921584</v>
      </c>
      <c r="AF98">
        <f>Tabela3[[#This Row],[kan_val_acc]]</f>
        <v>0.21333333253860473</v>
      </c>
      <c r="AG98">
        <f>Tabela3[[#This Row],[kan_test_acc]]</f>
        <v>0.12088888734579087</v>
      </c>
      <c r="AH98">
        <f>Tabela3[[#This Row],[mlp_test_acc]]</f>
        <v>0.96</v>
      </c>
      <c r="AI98">
        <f>Tabela3[[#This Row],[mlp_val_acc]]</f>
        <v>0.97407407407407409</v>
      </c>
      <c r="AJ98">
        <f>Tabela3[[#This Row],[mlp_train_acc]]</f>
        <v>0.98997214484679663</v>
      </c>
    </row>
    <row r="99" spans="1:36" x14ac:dyDescent="0.25">
      <c r="A99" t="s">
        <v>71</v>
      </c>
      <c r="B99">
        <v>8</v>
      </c>
      <c r="C99">
        <v>3</v>
      </c>
      <c r="D99">
        <v>2</v>
      </c>
      <c r="E99">
        <v>0</v>
      </c>
      <c r="F99" t="s">
        <v>135</v>
      </c>
      <c r="G99">
        <v>145764</v>
      </c>
      <c r="H99">
        <v>331200925.19999999</v>
      </c>
      <c r="I99">
        <v>62.8</v>
      </c>
      <c r="J99">
        <v>0.40315692126750946</v>
      </c>
      <c r="K99">
        <v>0.5274074107408524</v>
      </c>
      <c r="L99">
        <v>0.40399999916553497</v>
      </c>
      <c r="M99">
        <v>0.97199999999999998</v>
      </c>
      <c r="N99">
        <v>0.98296296296296293</v>
      </c>
      <c r="O99">
        <v>0.98830083565459614</v>
      </c>
      <c r="P99">
        <v>45.2</v>
      </c>
      <c r="Q99">
        <v>4101369.8</v>
      </c>
      <c r="R99">
        <v>145339</v>
      </c>
      <c r="S99">
        <v>2</v>
      </c>
      <c r="T99">
        <v>251</v>
      </c>
      <c r="U99">
        <v>0.97377777777777785</v>
      </c>
      <c r="V99">
        <v>0.97925925925925927</v>
      </c>
      <c r="W99">
        <v>0.99108635097493036</v>
      </c>
      <c r="X99">
        <v>47.4</v>
      </c>
      <c r="Y99">
        <v>7002590.7999999998</v>
      </c>
      <c r="Z99">
        <v>146422</v>
      </c>
      <c r="AA99">
        <v>2</v>
      </c>
      <c r="AB99">
        <v>252</v>
      </c>
      <c r="AD99">
        <f>Tabela3[[#This Row],[kan_params]]</f>
        <v>145764</v>
      </c>
      <c r="AE99">
        <f>Tabela3[[#This Row],[kan_train_acc]]</f>
        <v>0.40315692126750946</v>
      </c>
      <c r="AF99">
        <f>Tabela3[[#This Row],[kan_val_acc]]</f>
        <v>0.5274074107408524</v>
      </c>
      <c r="AG99">
        <f>Tabela3[[#This Row],[kan_test_acc]]</f>
        <v>0.40399999916553497</v>
      </c>
      <c r="AH99">
        <f>Tabela3[[#This Row],[mlp_test_acc]]</f>
        <v>0.97199999999999998</v>
      </c>
      <c r="AI99">
        <f>Tabela3[[#This Row],[mlp_val_acc]]</f>
        <v>0.98296296296296293</v>
      </c>
      <c r="AJ99">
        <f>Tabela3[[#This Row],[mlp_train_acc]]</f>
        <v>0.98830083565459614</v>
      </c>
    </row>
    <row r="100" spans="1:36" x14ac:dyDescent="0.25">
      <c r="A100" t="s">
        <v>71</v>
      </c>
      <c r="B100">
        <v>10</v>
      </c>
      <c r="C100">
        <v>3</v>
      </c>
      <c r="D100">
        <v>3</v>
      </c>
      <c r="E100">
        <v>0</v>
      </c>
      <c r="F100" t="s">
        <v>76</v>
      </c>
      <c r="G100">
        <v>145765</v>
      </c>
      <c r="H100">
        <v>124743737.59999999</v>
      </c>
      <c r="I100">
        <v>30.6</v>
      </c>
      <c r="J100">
        <v>0.23862581551074982</v>
      </c>
      <c r="K100">
        <v>0.409629625082016</v>
      </c>
      <c r="L100">
        <v>0.23866666257381439</v>
      </c>
      <c r="M100">
        <v>0.9608888888888889</v>
      </c>
      <c r="N100">
        <v>0.97333333333333338</v>
      </c>
      <c r="O100">
        <v>0.98922934076137425</v>
      </c>
      <c r="P100">
        <v>47.2</v>
      </c>
      <c r="Q100">
        <v>4557423.4000000004</v>
      </c>
      <c r="R100">
        <v>145339</v>
      </c>
      <c r="S100">
        <v>2</v>
      </c>
      <c r="T100">
        <v>251</v>
      </c>
      <c r="U100">
        <v>0.96177777777777773</v>
      </c>
      <c r="V100">
        <v>0.97629629629629633</v>
      </c>
      <c r="W100">
        <v>0.99257195914577523</v>
      </c>
      <c r="X100">
        <v>52.2</v>
      </c>
      <c r="Y100">
        <v>3710866.6</v>
      </c>
      <c r="Z100">
        <v>146422</v>
      </c>
      <c r="AA100">
        <v>2</v>
      </c>
      <c r="AB100">
        <v>252</v>
      </c>
      <c r="AD100">
        <f>Tabela3[[#This Row],[kan_params]]</f>
        <v>145765</v>
      </c>
      <c r="AE100">
        <f>Tabela3[[#This Row],[kan_train_acc]]</f>
        <v>0.23862581551074982</v>
      </c>
      <c r="AF100">
        <f>Tabela3[[#This Row],[kan_val_acc]]</f>
        <v>0.409629625082016</v>
      </c>
      <c r="AG100">
        <f>Tabela3[[#This Row],[kan_test_acc]]</f>
        <v>0.23866666257381439</v>
      </c>
      <c r="AH100">
        <f>Tabela3[[#This Row],[mlp_test_acc]]</f>
        <v>0.9608888888888889</v>
      </c>
      <c r="AI100">
        <f>Tabela3[[#This Row],[mlp_val_acc]]</f>
        <v>0.97333333333333338</v>
      </c>
      <c r="AJ100">
        <f>Tabela3[[#This Row],[mlp_train_acc]]</f>
        <v>0.98922934076137425</v>
      </c>
    </row>
    <row r="101" spans="1:36" x14ac:dyDescent="0.25">
      <c r="A101" t="s">
        <v>71</v>
      </c>
      <c r="B101">
        <v>8</v>
      </c>
      <c r="C101">
        <v>3</v>
      </c>
      <c r="D101">
        <v>2</v>
      </c>
      <c r="E101">
        <v>0</v>
      </c>
      <c r="F101" t="s">
        <v>122</v>
      </c>
      <c r="G101">
        <v>146989</v>
      </c>
      <c r="H101">
        <v>159446649</v>
      </c>
      <c r="I101">
        <v>29.2</v>
      </c>
      <c r="J101">
        <v>0.17455896139144897</v>
      </c>
      <c r="K101">
        <v>0.31629629731178283</v>
      </c>
      <c r="L101">
        <v>0.17555555552244187</v>
      </c>
      <c r="M101">
        <v>0.97111111111111115</v>
      </c>
      <c r="N101">
        <v>0.98518518518518516</v>
      </c>
      <c r="O101">
        <v>0.99275766016713096</v>
      </c>
      <c r="P101">
        <v>52.8</v>
      </c>
      <c r="Q101">
        <v>4674919.5999999996</v>
      </c>
      <c r="R101">
        <v>146422</v>
      </c>
      <c r="S101">
        <v>2</v>
      </c>
      <c r="T101">
        <v>252</v>
      </c>
      <c r="U101">
        <v>0.97288888888888891</v>
      </c>
      <c r="V101">
        <v>0.98666666666666669</v>
      </c>
      <c r="W101">
        <v>0.99554317548746518</v>
      </c>
      <c r="X101">
        <v>55</v>
      </c>
      <c r="Y101">
        <v>5158117.4000000004</v>
      </c>
      <c r="Z101">
        <v>147509</v>
      </c>
      <c r="AA101">
        <v>2</v>
      </c>
      <c r="AB101">
        <v>253</v>
      </c>
      <c r="AD101">
        <f>Tabela3[[#This Row],[kan_params]]</f>
        <v>146989</v>
      </c>
      <c r="AE101">
        <f>Tabela3[[#This Row],[kan_train_acc]]</f>
        <v>0.17455896139144897</v>
      </c>
      <c r="AF101">
        <f>Tabela3[[#This Row],[kan_val_acc]]</f>
        <v>0.31629629731178283</v>
      </c>
      <c r="AG101">
        <f>Tabela3[[#This Row],[kan_test_acc]]</f>
        <v>0.17555555552244187</v>
      </c>
      <c r="AH101">
        <f>Tabela3[[#This Row],[mlp_test_acc]]</f>
        <v>0.97111111111111115</v>
      </c>
      <c r="AI101">
        <f>Tabela3[[#This Row],[mlp_val_acc]]</f>
        <v>0.98518518518518516</v>
      </c>
      <c r="AJ101">
        <f>Tabela3[[#This Row],[mlp_train_acc]]</f>
        <v>0.99275766016713096</v>
      </c>
    </row>
    <row r="102" spans="1:36" x14ac:dyDescent="0.25">
      <c r="A102" t="s">
        <v>71</v>
      </c>
      <c r="B102">
        <v>10</v>
      </c>
      <c r="C102">
        <v>3</v>
      </c>
      <c r="D102">
        <v>3</v>
      </c>
      <c r="E102">
        <v>0</v>
      </c>
      <c r="F102" t="s">
        <v>89</v>
      </c>
      <c r="G102">
        <v>147375</v>
      </c>
      <c r="H102">
        <v>100258465</v>
      </c>
      <c r="I102">
        <v>23.2</v>
      </c>
      <c r="J102">
        <v>0.11643454283475876</v>
      </c>
      <c r="K102">
        <v>0.21111111342906952</v>
      </c>
      <c r="L102">
        <v>0.10400000214576721</v>
      </c>
      <c r="M102">
        <v>0.96444444444444444</v>
      </c>
      <c r="N102">
        <v>0.97629629629629633</v>
      </c>
      <c r="O102">
        <v>0.99182915506035285</v>
      </c>
      <c r="P102">
        <v>51.6</v>
      </c>
      <c r="Q102">
        <v>5282466</v>
      </c>
      <c r="R102">
        <v>146422</v>
      </c>
      <c r="S102">
        <v>2</v>
      </c>
      <c r="T102">
        <v>252</v>
      </c>
      <c r="U102">
        <v>0.96755555555555561</v>
      </c>
      <c r="V102">
        <v>0.9748148148148148</v>
      </c>
      <c r="W102">
        <v>0.99164345403899723</v>
      </c>
      <c r="X102">
        <v>50.6</v>
      </c>
      <c r="Y102">
        <v>3766726.2</v>
      </c>
      <c r="Z102">
        <v>147509</v>
      </c>
      <c r="AA102">
        <v>2</v>
      </c>
      <c r="AB102">
        <v>253</v>
      </c>
      <c r="AD102">
        <f>Tabela3[[#This Row],[kan_params]]</f>
        <v>147375</v>
      </c>
      <c r="AE102">
        <f>Tabela3[[#This Row],[kan_train_acc]]</f>
        <v>0.11643454283475876</v>
      </c>
      <c r="AF102">
        <f>Tabela3[[#This Row],[kan_val_acc]]</f>
        <v>0.21111111342906952</v>
      </c>
      <c r="AG102">
        <f>Tabela3[[#This Row],[kan_test_acc]]</f>
        <v>0.10400000214576721</v>
      </c>
      <c r="AH102">
        <f>Tabela3[[#This Row],[mlp_test_acc]]</f>
        <v>0.96444444444444444</v>
      </c>
      <c r="AI102">
        <f>Tabela3[[#This Row],[mlp_val_acc]]</f>
        <v>0.97629629629629633</v>
      </c>
      <c r="AJ102">
        <f>Tabela3[[#This Row],[mlp_train_acc]]</f>
        <v>0.99182915506035285</v>
      </c>
    </row>
    <row r="103" spans="1:36" x14ac:dyDescent="0.25">
      <c r="A103" t="s">
        <v>71</v>
      </c>
      <c r="B103">
        <v>8</v>
      </c>
      <c r="C103">
        <v>3</v>
      </c>
      <c r="D103">
        <v>2</v>
      </c>
      <c r="E103">
        <v>0</v>
      </c>
      <c r="F103" t="s">
        <v>149</v>
      </c>
      <c r="G103">
        <v>149614</v>
      </c>
      <c r="H103">
        <v>157392439.19999999</v>
      </c>
      <c r="I103">
        <v>29.2</v>
      </c>
      <c r="J103">
        <v>0.18718662858009338</v>
      </c>
      <c r="K103">
        <v>0.31259258985519411</v>
      </c>
      <c r="L103">
        <v>0.18933333456516266</v>
      </c>
      <c r="M103">
        <v>0.97333333333333327</v>
      </c>
      <c r="N103">
        <v>0.9748148148148148</v>
      </c>
      <c r="O103">
        <v>0.98997214484679663</v>
      </c>
      <c r="P103">
        <v>42.6</v>
      </c>
      <c r="Q103">
        <v>7162870.2000000002</v>
      </c>
      <c r="R103">
        <v>148600</v>
      </c>
      <c r="S103">
        <v>2</v>
      </c>
      <c r="T103">
        <v>254</v>
      </c>
      <c r="U103">
        <v>0.97422222222222221</v>
      </c>
      <c r="V103">
        <v>0.98444444444444446</v>
      </c>
      <c r="W103">
        <v>0.99182915506035285</v>
      </c>
      <c r="X103">
        <v>48</v>
      </c>
      <c r="Y103">
        <v>6279127.5999999996</v>
      </c>
      <c r="Z103">
        <v>149695</v>
      </c>
      <c r="AA103">
        <v>2</v>
      </c>
      <c r="AB103">
        <v>255</v>
      </c>
      <c r="AD103">
        <f>Tabela3[[#This Row],[kan_params]]</f>
        <v>149614</v>
      </c>
      <c r="AE103">
        <f>Tabela3[[#This Row],[kan_train_acc]]</f>
        <v>0.18718662858009338</v>
      </c>
      <c r="AF103">
        <f>Tabela3[[#This Row],[kan_val_acc]]</f>
        <v>0.31259258985519411</v>
      </c>
      <c r="AG103">
        <f>Tabela3[[#This Row],[kan_test_acc]]</f>
        <v>0.18933333456516266</v>
      </c>
      <c r="AH103">
        <f>Tabela3[[#This Row],[mlp_test_acc]]</f>
        <v>0.97333333333333327</v>
      </c>
      <c r="AI103">
        <f>Tabela3[[#This Row],[mlp_val_acc]]</f>
        <v>0.9748148148148148</v>
      </c>
      <c r="AJ103">
        <f>Tabela3[[#This Row],[mlp_train_acc]]</f>
        <v>0.98997214484679663</v>
      </c>
    </row>
    <row r="104" spans="1:36" x14ac:dyDescent="0.25">
      <c r="A104" t="s">
        <v>71</v>
      </c>
      <c r="B104">
        <v>10</v>
      </c>
      <c r="C104">
        <v>3</v>
      </c>
      <c r="D104">
        <v>3</v>
      </c>
      <c r="E104">
        <v>0</v>
      </c>
      <c r="F104" t="s">
        <v>117</v>
      </c>
      <c r="G104">
        <v>149646</v>
      </c>
      <c r="H104">
        <v>96550813</v>
      </c>
      <c r="I104">
        <v>20.8</v>
      </c>
      <c r="J104">
        <v>0.13407613784074784</v>
      </c>
      <c r="K104">
        <v>0.18962962925434113</v>
      </c>
      <c r="L104">
        <v>0.13733333200216294</v>
      </c>
      <c r="M104">
        <v>0.9622222222222222</v>
      </c>
      <c r="N104">
        <v>0.97555555555555551</v>
      </c>
      <c r="O104">
        <v>0.99275766016713096</v>
      </c>
      <c r="P104">
        <v>49.8</v>
      </c>
      <c r="Q104">
        <v>3989275.6</v>
      </c>
      <c r="R104">
        <v>148600</v>
      </c>
      <c r="S104">
        <v>2</v>
      </c>
      <c r="T104">
        <v>254</v>
      </c>
      <c r="U104">
        <v>0.96177777777777773</v>
      </c>
      <c r="V104">
        <v>0.9748148148148148</v>
      </c>
      <c r="W104">
        <v>0.99145775301764161</v>
      </c>
      <c r="X104">
        <v>48</v>
      </c>
      <c r="Y104">
        <v>4681336.4000000004</v>
      </c>
      <c r="Z104">
        <v>149695</v>
      </c>
      <c r="AA104">
        <v>2</v>
      </c>
      <c r="AB104">
        <v>255</v>
      </c>
      <c r="AD104">
        <f>Tabela3[[#This Row],[kan_params]]</f>
        <v>149646</v>
      </c>
      <c r="AE104">
        <f>Tabela3[[#This Row],[kan_train_acc]]</f>
        <v>0.13407613784074784</v>
      </c>
      <c r="AF104">
        <f>Tabela3[[#This Row],[kan_val_acc]]</f>
        <v>0.18962962925434113</v>
      </c>
      <c r="AG104">
        <f>Tabela3[[#This Row],[kan_test_acc]]</f>
        <v>0.13733333200216294</v>
      </c>
      <c r="AH104">
        <f>Tabela3[[#This Row],[mlp_test_acc]]</f>
        <v>0.9622222222222222</v>
      </c>
      <c r="AI104">
        <f>Tabela3[[#This Row],[mlp_val_acc]]</f>
        <v>0.97555555555555551</v>
      </c>
      <c r="AJ104">
        <f>Tabela3[[#This Row],[mlp_train_acc]]</f>
        <v>0.99275766016713096</v>
      </c>
    </row>
    <row r="105" spans="1:36" x14ac:dyDescent="0.25">
      <c r="A105" t="s">
        <v>71</v>
      </c>
      <c r="B105">
        <v>8</v>
      </c>
      <c r="C105">
        <v>3</v>
      </c>
      <c r="D105">
        <v>2</v>
      </c>
      <c r="E105">
        <v>0</v>
      </c>
      <c r="F105" t="s">
        <v>136</v>
      </c>
      <c r="G105">
        <v>150969</v>
      </c>
      <c r="H105">
        <v>160495130.59999999</v>
      </c>
      <c r="I105">
        <v>28.2</v>
      </c>
      <c r="J105">
        <v>0.188115131855011</v>
      </c>
      <c r="K105">
        <v>0.29037037193775178</v>
      </c>
      <c r="L105">
        <v>0.18088888823986055</v>
      </c>
      <c r="M105">
        <v>0.97511111111111115</v>
      </c>
      <c r="N105">
        <v>0.98296296296296293</v>
      </c>
      <c r="O105">
        <v>0.99127205199628599</v>
      </c>
      <c r="P105">
        <v>48.8</v>
      </c>
      <c r="Q105">
        <v>5240460.4000000004</v>
      </c>
      <c r="R105">
        <v>150794</v>
      </c>
      <c r="S105">
        <v>2</v>
      </c>
      <c r="T105">
        <v>256</v>
      </c>
      <c r="U105">
        <v>0.97066666666666668</v>
      </c>
      <c r="V105">
        <v>0.98074074074074069</v>
      </c>
      <c r="W105">
        <v>0.98922934076137414</v>
      </c>
      <c r="X105">
        <v>46.2</v>
      </c>
      <c r="Y105">
        <v>4407516.2</v>
      </c>
      <c r="Z105">
        <v>151897</v>
      </c>
      <c r="AA105">
        <v>2</v>
      </c>
      <c r="AB105">
        <v>257</v>
      </c>
      <c r="AD105">
        <f>Tabela3[[#This Row],[kan_params]]</f>
        <v>150969</v>
      </c>
      <c r="AE105">
        <f>Tabela3[[#This Row],[kan_train_acc]]</f>
        <v>0.188115131855011</v>
      </c>
      <c r="AF105">
        <f>Tabela3[[#This Row],[kan_val_acc]]</f>
        <v>0.29037037193775178</v>
      </c>
      <c r="AG105">
        <f>Tabela3[[#This Row],[kan_test_acc]]</f>
        <v>0.18088888823986055</v>
      </c>
      <c r="AH105">
        <f>Tabela3[[#This Row],[mlp_test_acc]]</f>
        <v>0.97511111111111115</v>
      </c>
      <c r="AI105">
        <f>Tabela3[[#This Row],[mlp_val_acc]]</f>
        <v>0.98296296296296293</v>
      </c>
      <c r="AJ105">
        <f>Tabela3[[#This Row],[mlp_train_acc]]</f>
        <v>0.99127205199628599</v>
      </c>
    </row>
    <row r="106" spans="1:36" x14ac:dyDescent="0.25">
      <c r="A106" t="s">
        <v>71</v>
      </c>
      <c r="B106">
        <v>10</v>
      </c>
      <c r="C106">
        <v>3</v>
      </c>
      <c r="D106">
        <v>3</v>
      </c>
      <c r="E106">
        <v>0</v>
      </c>
      <c r="F106" t="s">
        <v>103</v>
      </c>
      <c r="G106">
        <v>151633</v>
      </c>
      <c r="H106">
        <v>115040066.8</v>
      </c>
      <c r="I106">
        <v>25.6</v>
      </c>
      <c r="J106">
        <v>0.10733518935739994</v>
      </c>
      <c r="K106">
        <v>0.19407407641410829</v>
      </c>
      <c r="L106">
        <v>0.10666666962206364</v>
      </c>
      <c r="M106">
        <v>0.96266666666666667</v>
      </c>
      <c r="N106">
        <v>0.9748148148148148</v>
      </c>
      <c r="O106">
        <v>0.99164345403899723</v>
      </c>
      <c r="P106">
        <v>50.6</v>
      </c>
      <c r="Q106">
        <v>4270517.8</v>
      </c>
      <c r="R106">
        <v>150794</v>
      </c>
      <c r="S106">
        <v>2</v>
      </c>
      <c r="T106">
        <v>256</v>
      </c>
      <c r="U106">
        <v>0.96266666666666667</v>
      </c>
      <c r="V106">
        <v>0.9748148148148148</v>
      </c>
      <c r="W106">
        <v>0.99294336118848658</v>
      </c>
      <c r="X106">
        <v>51</v>
      </c>
      <c r="Y106">
        <v>6440373.7999999998</v>
      </c>
      <c r="Z106">
        <v>151897</v>
      </c>
      <c r="AA106">
        <v>2</v>
      </c>
      <c r="AB106">
        <v>257</v>
      </c>
      <c r="AD106">
        <f>Tabela3[[#This Row],[kan_params]]</f>
        <v>151633</v>
      </c>
      <c r="AE106">
        <f>Tabela3[[#This Row],[kan_train_acc]]</f>
        <v>0.10733518935739994</v>
      </c>
      <c r="AF106">
        <f>Tabela3[[#This Row],[kan_val_acc]]</f>
        <v>0.19407407641410829</v>
      </c>
      <c r="AG106">
        <f>Tabela3[[#This Row],[kan_test_acc]]</f>
        <v>0.10666666962206364</v>
      </c>
      <c r="AH106">
        <f>Tabela3[[#This Row],[mlp_test_acc]]</f>
        <v>0.96266666666666667</v>
      </c>
      <c r="AI106">
        <f>Tabela3[[#This Row],[mlp_val_acc]]</f>
        <v>0.9748148148148148</v>
      </c>
      <c r="AJ106">
        <f>Tabela3[[#This Row],[mlp_train_acc]]</f>
        <v>0.99164345403899723</v>
      </c>
    </row>
    <row r="107" spans="1:36" x14ac:dyDescent="0.25">
      <c r="A107" t="s">
        <v>71</v>
      </c>
      <c r="B107">
        <v>10</v>
      </c>
      <c r="C107">
        <v>3</v>
      </c>
      <c r="D107">
        <v>3</v>
      </c>
      <c r="E107">
        <v>0</v>
      </c>
      <c r="F107" t="s">
        <v>77</v>
      </c>
      <c r="G107">
        <v>151690</v>
      </c>
      <c r="H107">
        <v>115771737.40000001</v>
      </c>
      <c r="I107">
        <v>23.8</v>
      </c>
      <c r="J107">
        <v>0.28802229017019271</v>
      </c>
      <c r="K107">
        <v>0.34074074625968931</v>
      </c>
      <c r="L107">
        <v>0.26666666567325592</v>
      </c>
      <c r="M107">
        <v>0.96177777777777773</v>
      </c>
      <c r="N107">
        <v>0.97555555555555551</v>
      </c>
      <c r="O107">
        <v>0.99127205199628599</v>
      </c>
      <c r="P107">
        <v>49.6</v>
      </c>
      <c r="Q107">
        <v>4775846</v>
      </c>
      <c r="R107">
        <v>150794</v>
      </c>
      <c r="S107">
        <v>2</v>
      </c>
      <c r="T107">
        <v>256</v>
      </c>
      <c r="U107">
        <v>0.9622222222222222</v>
      </c>
      <c r="V107">
        <v>0.97407407407407409</v>
      </c>
      <c r="W107">
        <v>0.9905292479108635</v>
      </c>
      <c r="X107">
        <v>49.4</v>
      </c>
      <c r="Y107">
        <v>3511822.4</v>
      </c>
      <c r="Z107">
        <v>151897</v>
      </c>
      <c r="AA107">
        <v>2</v>
      </c>
      <c r="AB107">
        <v>257</v>
      </c>
      <c r="AD107">
        <f>Tabela3[[#This Row],[kan_params]]</f>
        <v>151690</v>
      </c>
      <c r="AE107">
        <f>Tabela3[[#This Row],[kan_train_acc]]</f>
        <v>0.28802229017019271</v>
      </c>
      <c r="AF107">
        <f>Tabela3[[#This Row],[kan_val_acc]]</f>
        <v>0.34074074625968931</v>
      </c>
      <c r="AG107">
        <f>Tabela3[[#This Row],[kan_test_acc]]</f>
        <v>0.26666666567325592</v>
      </c>
      <c r="AH107">
        <f>Tabela3[[#This Row],[mlp_test_acc]]</f>
        <v>0.96177777777777773</v>
      </c>
      <c r="AI107">
        <f>Tabela3[[#This Row],[mlp_val_acc]]</f>
        <v>0.97555555555555551</v>
      </c>
      <c r="AJ107">
        <f>Tabela3[[#This Row],[mlp_train_acc]]</f>
        <v>0.99127205199628599</v>
      </c>
    </row>
    <row r="108" spans="1:36" x14ac:dyDescent="0.25">
      <c r="A108" t="s">
        <v>71</v>
      </c>
      <c r="B108">
        <v>12</v>
      </c>
      <c r="C108">
        <v>3</v>
      </c>
      <c r="D108">
        <v>4</v>
      </c>
      <c r="E108">
        <v>0</v>
      </c>
      <c r="F108" t="s">
        <v>73</v>
      </c>
      <c r="G108">
        <v>151966</v>
      </c>
      <c r="H108">
        <v>84446063.799999997</v>
      </c>
      <c r="I108">
        <v>19.2</v>
      </c>
      <c r="J108">
        <v>0.10232126340270042</v>
      </c>
      <c r="K108">
        <v>0.19111111462116243</v>
      </c>
      <c r="L108">
        <v>9.5555556565523142E-2</v>
      </c>
      <c r="M108">
        <v>0.96977777777777785</v>
      </c>
      <c r="N108">
        <v>0.98296296296296293</v>
      </c>
      <c r="O108">
        <v>0.9905292479108635</v>
      </c>
      <c r="P108">
        <v>43.4</v>
      </c>
      <c r="Q108">
        <v>5274213.4000000004</v>
      </c>
      <c r="R108">
        <v>151897</v>
      </c>
      <c r="S108">
        <v>2</v>
      </c>
      <c r="T108">
        <v>257</v>
      </c>
      <c r="U108">
        <v>0.96977777777777785</v>
      </c>
      <c r="V108">
        <v>0.97925925925925927</v>
      </c>
      <c r="W108">
        <v>0.98904363974001852</v>
      </c>
      <c r="X108">
        <v>42.8</v>
      </c>
      <c r="Y108">
        <v>3748343.6</v>
      </c>
      <c r="Z108">
        <v>153004</v>
      </c>
      <c r="AA108">
        <v>2</v>
      </c>
      <c r="AB108">
        <v>258</v>
      </c>
      <c r="AD108">
        <f>Tabela3[[#This Row],[kan_params]]</f>
        <v>151966</v>
      </c>
      <c r="AE108">
        <f>Tabela3[[#This Row],[kan_train_acc]]</f>
        <v>0.10232126340270042</v>
      </c>
      <c r="AF108">
        <f>Tabela3[[#This Row],[kan_val_acc]]</f>
        <v>0.19111111462116243</v>
      </c>
      <c r="AG108">
        <f>Tabela3[[#This Row],[kan_test_acc]]</f>
        <v>9.5555556565523142E-2</v>
      </c>
      <c r="AH108">
        <f>Tabela3[[#This Row],[mlp_test_acc]]</f>
        <v>0.96977777777777785</v>
      </c>
      <c r="AI108">
        <f>Tabela3[[#This Row],[mlp_val_acc]]</f>
        <v>0.98296296296296293</v>
      </c>
      <c r="AJ108">
        <f>Tabela3[[#This Row],[mlp_train_acc]]</f>
        <v>0.9905292479108635</v>
      </c>
    </row>
    <row r="109" spans="1:36" x14ac:dyDescent="0.25">
      <c r="A109" t="s">
        <v>71</v>
      </c>
      <c r="B109">
        <v>8</v>
      </c>
      <c r="C109">
        <v>3</v>
      </c>
      <c r="D109">
        <v>2</v>
      </c>
      <c r="E109">
        <v>0</v>
      </c>
      <c r="F109" t="s">
        <v>123</v>
      </c>
      <c r="G109">
        <v>152064</v>
      </c>
      <c r="H109">
        <v>163277501.40000001</v>
      </c>
      <c r="I109">
        <v>29.4</v>
      </c>
      <c r="J109">
        <v>0.20891364365816117</v>
      </c>
      <c r="K109">
        <v>0.3</v>
      </c>
      <c r="L109">
        <v>0.21955555379390718</v>
      </c>
      <c r="M109">
        <v>0.97244444444444444</v>
      </c>
      <c r="N109">
        <v>0.97777777777777775</v>
      </c>
      <c r="O109">
        <v>0.98700092850510679</v>
      </c>
      <c r="P109">
        <v>39.799999999999997</v>
      </c>
      <c r="Q109">
        <v>3532783.4</v>
      </c>
      <c r="R109">
        <v>151897</v>
      </c>
      <c r="S109">
        <v>2</v>
      </c>
      <c r="T109">
        <v>257</v>
      </c>
      <c r="U109">
        <v>0.97377777777777785</v>
      </c>
      <c r="V109">
        <v>0.98370370370370375</v>
      </c>
      <c r="W109">
        <v>0.98978644382544101</v>
      </c>
      <c r="X109">
        <v>45.6</v>
      </c>
      <c r="Y109">
        <v>4194223.8</v>
      </c>
      <c r="Z109">
        <v>153004</v>
      </c>
      <c r="AA109">
        <v>2</v>
      </c>
      <c r="AB109">
        <v>258</v>
      </c>
      <c r="AD109">
        <f>Tabela3[[#This Row],[kan_params]]</f>
        <v>152064</v>
      </c>
      <c r="AE109">
        <f>Tabela3[[#This Row],[kan_train_acc]]</f>
        <v>0.20891364365816117</v>
      </c>
      <c r="AF109">
        <f>Tabela3[[#This Row],[kan_val_acc]]</f>
        <v>0.3</v>
      </c>
      <c r="AG109">
        <f>Tabela3[[#This Row],[kan_test_acc]]</f>
        <v>0.21955555379390718</v>
      </c>
      <c r="AH109">
        <f>Tabela3[[#This Row],[mlp_test_acc]]</f>
        <v>0.97244444444444444</v>
      </c>
      <c r="AI109">
        <f>Tabela3[[#This Row],[mlp_val_acc]]</f>
        <v>0.97777777777777775</v>
      </c>
      <c r="AJ109">
        <f>Tabela3[[#This Row],[mlp_train_acc]]</f>
        <v>0.98700092850510679</v>
      </c>
    </row>
    <row r="110" spans="1:36" x14ac:dyDescent="0.25">
      <c r="A110" t="s">
        <v>71</v>
      </c>
      <c r="B110">
        <v>10</v>
      </c>
      <c r="C110">
        <v>3</v>
      </c>
      <c r="D110">
        <v>3</v>
      </c>
      <c r="E110">
        <v>0</v>
      </c>
      <c r="F110" t="s">
        <v>90</v>
      </c>
      <c r="G110">
        <v>153300</v>
      </c>
      <c r="H110">
        <v>92434743.200000003</v>
      </c>
      <c r="I110">
        <v>19.8</v>
      </c>
      <c r="J110">
        <v>0.11272052079439163</v>
      </c>
      <c r="K110">
        <v>0.18962963223457335</v>
      </c>
      <c r="L110">
        <v>0.10711110979318619</v>
      </c>
      <c r="M110">
        <v>0.96266666666666667</v>
      </c>
      <c r="N110">
        <v>0.97555555555555551</v>
      </c>
      <c r="O110">
        <v>0.99275766016713085</v>
      </c>
      <c r="P110">
        <v>49.4</v>
      </c>
      <c r="Q110">
        <v>3376159.4</v>
      </c>
      <c r="R110">
        <v>153004</v>
      </c>
      <c r="S110">
        <v>2</v>
      </c>
      <c r="T110">
        <v>258</v>
      </c>
      <c r="U110">
        <v>0.95866666666666667</v>
      </c>
      <c r="V110">
        <v>0.97333333333333338</v>
      </c>
      <c r="W110">
        <v>0.99182915506035285</v>
      </c>
      <c r="X110">
        <v>46.8</v>
      </c>
      <c r="Y110">
        <v>4008446.8</v>
      </c>
      <c r="Z110">
        <v>154115</v>
      </c>
      <c r="AA110">
        <v>2</v>
      </c>
      <c r="AB110">
        <v>259</v>
      </c>
      <c r="AD110">
        <f>Tabela3[[#This Row],[kan_params]]</f>
        <v>153300</v>
      </c>
      <c r="AE110">
        <f>Tabela3[[#This Row],[kan_train_acc]]</f>
        <v>0.11272052079439163</v>
      </c>
      <c r="AF110">
        <f>Tabela3[[#This Row],[kan_val_acc]]</f>
        <v>0.18962963223457335</v>
      </c>
      <c r="AG110">
        <f>Tabela3[[#This Row],[kan_test_acc]]</f>
        <v>0.10711110979318619</v>
      </c>
      <c r="AH110">
        <f>Tabela3[[#This Row],[mlp_test_acc]]</f>
        <v>0.96266666666666667</v>
      </c>
      <c r="AI110">
        <f>Tabela3[[#This Row],[mlp_val_acc]]</f>
        <v>0.97555555555555551</v>
      </c>
      <c r="AJ110">
        <f>Tabela3[[#This Row],[mlp_train_acc]]</f>
        <v>0.99275766016713085</v>
      </c>
    </row>
    <row r="111" spans="1:36" x14ac:dyDescent="0.25">
      <c r="A111" t="s">
        <v>71</v>
      </c>
      <c r="B111">
        <v>18</v>
      </c>
      <c r="C111">
        <v>9</v>
      </c>
      <c r="D111">
        <v>4</v>
      </c>
      <c r="E111">
        <v>0</v>
      </c>
      <c r="F111" t="s">
        <v>155</v>
      </c>
      <c r="G111">
        <v>153643</v>
      </c>
      <c r="H111">
        <v>79276110.400000006</v>
      </c>
      <c r="I111">
        <v>23</v>
      </c>
      <c r="J111">
        <v>0.11123491376638413</v>
      </c>
      <c r="K111">
        <v>0.27851851880550382</v>
      </c>
      <c r="L111">
        <v>0.10977778062224389</v>
      </c>
      <c r="M111">
        <v>0.97599999999999998</v>
      </c>
      <c r="N111">
        <v>0.97555555555555551</v>
      </c>
      <c r="O111">
        <v>0.98922934076137414</v>
      </c>
      <c r="P111">
        <v>45.4</v>
      </c>
      <c r="Q111">
        <v>4780422.2</v>
      </c>
      <c r="R111">
        <v>153004</v>
      </c>
      <c r="S111">
        <v>2</v>
      </c>
      <c r="T111">
        <v>258</v>
      </c>
      <c r="U111">
        <v>0.97555555555555551</v>
      </c>
      <c r="V111">
        <v>0.97851851851851857</v>
      </c>
      <c r="W111">
        <v>0.99312906220984221</v>
      </c>
      <c r="X111">
        <v>54.4</v>
      </c>
      <c r="Y111">
        <v>5728885.5999999996</v>
      </c>
      <c r="Z111">
        <v>154115</v>
      </c>
      <c r="AA111">
        <v>2</v>
      </c>
      <c r="AB111">
        <v>259</v>
      </c>
      <c r="AD111">
        <f>Tabela3[[#This Row],[kan_params]]</f>
        <v>153643</v>
      </c>
      <c r="AE111">
        <f>Tabela3[[#This Row],[kan_train_acc]]</f>
        <v>0.11123491376638413</v>
      </c>
      <c r="AF111">
        <f>Tabela3[[#This Row],[kan_val_acc]]</f>
        <v>0.27851851880550382</v>
      </c>
      <c r="AG111">
        <f>Tabela3[[#This Row],[kan_test_acc]]</f>
        <v>0.10977778062224389</v>
      </c>
      <c r="AH111">
        <f>Tabela3[[#This Row],[mlp_test_acc]]</f>
        <v>0.97599999999999998</v>
      </c>
      <c r="AI111">
        <f>Tabela3[[#This Row],[mlp_val_acc]]</f>
        <v>0.97555555555555551</v>
      </c>
      <c r="AJ111">
        <f>Tabela3[[#This Row],[mlp_train_acc]]</f>
        <v>0.98922934076137414</v>
      </c>
    </row>
    <row r="112" spans="1:36" x14ac:dyDescent="0.25">
      <c r="A112" t="s">
        <v>71</v>
      </c>
      <c r="B112">
        <v>10</v>
      </c>
      <c r="C112">
        <v>3</v>
      </c>
      <c r="D112">
        <v>3</v>
      </c>
      <c r="E112">
        <v>0</v>
      </c>
      <c r="F112" t="s">
        <v>131</v>
      </c>
      <c r="G112">
        <v>153744</v>
      </c>
      <c r="H112">
        <v>95724733.599999994</v>
      </c>
      <c r="I112">
        <v>19.8</v>
      </c>
      <c r="J112">
        <v>0.10399257391691208</v>
      </c>
      <c r="K112">
        <v>0.18740740567445754</v>
      </c>
      <c r="L112">
        <v>0.10088888853788376</v>
      </c>
      <c r="M112">
        <v>0.96</v>
      </c>
      <c r="N112">
        <v>0.97555555555555551</v>
      </c>
      <c r="O112">
        <v>0.99108635097493036</v>
      </c>
      <c r="P112">
        <v>47.6</v>
      </c>
      <c r="Q112">
        <v>5126090.5999999996</v>
      </c>
      <c r="R112">
        <v>153004</v>
      </c>
      <c r="S112">
        <v>2</v>
      </c>
      <c r="T112">
        <v>258</v>
      </c>
      <c r="U112">
        <v>0.96399999999999997</v>
      </c>
      <c r="V112">
        <v>0.97629629629629633</v>
      </c>
      <c r="W112">
        <v>0.99461467038068707</v>
      </c>
      <c r="X112">
        <v>56.4</v>
      </c>
      <c r="Y112">
        <v>6541402.5999999996</v>
      </c>
      <c r="Z112">
        <v>154115</v>
      </c>
      <c r="AA112">
        <v>2</v>
      </c>
      <c r="AB112">
        <v>259</v>
      </c>
      <c r="AD112">
        <f>Tabela3[[#This Row],[kan_params]]</f>
        <v>153744</v>
      </c>
      <c r="AE112">
        <f>Tabela3[[#This Row],[kan_train_acc]]</f>
        <v>0.10399257391691208</v>
      </c>
      <c r="AF112">
        <f>Tabela3[[#This Row],[kan_val_acc]]</f>
        <v>0.18740740567445754</v>
      </c>
      <c r="AG112">
        <f>Tabela3[[#This Row],[kan_test_acc]]</f>
        <v>0.10088888853788376</v>
      </c>
      <c r="AH112">
        <f>Tabela3[[#This Row],[mlp_test_acc]]</f>
        <v>0.96</v>
      </c>
      <c r="AI112">
        <f>Tabela3[[#This Row],[mlp_val_acc]]</f>
        <v>0.97555555555555551</v>
      </c>
      <c r="AJ112">
        <f>Tabela3[[#This Row],[mlp_train_acc]]</f>
        <v>0.99108635097493036</v>
      </c>
    </row>
    <row r="113" spans="1:36" x14ac:dyDescent="0.25">
      <c r="A113" t="s">
        <v>71</v>
      </c>
      <c r="B113">
        <v>8</v>
      </c>
      <c r="C113">
        <v>3</v>
      </c>
      <c r="D113">
        <v>2</v>
      </c>
      <c r="E113">
        <v>0</v>
      </c>
      <c r="F113" t="s">
        <v>150</v>
      </c>
      <c r="G113">
        <v>154949</v>
      </c>
      <c r="H113">
        <v>202415013.19999999</v>
      </c>
      <c r="I113">
        <v>35.6</v>
      </c>
      <c r="J113">
        <v>0.26072423607110978</v>
      </c>
      <c r="K113">
        <v>0.40222222805023194</v>
      </c>
      <c r="L113">
        <v>0.26311111748218535</v>
      </c>
      <c r="M113">
        <v>0.97377777777777774</v>
      </c>
      <c r="N113">
        <v>0.98074074074074069</v>
      </c>
      <c r="O113">
        <v>0.99015784586815225</v>
      </c>
      <c r="P113">
        <v>45.2</v>
      </c>
      <c r="Q113">
        <v>5267915.8</v>
      </c>
      <c r="R113">
        <v>154115</v>
      </c>
      <c r="S113">
        <v>2</v>
      </c>
      <c r="T113">
        <v>259</v>
      </c>
      <c r="U113">
        <v>0.97244444444444444</v>
      </c>
      <c r="V113">
        <v>0.98296296296296293</v>
      </c>
      <c r="W113">
        <v>0.99145775301764161</v>
      </c>
      <c r="X113">
        <v>46.8</v>
      </c>
      <c r="Y113">
        <v>6010843</v>
      </c>
      <c r="Z113">
        <v>155230</v>
      </c>
      <c r="AA113">
        <v>2</v>
      </c>
      <c r="AB113">
        <v>260</v>
      </c>
      <c r="AD113">
        <f>Tabela3[[#This Row],[kan_params]]</f>
        <v>154949</v>
      </c>
      <c r="AE113">
        <f>Tabela3[[#This Row],[kan_train_acc]]</f>
        <v>0.26072423607110978</v>
      </c>
      <c r="AF113">
        <f>Tabela3[[#This Row],[kan_val_acc]]</f>
        <v>0.40222222805023194</v>
      </c>
      <c r="AG113">
        <f>Tabela3[[#This Row],[kan_test_acc]]</f>
        <v>0.26311111748218535</v>
      </c>
      <c r="AH113">
        <f>Tabela3[[#This Row],[mlp_test_acc]]</f>
        <v>0.97377777777777774</v>
      </c>
      <c r="AI113">
        <f>Tabela3[[#This Row],[mlp_val_acc]]</f>
        <v>0.98074074074074069</v>
      </c>
      <c r="AJ113">
        <f>Tabela3[[#This Row],[mlp_train_acc]]</f>
        <v>0.99015784586815225</v>
      </c>
    </row>
    <row r="114" spans="1:36" x14ac:dyDescent="0.25">
      <c r="A114" t="s">
        <v>71</v>
      </c>
      <c r="B114">
        <v>10</v>
      </c>
      <c r="C114">
        <v>3</v>
      </c>
      <c r="D114">
        <v>3</v>
      </c>
      <c r="E114">
        <v>0</v>
      </c>
      <c r="F114" t="s">
        <v>118</v>
      </c>
      <c r="G114">
        <v>155891</v>
      </c>
      <c r="H114">
        <v>138318191.19999999</v>
      </c>
      <c r="I114">
        <v>30.2</v>
      </c>
      <c r="J114">
        <v>9.5636025816202161E-2</v>
      </c>
      <c r="K114">
        <v>0.20666666924953461</v>
      </c>
      <c r="L114">
        <v>9.8222222179174423E-2</v>
      </c>
      <c r="M114">
        <v>0.96266666666666667</v>
      </c>
      <c r="N114">
        <v>0.9748148148148148</v>
      </c>
      <c r="O114">
        <v>0.9922005571030641</v>
      </c>
      <c r="P114">
        <v>51</v>
      </c>
      <c r="Q114">
        <v>5174878.4000000004</v>
      </c>
      <c r="R114">
        <v>155230</v>
      </c>
      <c r="S114">
        <v>2</v>
      </c>
      <c r="T114">
        <v>260</v>
      </c>
      <c r="U114">
        <v>0.9608888888888889</v>
      </c>
      <c r="V114">
        <v>0.9748148148148148</v>
      </c>
      <c r="W114">
        <v>0.99201485608170847</v>
      </c>
      <c r="X114">
        <v>49.6</v>
      </c>
      <c r="Y114">
        <v>4406584.2</v>
      </c>
      <c r="Z114">
        <v>156349</v>
      </c>
      <c r="AA114">
        <v>2</v>
      </c>
      <c r="AB114">
        <v>261</v>
      </c>
      <c r="AD114">
        <f>Tabela3[[#This Row],[kan_params]]</f>
        <v>155891</v>
      </c>
      <c r="AE114">
        <f>Tabela3[[#This Row],[kan_train_acc]]</f>
        <v>9.5636025816202161E-2</v>
      </c>
      <c r="AF114">
        <f>Tabela3[[#This Row],[kan_val_acc]]</f>
        <v>0.20666666924953461</v>
      </c>
      <c r="AG114">
        <f>Tabela3[[#This Row],[kan_test_acc]]</f>
        <v>9.8222222179174423E-2</v>
      </c>
      <c r="AH114">
        <f>Tabela3[[#This Row],[mlp_test_acc]]</f>
        <v>0.96266666666666667</v>
      </c>
      <c r="AI114">
        <f>Tabela3[[#This Row],[mlp_val_acc]]</f>
        <v>0.9748148148148148</v>
      </c>
      <c r="AJ114">
        <f>Tabela3[[#This Row],[mlp_train_acc]]</f>
        <v>0.9922005571030641</v>
      </c>
    </row>
    <row r="115" spans="1:36" x14ac:dyDescent="0.25">
      <c r="A115" t="s">
        <v>71</v>
      </c>
      <c r="B115">
        <v>8</v>
      </c>
      <c r="C115">
        <v>3</v>
      </c>
      <c r="D115">
        <v>2</v>
      </c>
      <c r="E115">
        <v>0</v>
      </c>
      <c r="F115" t="s">
        <v>137</v>
      </c>
      <c r="G115">
        <v>156174</v>
      </c>
      <c r="H115">
        <v>234367103.19999999</v>
      </c>
      <c r="I115">
        <v>40.4</v>
      </c>
      <c r="J115">
        <v>0.31624884605407716</v>
      </c>
      <c r="K115">
        <v>0.42814814448356631</v>
      </c>
      <c r="L115">
        <v>0.33644444942474366</v>
      </c>
      <c r="M115">
        <v>0.97244444444444444</v>
      </c>
      <c r="N115">
        <v>0.98666666666666669</v>
      </c>
      <c r="O115">
        <v>0.99034354688950788</v>
      </c>
      <c r="P115">
        <v>42.6</v>
      </c>
      <c r="Q115">
        <v>4366685</v>
      </c>
      <c r="R115">
        <v>155230</v>
      </c>
      <c r="S115">
        <v>2</v>
      </c>
      <c r="T115">
        <v>260</v>
      </c>
      <c r="U115">
        <v>0.97466666666666668</v>
      </c>
      <c r="V115">
        <v>0.98444444444444446</v>
      </c>
      <c r="W115">
        <v>0.99015784586815225</v>
      </c>
      <c r="X115">
        <v>44.8</v>
      </c>
      <c r="Y115">
        <v>5967645.4000000004</v>
      </c>
      <c r="Z115">
        <v>156349</v>
      </c>
      <c r="AA115">
        <v>2</v>
      </c>
      <c r="AB115">
        <v>261</v>
      </c>
      <c r="AD115">
        <f>Tabela3[[#This Row],[kan_params]]</f>
        <v>156174</v>
      </c>
      <c r="AE115">
        <f>Tabela3[[#This Row],[kan_train_acc]]</f>
        <v>0.31624884605407716</v>
      </c>
      <c r="AF115">
        <f>Tabela3[[#This Row],[kan_val_acc]]</f>
        <v>0.42814814448356631</v>
      </c>
      <c r="AG115">
        <f>Tabela3[[#This Row],[kan_test_acc]]</f>
        <v>0.33644444942474366</v>
      </c>
      <c r="AH115">
        <f>Tabela3[[#This Row],[mlp_test_acc]]</f>
        <v>0.97244444444444444</v>
      </c>
      <c r="AI115">
        <f>Tabela3[[#This Row],[mlp_val_acc]]</f>
        <v>0.98666666666666669</v>
      </c>
      <c r="AJ115">
        <f>Tabela3[[#This Row],[mlp_train_acc]]</f>
        <v>0.99034354688950788</v>
      </c>
    </row>
    <row r="116" spans="1:36" x14ac:dyDescent="0.25">
      <c r="A116" t="s">
        <v>71</v>
      </c>
      <c r="B116">
        <v>8</v>
      </c>
      <c r="C116">
        <v>3</v>
      </c>
      <c r="D116">
        <v>2</v>
      </c>
      <c r="E116">
        <v>0</v>
      </c>
      <c r="F116" t="s">
        <v>124</v>
      </c>
      <c r="G116">
        <v>157139</v>
      </c>
      <c r="H116">
        <v>128482731.59999999</v>
      </c>
      <c r="I116">
        <v>21.8</v>
      </c>
      <c r="J116">
        <v>0.14688950926065444</v>
      </c>
      <c r="K116">
        <v>0.29037036597728727</v>
      </c>
      <c r="L116">
        <v>0.15999999940395354</v>
      </c>
      <c r="M116">
        <v>0.97199999999999998</v>
      </c>
      <c r="N116">
        <v>0.97925925925925927</v>
      </c>
      <c r="O116">
        <v>0.99164345403899723</v>
      </c>
      <c r="P116">
        <v>47</v>
      </c>
      <c r="Q116">
        <v>4544982.4000000004</v>
      </c>
      <c r="R116">
        <v>156349</v>
      </c>
      <c r="S116">
        <v>2</v>
      </c>
      <c r="T116">
        <v>261</v>
      </c>
      <c r="U116">
        <v>0.97377777777777785</v>
      </c>
      <c r="V116">
        <v>0.98296296296296293</v>
      </c>
      <c r="W116">
        <v>0.9879294336118849</v>
      </c>
      <c r="X116">
        <v>45.2</v>
      </c>
      <c r="Y116">
        <v>3476992.8</v>
      </c>
      <c r="Z116">
        <v>157472</v>
      </c>
      <c r="AA116">
        <v>2</v>
      </c>
      <c r="AB116">
        <v>262</v>
      </c>
      <c r="AD116">
        <f>Tabela3[[#This Row],[kan_params]]</f>
        <v>157139</v>
      </c>
      <c r="AE116">
        <f>Tabela3[[#This Row],[kan_train_acc]]</f>
        <v>0.14688950926065444</v>
      </c>
      <c r="AF116">
        <f>Tabela3[[#This Row],[kan_val_acc]]</f>
        <v>0.29037036597728727</v>
      </c>
      <c r="AG116">
        <f>Tabela3[[#This Row],[kan_test_acc]]</f>
        <v>0.15999999940395354</v>
      </c>
      <c r="AH116">
        <f>Tabela3[[#This Row],[mlp_test_acc]]</f>
        <v>0.97199999999999998</v>
      </c>
      <c r="AI116">
        <f>Tabela3[[#This Row],[mlp_val_acc]]</f>
        <v>0.97925925925925927</v>
      </c>
      <c r="AJ116">
        <f>Tabela3[[#This Row],[mlp_train_acc]]</f>
        <v>0.99164345403899723</v>
      </c>
    </row>
    <row r="117" spans="1:36" x14ac:dyDescent="0.25">
      <c r="A117" t="s">
        <v>71</v>
      </c>
      <c r="B117">
        <v>10</v>
      </c>
      <c r="C117">
        <v>3</v>
      </c>
      <c r="D117">
        <v>3</v>
      </c>
      <c r="E117">
        <v>0</v>
      </c>
      <c r="F117" t="s">
        <v>104</v>
      </c>
      <c r="G117">
        <v>157718</v>
      </c>
      <c r="H117">
        <v>120471290.59999999</v>
      </c>
      <c r="I117">
        <v>25.6</v>
      </c>
      <c r="J117">
        <v>8.3751160651445389E-2</v>
      </c>
      <c r="K117">
        <v>0.23037037253379822</v>
      </c>
      <c r="L117">
        <v>8.7555555254220957E-2</v>
      </c>
      <c r="M117">
        <v>0.96488888888888891</v>
      </c>
      <c r="N117">
        <v>0.97629629629629633</v>
      </c>
      <c r="O117">
        <v>0.99238625812441961</v>
      </c>
      <c r="P117">
        <v>49.8</v>
      </c>
      <c r="Q117">
        <v>4342900</v>
      </c>
      <c r="R117">
        <v>157472</v>
      </c>
      <c r="S117">
        <v>2</v>
      </c>
      <c r="T117">
        <v>262</v>
      </c>
      <c r="U117">
        <v>0.96133333333333326</v>
      </c>
      <c r="V117">
        <v>0.9748148148148148</v>
      </c>
      <c r="W117">
        <v>0.99201485608170847</v>
      </c>
      <c r="X117">
        <v>53</v>
      </c>
      <c r="Y117">
        <v>4574161.2</v>
      </c>
      <c r="Z117">
        <v>158599</v>
      </c>
      <c r="AA117">
        <v>2</v>
      </c>
      <c r="AB117">
        <v>263</v>
      </c>
      <c r="AD117">
        <f>Tabela3[[#This Row],[kan_params]]</f>
        <v>157718</v>
      </c>
      <c r="AE117">
        <f>Tabela3[[#This Row],[kan_train_acc]]</f>
        <v>8.3751160651445389E-2</v>
      </c>
      <c r="AF117">
        <f>Tabela3[[#This Row],[kan_val_acc]]</f>
        <v>0.23037037253379822</v>
      </c>
      <c r="AG117">
        <f>Tabela3[[#This Row],[kan_test_acc]]</f>
        <v>8.7555555254220957E-2</v>
      </c>
      <c r="AH117">
        <f>Tabela3[[#This Row],[mlp_test_acc]]</f>
        <v>0.96488888888888891</v>
      </c>
      <c r="AI117">
        <f>Tabela3[[#This Row],[mlp_val_acc]]</f>
        <v>0.97629629629629633</v>
      </c>
      <c r="AJ117">
        <f>Tabela3[[#This Row],[mlp_train_acc]]</f>
        <v>0.99238625812441961</v>
      </c>
    </row>
    <row r="118" spans="1:36" x14ac:dyDescent="0.25">
      <c r="A118" t="s">
        <v>71</v>
      </c>
      <c r="B118">
        <v>10</v>
      </c>
      <c r="C118">
        <v>3</v>
      </c>
      <c r="D118">
        <v>3</v>
      </c>
      <c r="E118">
        <v>0</v>
      </c>
      <c r="F118" t="s">
        <v>145</v>
      </c>
      <c r="G118">
        <v>157842</v>
      </c>
      <c r="H118">
        <v>93597313.200000003</v>
      </c>
      <c r="I118">
        <v>16.8</v>
      </c>
      <c r="J118">
        <v>0.13147632330656051</v>
      </c>
      <c r="K118">
        <v>0.19851851761341094</v>
      </c>
      <c r="L118">
        <v>0.1284444436430931</v>
      </c>
      <c r="M118">
        <v>0.97199999999999998</v>
      </c>
      <c r="N118">
        <v>0.9807407407407408</v>
      </c>
      <c r="O118">
        <v>0.9879294336118849</v>
      </c>
      <c r="P118">
        <v>34.6</v>
      </c>
      <c r="Q118">
        <v>2841203.2</v>
      </c>
      <c r="R118">
        <v>157472</v>
      </c>
      <c r="S118">
        <v>2</v>
      </c>
      <c r="T118">
        <v>262</v>
      </c>
      <c r="U118">
        <v>0.96888888888888891</v>
      </c>
      <c r="V118">
        <v>0.97925925925925927</v>
      </c>
      <c r="W118">
        <v>0.98755803156917366</v>
      </c>
      <c r="X118">
        <v>38.799999999999997</v>
      </c>
      <c r="Y118">
        <v>4216270.5999999996</v>
      </c>
      <c r="Z118">
        <v>158599</v>
      </c>
      <c r="AA118">
        <v>2</v>
      </c>
      <c r="AB118">
        <v>263</v>
      </c>
      <c r="AD118">
        <f>Tabela3[[#This Row],[kan_params]]</f>
        <v>157842</v>
      </c>
      <c r="AE118">
        <f>Tabela3[[#This Row],[kan_train_acc]]</f>
        <v>0.13147632330656051</v>
      </c>
      <c r="AF118">
        <f>Tabela3[[#This Row],[kan_val_acc]]</f>
        <v>0.19851851761341094</v>
      </c>
      <c r="AG118">
        <f>Tabela3[[#This Row],[kan_test_acc]]</f>
        <v>0.1284444436430931</v>
      </c>
      <c r="AH118">
        <f>Tabela3[[#This Row],[mlp_test_acc]]</f>
        <v>0.97199999999999998</v>
      </c>
      <c r="AI118">
        <f>Tabela3[[#This Row],[mlp_val_acc]]</f>
        <v>0.9807407407407408</v>
      </c>
      <c r="AJ118">
        <f>Tabela3[[#This Row],[mlp_train_acc]]</f>
        <v>0.9879294336118849</v>
      </c>
    </row>
    <row r="119" spans="1:36" x14ac:dyDescent="0.25">
      <c r="A119" t="s">
        <v>71</v>
      </c>
      <c r="B119">
        <v>12</v>
      </c>
      <c r="C119">
        <v>3</v>
      </c>
      <c r="D119">
        <v>4</v>
      </c>
      <c r="E119">
        <v>0</v>
      </c>
      <c r="F119" t="s">
        <v>74</v>
      </c>
      <c r="G119">
        <v>159001</v>
      </c>
      <c r="H119">
        <v>81352455.200000003</v>
      </c>
      <c r="I119">
        <v>17</v>
      </c>
      <c r="J119">
        <v>8.8579390197992325E-2</v>
      </c>
      <c r="K119">
        <v>0.19407407939434052</v>
      </c>
      <c r="L119">
        <v>9.066666588187218E-2</v>
      </c>
      <c r="M119">
        <v>0.97155555555555562</v>
      </c>
      <c r="N119">
        <v>0.97777777777777775</v>
      </c>
      <c r="O119">
        <v>0.99108635097493036</v>
      </c>
      <c r="P119">
        <v>43</v>
      </c>
      <c r="Q119">
        <v>4923602.4000000004</v>
      </c>
      <c r="R119">
        <v>158599</v>
      </c>
      <c r="S119">
        <v>2</v>
      </c>
      <c r="T119">
        <v>263</v>
      </c>
      <c r="U119">
        <v>0.97111111111111115</v>
      </c>
      <c r="V119">
        <v>0.97925925925925927</v>
      </c>
      <c r="W119">
        <v>0.98922934076137414</v>
      </c>
      <c r="X119">
        <v>38.4</v>
      </c>
      <c r="Y119">
        <v>3341700.8</v>
      </c>
      <c r="Z119">
        <v>159730</v>
      </c>
      <c r="AA119">
        <v>2</v>
      </c>
      <c r="AB119">
        <v>264</v>
      </c>
      <c r="AD119">
        <f>Tabela3[[#This Row],[kan_params]]</f>
        <v>159001</v>
      </c>
      <c r="AE119">
        <f>Tabela3[[#This Row],[kan_train_acc]]</f>
        <v>8.8579390197992325E-2</v>
      </c>
      <c r="AF119">
        <f>Tabela3[[#This Row],[kan_val_acc]]</f>
        <v>0.19407407939434052</v>
      </c>
      <c r="AG119">
        <f>Tabela3[[#This Row],[kan_test_acc]]</f>
        <v>9.066666588187218E-2</v>
      </c>
      <c r="AH119">
        <f>Tabela3[[#This Row],[mlp_test_acc]]</f>
        <v>0.97155555555555562</v>
      </c>
      <c r="AI119">
        <f>Tabela3[[#This Row],[mlp_val_acc]]</f>
        <v>0.97777777777777775</v>
      </c>
      <c r="AJ119">
        <f>Tabela3[[#This Row],[mlp_train_acc]]</f>
        <v>0.99108635097493036</v>
      </c>
    </row>
    <row r="120" spans="1:36" x14ac:dyDescent="0.25">
      <c r="A120" t="s">
        <v>71</v>
      </c>
      <c r="B120">
        <v>10</v>
      </c>
      <c r="C120">
        <v>3</v>
      </c>
      <c r="D120">
        <v>3</v>
      </c>
      <c r="E120">
        <v>0</v>
      </c>
      <c r="F120" t="s">
        <v>91</v>
      </c>
      <c r="G120">
        <v>159225</v>
      </c>
      <c r="H120">
        <v>92212949</v>
      </c>
      <c r="I120">
        <v>18.600000000000001</v>
      </c>
      <c r="J120">
        <v>9.1550602763891223E-2</v>
      </c>
      <c r="K120">
        <v>0.2088888853788376</v>
      </c>
      <c r="L120">
        <v>9.7333334013819689E-2</v>
      </c>
      <c r="M120">
        <v>0.9622222222222222</v>
      </c>
      <c r="N120">
        <v>0.97629629629629622</v>
      </c>
      <c r="O120">
        <v>0.99331476323119783</v>
      </c>
      <c r="P120">
        <v>48</v>
      </c>
      <c r="Q120">
        <v>4083835</v>
      </c>
      <c r="R120">
        <v>158599</v>
      </c>
      <c r="S120">
        <v>2</v>
      </c>
      <c r="T120">
        <v>263</v>
      </c>
      <c r="U120">
        <v>0.95866666666666667</v>
      </c>
      <c r="V120">
        <v>0.97777777777777775</v>
      </c>
      <c r="W120">
        <v>0.99498607242339832</v>
      </c>
      <c r="X120">
        <v>53.8</v>
      </c>
      <c r="Y120">
        <v>4481078.2</v>
      </c>
      <c r="Z120">
        <v>159730</v>
      </c>
      <c r="AA120">
        <v>2</v>
      </c>
      <c r="AB120">
        <v>264</v>
      </c>
      <c r="AD120">
        <f>Tabela3[[#This Row],[kan_params]]</f>
        <v>159225</v>
      </c>
      <c r="AE120">
        <f>Tabela3[[#This Row],[kan_train_acc]]</f>
        <v>9.1550602763891223E-2</v>
      </c>
      <c r="AF120">
        <f>Tabela3[[#This Row],[kan_val_acc]]</f>
        <v>0.2088888853788376</v>
      </c>
      <c r="AG120">
        <f>Tabela3[[#This Row],[kan_test_acc]]</f>
        <v>9.7333334013819689E-2</v>
      </c>
      <c r="AH120">
        <f>Tabela3[[#This Row],[mlp_test_acc]]</f>
        <v>0.9622222222222222</v>
      </c>
      <c r="AI120">
        <f>Tabela3[[#This Row],[mlp_val_acc]]</f>
        <v>0.97629629629629622</v>
      </c>
      <c r="AJ120">
        <f>Tabela3[[#This Row],[mlp_train_acc]]</f>
        <v>0.99331476323119783</v>
      </c>
    </row>
    <row r="121" spans="1:36" x14ac:dyDescent="0.25">
      <c r="A121" t="s">
        <v>71</v>
      </c>
      <c r="B121">
        <v>10</v>
      </c>
      <c r="C121">
        <v>3</v>
      </c>
      <c r="D121">
        <v>3</v>
      </c>
      <c r="E121">
        <v>0</v>
      </c>
      <c r="F121" t="s">
        <v>132</v>
      </c>
      <c r="G121">
        <v>160149</v>
      </c>
      <c r="H121">
        <v>113481520.59999999</v>
      </c>
      <c r="I121">
        <v>23.6</v>
      </c>
      <c r="J121">
        <v>9.0436399728059766E-2</v>
      </c>
      <c r="K121">
        <v>0.20962962806224822</v>
      </c>
      <c r="L121">
        <v>8.2222222909331316E-2</v>
      </c>
      <c r="M121">
        <v>0.96444444444444444</v>
      </c>
      <c r="N121">
        <v>0.97777777777777775</v>
      </c>
      <c r="O121">
        <v>0.99294336118848658</v>
      </c>
      <c r="P121">
        <v>50.8</v>
      </c>
      <c r="Q121">
        <v>7246396.2000000002</v>
      </c>
      <c r="R121">
        <v>159730</v>
      </c>
      <c r="S121">
        <v>2</v>
      </c>
      <c r="T121">
        <v>264</v>
      </c>
      <c r="U121">
        <v>0.96133333333333326</v>
      </c>
      <c r="V121">
        <v>0.9748148148148148</v>
      </c>
      <c r="W121">
        <v>0.9922005571030641</v>
      </c>
      <c r="X121">
        <v>46</v>
      </c>
      <c r="Y121">
        <v>4751609.4000000004</v>
      </c>
      <c r="Z121">
        <v>160865</v>
      </c>
      <c r="AA121">
        <v>2</v>
      </c>
      <c r="AB121">
        <v>265</v>
      </c>
      <c r="AD121">
        <f>Tabela3[[#This Row],[kan_params]]</f>
        <v>160149</v>
      </c>
      <c r="AE121">
        <f>Tabela3[[#This Row],[kan_train_acc]]</f>
        <v>9.0436399728059766E-2</v>
      </c>
      <c r="AF121">
        <f>Tabela3[[#This Row],[kan_val_acc]]</f>
        <v>0.20962962806224822</v>
      </c>
      <c r="AG121">
        <f>Tabela3[[#This Row],[kan_test_acc]]</f>
        <v>8.2222222909331316E-2</v>
      </c>
      <c r="AH121">
        <f>Tabela3[[#This Row],[mlp_test_acc]]</f>
        <v>0.96444444444444444</v>
      </c>
      <c r="AI121">
        <f>Tabela3[[#This Row],[mlp_val_acc]]</f>
        <v>0.97777777777777775</v>
      </c>
      <c r="AJ121">
        <f>Tabela3[[#This Row],[mlp_train_acc]]</f>
        <v>0.99294336118848658</v>
      </c>
    </row>
    <row r="122" spans="1:36" x14ac:dyDescent="0.25">
      <c r="A122" t="s">
        <v>71</v>
      </c>
      <c r="B122">
        <v>8</v>
      </c>
      <c r="C122">
        <v>3</v>
      </c>
      <c r="D122">
        <v>2</v>
      </c>
      <c r="E122">
        <v>0</v>
      </c>
      <c r="F122" t="s">
        <v>151</v>
      </c>
      <c r="G122">
        <v>160284</v>
      </c>
      <c r="H122">
        <v>133689588.40000001</v>
      </c>
      <c r="I122">
        <v>22.4</v>
      </c>
      <c r="J122">
        <v>0.18440111577510834</v>
      </c>
      <c r="K122">
        <v>0.29851851463317869</v>
      </c>
      <c r="L122">
        <v>0.18799999505281448</v>
      </c>
      <c r="M122">
        <v>0.97333333333333338</v>
      </c>
      <c r="N122">
        <v>0.98148148148148151</v>
      </c>
      <c r="O122">
        <v>0.99201485608170847</v>
      </c>
      <c r="P122">
        <v>47</v>
      </c>
      <c r="Q122">
        <v>5134343.8</v>
      </c>
      <c r="R122">
        <v>159730</v>
      </c>
      <c r="S122">
        <v>2</v>
      </c>
      <c r="T122">
        <v>264</v>
      </c>
      <c r="U122">
        <v>0.97377777777777774</v>
      </c>
      <c r="V122">
        <v>0.98074074074074069</v>
      </c>
      <c r="W122">
        <v>0.98830083565459614</v>
      </c>
      <c r="X122">
        <v>41.2</v>
      </c>
      <c r="Y122">
        <v>6470285.4000000004</v>
      </c>
      <c r="Z122">
        <v>160865</v>
      </c>
      <c r="AA122">
        <v>2</v>
      </c>
      <c r="AB122">
        <v>265</v>
      </c>
      <c r="AD122">
        <f>Tabela3[[#This Row],[kan_params]]</f>
        <v>160284</v>
      </c>
      <c r="AE122">
        <f>Tabela3[[#This Row],[kan_train_acc]]</f>
        <v>0.18440111577510834</v>
      </c>
      <c r="AF122">
        <f>Tabela3[[#This Row],[kan_val_acc]]</f>
        <v>0.29851851463317869</v>
      </c>
      <c r="AG122">
        <f>Tabela3[[#This Row],[kan_test_acc]]</f>
        <v>0.18799999505281448</v>
      </c>
      <c r="AH122">
        <f>Tabela3[[#This Row],[mlp_test_acc]]</f>
        <v>0.97333333333333338</v>
      </c>
      <c r="AI122">
        <f>Tabela3[[#This Row],[mlp_val_acc]]</f>
        <v>0.98148148148148151</v>
      </c>
      <c r="AJ122">
        <f>Tabela3[[#This Row],[mlp_train_acc]]</f>
        <v>0.99201485608170847</v>
      </c>
    </row>
    <row r="123" spans="1:36" x14ac:dyDescent="0.25">
      <c r="A123" t="s">
        <v>71</v>
      </c>
      <c r="B123">
        <v>8</v>
      </c>
      <c r="C123">
        <v>3</v>
      </c>
      <c r="D123">
        <v>2</v>
      </c>
      <c r="E123">
        <v>0</v>
      </c>
      <c r="F123" t="s">
        <v>138</v>
      </c>
      <c r="G123">
        <v>161379</v>
      </c>
      <c r="H123">
        <v>151978595.19999999</v>
      </c>
      <c r="I123">
        <v>24.4</v>
      </c>
      <c r="J123">
        <v>0.1812441974878311</v>
      </c>
      <c r="K123">
        <v>0.2703703701496124</v>
      </c>
      <c r="L123">
        <v>0.1684444472193718</v>
      </c>
      <c r="M123">
        <v>0.97422222222222221</v>
      </c>
      <c r="N123">
        <v>0.98370370370370375</v>
      </c>
      <c r="O123">
        <v>0.9931290622098421</v>
      </c>
      <c r="P123">
        <v>48.4</v>
      </c>
      <c r="Q123">
        <v>6528121.7999999998</v>
      </c>
      <c r="R123">
        <v>160865</v>
      </c>
      <c r="S123">
        <v>2</v>
      </c>
      <c r="T123">
        <v>265</v>
      </c>
      <c r="U123">
        <v>0.97333333333333338</v>
      </c>
      <c r="V123">
        <v>0.98444444444444446</v>
      </c>
      <c r="W123">
        <v>0.99127205199628599</v>
      </c>
      <c r="X123">
        <v>46.6</v>
      </c>
      <c r="Y123">
        <v>4400422.4000000004</v>
      </c>
      <c r="Z123">
        <v>162004</v>
      </c>
      <c r="AA123">
        <v>2</v>
      </c>
      <c r="AB123">
        <v>266</v>
      </c>
      <c r="AD123">
        <f>Tabela3[[#This Row],[kan_params]]</f>
        <v>161379</v>
      </c>
      <c r="AE123">
        <f>Tabela3[[#This Row],[kan_train_acc]]</f>
        <v>0.1812441974878311</v>
      </c>
      <c r="AF123">
        <f>Tabela3[[#This Row],[kan_val_acc]]</f>
        <v>0.2703703701496124</v>
      </c>
      <c r="AG123">
        <f>Tabela3[[#This Row],[kan_test_acc]]</f>
        <v>0.1684444472193718</v>
      </c>
      <c r="AH123">
        <f>Tabela3[[#This Row],[mlp_test_acc]]</f>
        <v>0.97422222222222221</v>
      </c>
      <c r="AI123">
        <f>Tabela3[[#This Row],[mlp_val_acc]]</f>
        <v>0.98370370370370375</v>
      </c>
      <c r="AJ123">
        <f>Tabela3[[#This Row],[mlp_train_acc]]</f>
        <v>0.9931290622098421</v>
      </c>
    </row>
    <row r="124" spans="1:36" x14ac:dyDescent="0.25">
      <c r="A124" t="s">
        <v>71</v>
      </c>
      <c r="B124">
        <v>10</v>
      </c>
      <c r="C124">
        <v>3</v>
      </c>
      <c r="D124">
        <v>3</v>
      </c>
      <c r="E124">
        <v>0</v>
      </c>
      <c r="F124" t="s">
        <v>119</v>
      </c>
      <c r="G124">
        <v>162136</v>
      </c>
      <c r="H124">
        <v>154740003.40000001</v>
      </c>
      <c r="I124">
        <v>32.6</v>
      </c>
      <c r="J124">
        <v>0.16174558848142623</v>
      </c>
      <c r="K124">
        <v>0.26222222149372099</v>
      </c>
      <c r="L124">
        <v>0.16355555206537248</v>
      </c>
      <c r="M124">
        <v>0.96488888888888891</v>
      </c>
      <c r="N124">
        <v>0.97555555555555551</v>
      </c>
      <c r="O124">
        <v>0.99350046425255334</v>
      </c>
      <c r="P124">
        <v>50.4</v>
      </c>
      <c r="Q124">
        <v>5829463.5999999996</v>
      </c>
      <c r="R124">
        <v>162004</v>
      </c>
      <c r="S124">
        <v>2</v>
      </c>
      <c r="T124">
        <v>266</v>
      </c>
      <c r="U124">
        <v>0.9622222222222222</v>
      </c>
      <c r="V124">
        <v>0.9748148148148148</v>
      </c>
      <c r="W124">
        <v>0.9931290622098421</v>
      </c>
      <c r="X124">
        <v>49.4</v>
      </c>
      <c r="Y124">
        <v>5062621.8</v>
      </c>
      <c r="Z124">
        <v>163147</v>
      </c>
      <c r="AA124">
        <v>2</v>
      </c>
      <c r="AB124">
        <v>267</v>
      </c>
      <c r="AD124">
        <f>Tabela3[[#This Row],[kan_params]]</f>
        <v>162136</v>
      </c>
      <c r="AE124">
        <f>Tabela3[[#This Row],[kan_train_acc]]</f>
        <v>0.16174558848142623</v>
      </c>
      <c r="AF124">
        <f>Tabela3[[#This Row],[kan_val_acc]]</f>
        <v>0.26222222149372099</v>
      </c>
      <c r="AG124">
        <f>Tabela3[[#This Row],[kan_test_acc]]</f>
        <v>0.16355555206537248</v>
      </c>
      <c r="AH124">
        <f>Tabela3[[#This Row],[mlp_test_acc]]</f>
        <v>0.96488888888888891</v>
      </c>
      <c r="AI124">
        <f>Tabela3[[#This Row],[mlp_val_acc]]</f>
        <v>0.97555555555555551</v>
      </c>
      <c r="AJ124">
        <f>Tabela3[[#This Row],[mlp_train_acc]]</f>
        <v>0.99350046425255334</v>
      </c>
    </row>
    <row r="125" spans="1:36" x14ac:dyDescent="0.25">
      <c r="A125" t="s">
        <v>71</v>
      </c>
      <c r="B125">
        <v>8</v>
      </c>
      <c r="C125">
        <v>3</v>
      </c>
      <c r="D125">
        <v>2</v>
      </c>
      <c r="E125">
        <v>0</v>
      </c>
      <c r="F125" t="s">
        <v>111</v>
      </c>
      <c r="G125">
        <v>162214</v>
      </c>
      <c r="H125">
        <v>192555190.59999999</v>
      </c>
      <c r="I125">
        <v>33</v>
      </c>
      <c r="J125">
        <v>0.28189414441585542</v>
      </c>
      <c r="K125">
        <v>0.38740740716457367</v>
      </c>
      <c r="L125">
        <v>0.28977777957916262</v>
      </c>
      <c r="M125">
        <v>0.97377777777777774</v>
      </c>
      <c r="N125">
        <v>0.98222222222222222</v>
      </c>
      <c r="O125">
        <v>0.99350046425255345</v>
      </c>
      <c r="P125">
        <v>50</v>
      </c>
      <c r="Q125">
        <v>5900392</v>
      </c>
      <c r="R125">
        <v>162004</v>
      </c>
      <c r="S125">
        <v>2</v>
      </c>
      <c r="T125">
        <v>266</v>
      </c>
      <c r="U125">
        <v>0.97466666666666668</v>
      </c>
      <c r="V125">
        <v>0.98148148148148151</v>
      </c>
      <c r="W125">
        <v>0.98978644382544101</v>
      </c>
      <c r="X125">
        <v>45</v>
      </c>
      <c r="Y125">
        <v>3276917.4</v>
      </c>
      <c r="Z125">
        <v>163147</v>
      </c>
      <c r="AA125">
        <v>2</v>
      </c>
      <c r="AB125">
        <v>267</v>
      </c>
      <c r="AD125">
        <f>Tabela3[[#This Row],[kan_params]]</f>
        <v>162214</v>
      </c>
      <c r="AE125">
        <f>Tabela3[[#This Row],[kan_train_acc]]</f>
        <v>0.28189414441585542</v>
      </c>
      <c r="AF125">
        <f>Tabela3[[#This Row],[kan_val_acc]]</f>
        <v>0.38740740716457367</v>
      </c>
      <c r="AG125">
        <f>Tabela3[[#This Row],[kan_test_acc]]</f>
        <v>0.28977777957916262</v>
      </c>
      <c r="AH125">
        <f>Tabela3[[#This Row],[mlp_test_acc]]</f>
        <v>0.97377777777777774</v>
      </c>
      <c r="AI125">
        <f>Tabela3[[#This Row],[mlp_val_acc]]</f>
        <v>0.98222222222222222</v>
      </c>
      <c r="AJ125">
        <f>Tabela3[[#This Row],[mlp_train_acc]]</f>
        <v>0.99350046425255345</v>
      </c>
    </row>
    <row r="126" spans="1:36" x14ac:dyDescent="0.25">
      <c r="A126" t="s">
        <v>71</v>
      </c>
      <c r="B126">
        <v>18</v>
      </c>
      <c r="C126">
        <v>9</v>
      </c>
      <c r="D126">
        <v>4</v>
      </c>
      <c r="E126">
        <v>0</v>
      </c>
      <c r="F126" t="s">
        <v>156</v>
      </c>
      <c r="G126">
        <v>162898</v>
      </c>
      <c r="H126">
        <v>60143973</v>
      </c>
      <c r="I126">
        <v>16.2</v>
      </c>
      <c r="J126">
        <v>0.15227483808994294</v>
      </c>
      <c r="K126">
        <v>0.24000000655651094</v>
      </c>
      <c r="L126">
        <v>0.17066666632890701</v>
      </c>
      <c r="M126">
        <v>0.97422222222222221</v>
      </c>
      <c r="N126">
        <v>0.97703703703703704</v>
      </c>
      <c r="O126">
        <v>0.9888579387186629</v>
      </c>
      <c r="P126">
        <v>42.6</v>
      </c>
      <c r="Q126">
        <v>3507900.2</v>
      </c>
      <c r="R126">
        <v>162004</v>
      </c>
      <c r="S126">
        <v>2</v>
      </c>
      <c r="T126">
        <v>266</v>
      </c>
      <c r="U126">
        <v>0.97244444444444444</v>
      </c>
      <c r="V126">
        <v>0.97555555555555551</v>
      </c>
      <c r="W126">
        <v>0.99015784586815225</v>
      </c>
      <c r="X126">
        <v>46.2</v>
      </c>
      <c r="Y126">
        <v>5723825.4000000004</v>
      </c>
      <c r="Z126">
        <v>163147</v>
      </c>
      <c r="AA126">
        <v>2</v>
      </c>
      <c r="AB126">
        <v>267</v>
      </c>
      <c r="AD126">
        <f>Tabela3[[#This Row],[kan_params]]</f>
        <v>162898</v>
      </c>
      <c r="AE126">
        <f>Tabela3[[#This Row],[kan_train_acc]]</f>
        <v>0.15227483808994294</v>
      </c>
      <c r="AF126">
        <f>Tabela3[[#This Row],[kan_val_acc]]</f>
        <v>0.24000000655651094</v>
      </c>
      <c r="AG126">
        <f>Tabela3[[#This Row],[kan_test_acc]]</f>
        <v>0.17066666632890701</v>
      </c>
      <c r="AH126">
        <f>Tabela3[[#This Row],[mlp_test_acc]]</f>
        <v>0.97422222222222221</v>
      </c>
      <c r="AI126">
        <f>Tabela3[[#This Row],[mlp_val_acc]]</f>
        <v>0.97703703703703704</v>
      </c>
      <c r="AJ126">
        <f>Tabela3[[#This Row],[mlp_train_acc]]</f>
        <v>0.9888579387186629</v>
      </c>
    </row>
    <row r="127" spans="1:36" x14ac:dyDescent="0.25">
      <c r="A127" t="s">
        <v>71</v>
      </c>
      <c r="B127">
        <v>10</v>
      </c>
      <c r="C127">
        <v>3</v>
      </c>
      <c r="D127">
        <v>3</v>
      </c>
      <c r="E127">
        <v>0</v>
      </c>
      <c r="F127" t="s">
        <v>105</v>
      </c>
      <c r="G127">
        <v>163803</v>
      </c>
      <c r="H127">
        <v>163083332.80000001</v>
      </c>
      <c r="I127">
        <v>33.4</v>
      </c>
      <c r="J127">
        <v>9.972144961357117E-2</v>
      </c>
      <c r="K127">
        <v>0.18740740716457366</v>
      </c>
      <c r="L127">
        <v>9.0666666626930237E-2</v>
      </c>
      <c r="M127">
        <v>0.96044444444444443</v>
      </c>
      <c r="N127">
        <v>0.97259259259259256</v>
      </c>
      <c r="O127">
        <v>0.99090064995357474</v>
      </c>
      <c r="P127">
        <v>45.6</v>
      </c>
      <c r="Q127">
        <v>4665430.4000000004</v>
      </c>
      <c r="R127">
        <v>163147</v>
      </c>
      <c r="S127">
        <v>2</v>
      </c>
      <c r="T127">
        <v>267</v>
      </c>
      <c r="U127">
        <v>0.96177777777777773</v>
      </c>
      <c r="V127">
        <v>0.97629629629629633</v>
      </c>
      <c r="W127">
        <v>0.99294336118848658</v>
      </c>
      <c r="X127">
        <v>53.6</v>
      </c>
      <c r="Y127">
        <v>5000941.5999999996</v>
      </c>
      <c r="Z127">
        <v>164294</v>
      </c>
      <c r="AA127">
        <v>2</v>
      </c>
      <c r="AB127">
        <v>268</v>
      </c>
      <c r="AD127">
        <f>Tabela3[[#This Row],[kan_params]]</f>
        <v>163803</v>
      </c>
      <c r="AE127">
        <f>Tabela3[[#This Row],[kan_train_acc]]</f>
        <v>9.972144961357117E-2</v>
      </c>
      <c r="AF127">
        <f>Tabela3[[#This Row],[kan_val_acc]]</f>
        <v>0.18740740716457366</v>
      </c>
      <c r="AG127">
        <f>Tabela3[[#This Row],[kan_test_acc]]</f>
        <v>9.0666666626930237E-2</v>
      </c>
      <c r="AH127">
        <f>Tabela3[[#This Row],[mlp_test_acc]]</f>
        <v>0.96044444444444443</v>
      </c>
      <c r="AI127">
        <f>Tabela3[[#This Row],[mlp_val_acc]]</f>
        <v>0.97259259259259256</v>
      </c>
      <c r="AJ127">
        <f>Tabela3[[#This Row],[mlp_train_acc]]</f>
        <v>0.99090064995357474</v>
      </c>
    </row>
    <row r="128" spans="1:36" x14ac:dyDescent="0.25">
      <c r="A128" t="s">
        <v>71</v>
      </c>
      <c r="B128">
        <v>10</v>
      </c>
      <c r="C128">
        <v>3</v>
      </c>
      <c r="D128">
        <v>3</v>
      </c>
      <c r="E128">
        <v>0</v>
      </c>
      <c r="F128" t="s">
        <v>146</v>
      </c>
      <c r="G128">
        <v>164407</v>
      </c>
      <c r="H128">
        <v>185620788.80000001</v>
      </c>
      <c r="I128">
        <v>34.200000000000003</v>
      </c>
      <c r="J128">
        <v>0.10510677695274354</v>
      </c>
      <c r="K128">
        <v>0.1925925925374031</v>
      </c>
      <c r="L128">
        <v>0.10622222125530242</v>
      </c>
      <c r="M128">
        <v>0.97333333333333338</v>
      </c>
      <c r="N128">
        <v>0.98</v>
      </c>
      <c r="O128">
        <v>0.98978644382544101</v>
      </c>
      <c r="P128">
        <v>43</v>
      </c>
      <c r="Q128">
        <v>3969176.2</v>
      </c>
      <c r="R128">
        <v>164294</v>
      </c>
      <c r="S128">
        <v>2</v>
      </c>
      <c r="T128">
        <v>268</v>
      </c>
      <c r="U128">
        <v>0.97200000000000009</v>
      </c>
      <c r="V128">
        <v>0.97851851851851857</v>
      </c>
      <c r="W128">
        <v>0.99071494893221912</v>
      </c>
      <c r="X128">
        <v>41.8</v>
      </c>
      <c r="Y128">
        <v>6190186.4000000004</v>
      </c>
      <c r="Z128">
        <v>165445</v>
      </c>
      <c r="AA128">
        <v>2</v>
      </c>
      <c r="AB128">
        <v>269</v>
      </c>
      <c r="AD128">
        <f>Tabela3[[#This Row],[kan_params]]</f>
        <v>164407</v>
      </c>
      <c r="AE128">
        <f>Tabela3[[#This Row],[kan_train_acc]]</f>
        <v>0.10510677695274354</v>
      </c>
      <c r="AF128">
        <f>Tabela3[[#This Row],[kan_val_acc]]</f>
        <v>0.1925925925374031</v>
      </c>
      <c r="AG128">
        <f>Tabela3[[#This Row],[kan_test_acc]]</f>
        <v>0.10622222125530242</v>
      </c>
      <c r="AH128">
        <f>Tabela3[[#This Row],[mlp_test_acc]]</f>
        <v>0.97333333333333338</v>
      </c>
      <c r="AI128">
        <f>Tabela3[[#This Row],[mlp_val_acc]]</f>
        <v>0.98</v>
      </c>
      <c r="AJ128">
        <f>Tabela3[[#This Row],[mlp_train_acc]]</f>
        <v>0.98978644382544101</v>
      </c>
    </row>
    <row r="129" spans="1:36" x14ac:dyDescent="0.25">
      <c r="A129" t="s">
        <v>71</v>
      </c>
      <c r="B129">
        <v>10</v>
      </c>
      <c r="C129">
        <v>3</v>
      </c>
      <c r="D129">
        <v>3</v>
      </c>
      <c r="E129">
        <v>0</v>
      </c>
      <c r="F129" t="s">
        <v>92</v>
      </c>
      <c r="G129">
        <v>165150</v>
      </c>
      <c r="H129">
        <v>108347405</v>
      </c>
      <c r="I129">
        <v>21.8</v>
      </c>
      <c r="J129">
        <v>0.11420612707734108</v>
      </c>
      <c r="K129">
        <v>0.21037037074565887</v>
      </c>
      <c r="L129">
        <v>0.10533333346247672</v>
      </c>
      <c r="M129">
        <v>0.9622222222222222</v>
      </c>
      <c r="N129">
        <v>0.97333333333333327</v>
      </c>
      <c r="O129">
        <v>0.99071494893221912</v>
      </c>
      <c r="P129">
        <v>45.6</v>
      </c>
      <c r="Q129">
        <v>6286137.7999999998</v>
      </c>
      <c r="R129">
        <v>164294</v>
      </c>
      <c r="S129">
        <v>2</v>
      </c>
      <c r="T129">
        <v>268</v>
      </c>
      <c r="U129">
        <v>0.9608888888888889</v>
      </c>
      <c r="V129">
        <v>0.97629629629629633</v>
      </c>
      <c r="W129">
        <v>0.99350046425255334</v>
      </c>
      <c r="X129">
        <v>50.4</v>
      </c>
      <c r="Y129">
        <v>5181170.2</v>
      </c>
      <c r="Z129">
        <v>165445</v>
      </c>
      <c r="AA129">
        <v>2</v>
      </c>
      <c r="AB129">
        <v>269</v>
      </c>
      <c r="AD129">
        <f>Tabela3[[#This Row],[kan_params]]</f>
        <v>165150</v>
      </c>
      <c r="AE129">
        <f>Tabela3[[#This Row],[kan_train_acc]]</f>
        <v>0.11420612707734108</v>
      </c>
      <c r="AF129">
        <f>Tabela3[[#This Row],[kan_val_acc]]</f>
        <v>0.21037037074565887</v>
      </c>
      <c r="AG129">
        <f>Tabela3[[#This Row],[kan_test_acc]]</f>
        <v>0.10533333346247672</v>
      </c>
      <c r="AH129">
        <f>Tabela3[[#This Row],[mlp_test_acc]]</f>
        <v>0.9622222222222222</v>
      </c>
      <c r="AI129">
        <f>Tabela3[[#This Row],[mlp_val_acc]]</f>
        <v>0.97333333333333327</v>
      </c>
      <c r="AJ129">
        <f>Tabela3[[#This Row],[mlp_train_acc]]</f>
        <v>0.99071494893221912</v>
      </c>
    </row>
    <row r="130" spans="1:36" x14ac:dyDescent="0.25">
      <c r="A130" t="s">
        <v>71</v>
      </c>
      <c r="B130">
        <v>8</v>
      </c>
      <c r="C130">
        <v>3</v>
      </c>
      <c r="D130">
        <v>2</v>
      </c>
      <c r="E130">
        <v>0</v>
      </c>
      <c r="F130" t="s">
        <v>152</v>
      </c>
      <c r="G130">
        <v>165619</v>
      </c>
      <c r="H130">
        <v>160850988.19999999</v>
      </c>
      <c r="I130">
        <v>26.2</v>
      </c>
      <c r="J130">
        <v>0.13686165362596511</v>
      </c>
      <c r="K130">
        <v>0.3303703725337982</v>
      </c>
      <c r="L130">
        <v>0.13333333283662796</v>
      </c>
      <c r="M130">
        <v>0.97422222222222221</v>
      </c>
      <c r="N130">
        <v>0.98296296296296293</v>
      </c>
      <c r="O130">
        <v>0.9922005571030641</v>
      </c>
      <c r="P130">
        <v>48.2</v>
      </c>
      <c r="Q130">
        <v>6461247.2000000002</v>
      </c>
      <c r="R130">
        <v>165445</v>
      </c>
      <c r="S130">
        <v>2</v>
      </c>
      <c r="T130">
        <v>269</v>
      </c>
      <c r="U130">
        <v>0.97333333333333338</v>
      </c>
      <c r="V130">
        <v>0.97777777777777775</v>
      </c>
      <c r="W130">
        <v>0.99127205199628599</v>
      </c>
      <c r="X130">
        <v>45</v>
      </c>
      <c r="Y130">
        <v>4920919.5999999996</v>
      </c>
      <c r="Z130">
        <v>166600</v>
      </c>
      <c r="AA130">
        <v>2</v>
      </c>
      <c r="AB130">
        <v>270</v>
      </c>
      <c r="AD130">
        <f>Tabela3[[#This Row],[kan_params]]</f>
        <v>165619</v>
      </c>
      <c r="AE130">
        <f>Tabela3[[#This Row],[kan_train_acc]]</f>
        <v>0.13686165362596511</v>
      </c>
      <c r="AF130">
        <f>Tabela3[[#This Row],[kan_val_acc]]</f>
        <v>0.3303703725337982</v>
      </c>
      <c r="AG130">
        <f>Tabela3[[#This Row],[kan_test_acc]]</f>
        <v>0.13333333283662796</v>
      </c>
      <c r="AH130">
        <f>Tabela3[[#This Row],[mlp_test_acc]]</f>
        <v>0.97422222222222221</v>
      </c>
      <c r="AI130">
        <f>Tabela3[[#This Row],[mlp_val_acc]]</f>
        <v>0.98296296296296293</v>
      </c>
      <c r="AJ130">
        <f>Tabela3[[#This Row],[mlp_train_acc]]</f>
        <v>0.9922005571030641</v>
      </c>
    </row>
    <row r="131" spans="1:36" x14ac:dyDescent="0.25">
      <c r="A131" t="s">
        <v>71</v>
      </c>
      <c r="B131">
        <v>12</v>
      </c>
      <c r="C131">
        <v>3</v>
      </c>
      <c r="D131">
        <v>4</v>
      </c>
      <c r="E131">
        <v>0</v>
      </c>
      <c r="F131" t="s">
        <v>75</v>
      </c>
      <c r="G131">
        <v>166036</v>
      </c>
      <c r="H131">
        <v>63787561.600000001</v>
      </c>
      <c r="I131">
        <v>13</v>
      </c>
      <c r="J131">
        <v>0.10232126340270042</v>
      </c>
      <c r="K131">
        <v>0.25555557012557983</v>
      </c>
      <c r="L131">
        <v>0.10933333337306976</v>
      </c>
      <c r="M131">
        <v>0.97333333333333338</v>
      </c>
      <c r="N131">
        <v>0.98148148148148151</v>
      </c>
      <c r="O131">
        <v>0.99071494893221912</v>
      </c>
      <c r="P131">
        <v>49</v>
      </c>
      <c r="Q131">
        <v>4495530.5999999996</v>
      </c>
      <c r="R131">
        <v>165445</v>
      </c>
      <c r="S131">
        <v>2</v>
      </c>
      <c r="T131">
        <v>269</v>
      </c>
      <c r="U131">
        <v>0.97333333333333338</v>
      </c>
      <c r="V131">
        <v>0.98148148148148151</v>
      </c>
      <c r="W131">
        <v>0.99071494893221912</v>
      </c>
      <c r="X131">
        <v>45</v>
      </c>
      <c r="Y131">
        <v>3997959.2</v>
      </c>
      <c r="Z131">
        <v>166600</v>
      </c>
      <c r="AA131">
        <v>2</v>
      </c>
      <c r="AB131">
        <v>270</v>
      </c>
      <c r="AD131">
        <f>Tabela3[[#This Row],[kan_params]]</f>
        <v>166036</v>
      </c>
      <c r="AE131">
        <f>Tabela3[[#This Row],[kan_train_acc]]</f>
        <v>0.10232126340270042</v>
      </c>
      <c r="AF131">
        <f>Tabela3[[#This Row],[kan_val_acc]]</f>
        <v>0.25555557012557983</v>
      </c>
      <c r="AG131">
        <f>Tabela3[[#This Row],[kan_test_acc]]</f>
        <v>0.10933333337306976</v>
      </c>
      <c r="AH131">
        <f>Tabela3[[#This Row],[mlp_test_acc]]</f>
        <v>0.97333333333333338</v>
      </c>
      <c r="AI131">
        <f>Tabela3[[#This Row],[mlp_val_acc]]</f>
        <v>0.98148148148148151</v>
      </c>
      <c r="AJ131">
        <f>Tabela3[[#This Row],[mlp_train_acc]]</f>
        <v>0.99071494893221912</v>
      </c>
    </row>
    <row r="132" spans="1:36" x14ac:dyDescent="0.25">
      <c r="A132" t="s">
        <v>71</v>
      </c>
      <c r="B132">
        <v>10</v>
      </c>
      <c r="C132">
        <v>3</v>
      </c>
      <c r="D132">
        <v>3</v>
      </c>
      <c r="E132">
        <v>0</v>
      </c>
      <c r="F132" t="s">
        <v>133</v>
      </c>
      <c r="G132">
        <v>166554</v>
      </c>
      <c r="H132">
        <v>124089145.40000001</v>
      </c>
      <c r="I132">
        <v>24.4</v>
      </c>
      <c r="J132">
        <v>9.0807799994945523E-2</v>
      </c>
      <c r="K132">
        <v>0.19333333075046538</v>
      </c>
      <c r="L132">
        <v>9.1999999433755877E-2</v>
      </c>
      <c r="M132">
        <v>0.96</v>
      </c>
      <c r="N132">
        <v>0.97407407407407409</v>
      </c>
      <c r="O132">
        <v>0.99108635097493036</v>
      </c>
      <c r="P132">
        <v>47</v>
      </c>
      <c r="Q132">
        <v>5713347</v>
      </c>
      <c r="R132">
        <v>165445</v>
      </c>
      <c r="S132">
        <v>2</v>
      </c>
      <c r="T132">
        <v>269</v>
      </c>
      <c r="U132">
        <v>0.96177777777777773</v>
      </c>
      <c r="V132">
        <v>0.97629629629629622</v>
      </c>
      <c r="W132">
        <v>0.99015784586815225</v>
      </c>
      <c r="X132">
        <v>45.2</v>
      </c>
      <c r="Y132">
        <v>4871738.2</v>
      </c>
      <c r="Z132">
        <v>166600</v>
      </c>
      <c r="AA132">
        <v>2</v>
      </c>
      <c r="AB132">
        <v>270</v>
      </c>
      <c r="AD132">
        <f>Tabela3[[#This Row],[kan_params]]</f>
        <v>166554</v>
      </c>
      <c r="AE132">
        <f>Tabela3[[#This Row],[kan_train_acc]]</f>
        <v>9.0807799994945523E-2</v>
      </c>
      <c r="AF132">
        <f>Tabela3[[#This Row],[kan_val_acc]]</f>
        <v>0.19333333075046538</v>
      </c>
      <c r="AG132">
        <f>Tabela3[[#This Row],[kan_test_acc]]</f>
        <v>9.1999999433755877E-2</v>
      </c>
      <c r="AH132">
        <f>Tabela3[[#This Row],[mlp_test_acc]]</f>
        <v>0.96</v>
      </c>
      <c r="AI132">
        <f>Tabela3[[#This Row],[mlp_val_acc]]</f>
        <v>0.97407407407407409</v>
      </c>
      <c r="AJ132">
        <f>Tabela3[[#This Row],[mlp_train_acc]]</f>
        <v>0.99108635097493036</v>
      </c>
    </row>
    <row r="133" spans="1:36" x14ac:dyDescent="0.25">
      <c r="A133" t="s">
        <v>71</v>
      </c>
      <c r="B133">
        <v>8</v>
      </c>
      <c r="C133">
        <v>3</v>
      </c>
      <c r="D133">
        <v>2</v>
      </c>
      <c r="E133">
        <v>0</v>
      </c>
      <c r="F133" t="s">
        <v>125</v>
      </c>
      <c r="G133">
        <v>166584</v>
      </c>
      <c r="H133">
        <v>358679979.39999998</v>
      </c>
      <c r="I133">
        <v>59</v>
      </c>
      <c r="J133">
        <v>0.36508821099996569</v>
      </c>
      <c r="K133">
        <v>0.51259259283542635</v>
      </c>
      <c r="L133">
        <v>0.37688889205455778</v>
      </c>
      <c r="M133">
        <v>0.97422222222222221</v>
      </c>
      <c r="N133">
        <v>0.98444444444444446</v>
      </c>
      <c r="O133">
        <v>0.99350046425255334</v>
      </c>
      <c r="P133">
        <v>49</v>
      </c>
      <c r="Q133">
        <v>5056947.2</v>
      </c>
      <c r="R133">
        <v>165445</v>
      </c>
      <c r="S133">
        <v>2</v>
      </c>
      <c r="T133">
        <v>269</v>
      </c>
      <c r="U133">
        <v>0.97466666666666668</v>
      </c>
      <c r="V133">
        <v>0.98222222222222222</v>
      </c>
      <c r="W133">
        <v>0.99257195914577534</v>
      </c>
      <c r="X133">
        <v>45</v>
      </c>
      <c r="Y133">
        <v>5643560</v>
      </c>
      <c r="Z133">
        <v>166600</v>
      </c>
      <c r="AA133">
        <v>2</v>
      </c>
      <c r="AB133">
        <v>270</v>
      </c>
      <c r="AD133">
        <f>Tabela3[[#This Row],[kan_params]]</f>
        <v>166584</v>
      </c>
      <c r="AE133">
        <f>Tabela3[[#This Row],[kan_train_acc]]</f>
        <v>0.36508821099996569</v>
      </c>
      <c r="AF133">
        <f>Tabela3[[#This Row],[kan_val_acc]]</f>
        <v>0.51259259283542635</v>
      </c>
      <c r="AG133">
        <f>Tabela3[[#This Row],[kan_test_acc]]</f>
        <v>0.37688889205455778</v>
      </c>
      <c r="AH133">
        <f>Tabela3[[#This Row],[mlp_test_acc]]</f>
        <v>0.97422222222222221</v>
      </c>
      <c r="AI133">
        <f>Tabela3[[#This Row],[mlp_val_acc]]</f>
        <v>0.98444444444444446</v>
      </c>
      <c r="AJ133">
        <f>Tabela3[[#This Row],[mlp_train_acc]]</f>
        <v>0.99350046425255334</v>
      </c>
    </row>
    <row r="134" spans="1:36" x14ac:dyDescent="0.25">
      <c r="A134" t="s">
        <v>71</v>
      </c>
      <c r="B134">
        <v>8</v>
      </c>
      <c r="C134">
        <v>3</v>
      </c>
      <c r="D134">
        <v>2</v>
      </c>
      <c r="E134">
        <v>0</v>
      </c>
      <c r="F134" t="s">
        <v>112</v>
      </c>
      <c r="G134">
        <v>167289</v>
      </c>
      <c r="H134">
        <v>156657572</v>
      </c>
      <c r="I134">
        <v>25.2</v>
      </c>
      <c r="J134">
        <v>0.14707520902156829</v>
      </c>
      <c r="K134">
        <v>0.27703703343868258</v>
      </c>
      <c r="L134">
        <v>0.15511111468076705</v>
      </c>
      <c r="M134">
        <v>0.97422222222222221</v>
      </c>
      <c r="N134">
        <v>0.9874074074074074</v>
      </c>
      <c r="O134">
        <v>0.99275766016713096</v>
      </c>
      <c r="P134">
        <v>47.4</v>
      </c>
      <c r="Q134">
        <v>4225219.4000000004</v>
      </c>
      <c r="R134">
        <v>166600</v>
      </c>
      <c r="S134">
        <v>2</v>
      </c>
      <c r="T134">
        <v>270</v>
      </c>
      <c r="U134">
        <v>0.97422222222222221</v>
      </c>
      <c r="V134">
        <v>0.98592592592592598</v>
      </c>
      <c r="W134">
        <v>0.99182915506035285</v>
      </c>
      <c r="X134">
        <v>45.4</v>
      </c>
      <c r="Y134">
        <v>4876933</v>
      </c>
      <c r="Z134">
        <v>167759</v>
      </c>
      <c r="AA134">
        <v>2</v>
      </c>
      <c r="AB134">
        <v>271</v>
      </c>
      <c r="AD134">
        <f>Tabela3[[#This Row],[kan_params]]</f>
        <v>167289</v>
      </c>
      <c r="AE134">
        <f>Tabela3[[#This Row],[kan_train_acc]]</f>
        <v>0.14707520902156829</v>
      </c>
      <c r="AF134">
        <f>Tabela3[[#This Row],[kan_val_acc]]</f>
        <v>0.27703703343868258</v>
      </c>
      <c r="AG134">
        <f>Tabela3[[#This Row],[kan_test_acc]]</f>
        <v>0.15511111468076705</v>
      </c>
      <c r="AH134">
        <f>Tabela3[[#This Row],[mlp_test_acc]]</f>
        <v>0.97422222222222221</v>
      </c>
      <c r="AI134">
        <f>Tabela3[[#This Row],[mlp_val_acc]]</f>
        <v>0.9874074074074074</v>
      </c>
      <c r="AJ134">
        <f>Tabela3[[#This Row],[mlp_train_acc]]</f>
        <v>0.99275766016713096</v>
      </c>
    </row>
    <row r="135" spans="1:36" x14ac:dyDescent="0.25">
      <c r="A135" t="s">
        <v>71</v>
      </c>
      <c r="B135">
        <v>12</v>
      </c>
      <c r="C135">
        <v>3</v>
      </c>
      <c r="D135">
        <v>4</v>
      </c>
      <c r="E135">
        <v>0</v>
      </c>
      <c r="F135" t="s">
        <v>88</v>
      </c>
      <c r="G135">
        <v>167946</v>
      </c>
      <c r="H135">
        <v>105921318.8</v>
      </c>
      <c r="I135">
        <v>19.2</v>
      </c>
      <c r="J135">
        <v>0.11364902555942535</v>
      </c>
      <c r="K135">
        <v>0.16592592597007752</v>
      </c>
      <c r="L135">
        <v>0.12044444531202317</v>
      </c>
      <c r="M135">
        <v>0.97555555555555551</v>
      </c>
      <c r="N135">
        <v>0.98296296296296293</v>
      </c>
      <c r="O135">
        <v>0.9922005571030641</v>
      </c>
      <c r="P135">
        <v>46.8</v>
      </c>
      <c r="Q135">
        <v>4782241.2</v>
      </c>
      <c r="R135">
        <v>167759</v>
      </c>
      <c r="S135">
        <v>2</v>
      </c>
      <c r="T135">
        <v>271</v>
      </c>
      <c r="U135">
        <v>0.97199999999999998</v>
      </c>
      <c r="V135">
        <v>0.9807407407407408</v>
      </c>
      <c r="W135">
        <v>0.99164345403899723</v>
      </c>
      <c r="X135">
        <v>42.8</v>
      </c>
      <c r="Y135">
        <v>5080135.8</v>
      </c>
      <c r="Z135">
        <v>168922</v>
      </c>
      <c r="AA135">
        <v>2</v>
      </c>
      <c r="AB135">
        <v>272</v>
      </c>
      <c r="AD135">
        <f>Tabela3[[#This Row],[kan_params]]</f>
        <v>167946</v>
      </c>
      <c r="AE135">
        <f>Tabela3[[#This Row],[kan_train_acc]]</f>
        <v>0.11364902555942535</v>
      </c>
      <c r="AF135">
        <f>Tabela3[[#This Row],[kan_val_acc]]</f>
        <v>0.16592592597007752</v>
      </c>
      <c r="AG135">
        <f>Tabela3[[#This Row],[kan_test_acc]]</f>
        <v>0.12044444531202317</v>
      </c>
      <c r="AH135">
        <f>Tabela3[[#This Row],[mlp_test_acc]]</f>
        <v>0.97555555555555551</v>
      </c>
      <c r="AI135">
        <f>Tabela3[[#This Row],[mlp_val_acc]]</f>
        <v>0.98296296296296293</v>
      </c>
      <c r="AJ135">
        <f>Tabela3[[#This Row],[mlp_train_acc]]</f>
        <v>0.9922005571030641</v>
      </c>
    </row>
    <row r="136" spans="1:36" x14ac:dyDescent="0.25">
      <c r="A136" t="s">
        <v>71</v>
      </c>
      <c r="B136">
        <v>10</v>
      </c>
      <c r="C136">
        <v>3</v>
      </c>
      <c r="D136">
        <v>3</v>
      </c>
      <c r="E136">
        <v>0</v>
      </c>
      <c r="F136" t="s">
        <v>120</v>
      </c>
      <c r="G136">
        <v>168381</v>
      </c>
      <c r="H136">
        <v>93747089</v>
      </c>
      <c r="I136">
        <v>18.399999999999999</v>
      </c>
      <c r="J136">
        <v>0.11513463705778122</v>
      </c>
      <c r="K136">
        <v>0.17925926446914672</v>
      </c>
      <c r="L136">
        <v>0.11466666758060455</v>
      </c>
      <c r="M136">
        <v>0.96488888888888891</v>
      </c>
      <c r="N136">
        <v>0.97629629629629633</v>
      </c>
      <c r="O136">
        <v>0.99387186629526458</v>
      </c>
      <c r="P136">
        <v>52.6</v>
      </c>
      <c r="Q136">
        <v>6331137</v>
      </c>
      <c r="R136">
        <v>167759</v>
      </c>
      <c r="S136">
        <v>2</v>
      </c>
      <c r="T136">
        <v>271</v>
      </c>
      <c r="U136">
        <v>0.96133333333333326</v>
      </c>
      <c r="V136">
        <v>0.9748148148148148</v>
      </c>
      <c r="W136">
        <v>0.99331476323119772</v>
      </c>
      <c r="X136">
        <v>48.6</v>
      </c>
      <c r="Y136">
        <v>5332296.4000000004</v>
      </c>
      <c r="Z136">
        <v>168922</v>
      </c>
      <c r="AA136">
        <v>2</v>
      </c>
      <c r="AB136">
        <v>272</v>
      </c>
      <c r="AD136">
        <f>Tabela3[[#This Row],[kan_params]]</f>
        <v>168381</v>
      </c>
      <c r="AE136">
        <f>Tabela3[[#This Row],[kan_train_acc]]</f>
        <v>0.11513463705778122</v>
      </c>
      <c r="AF136">
        <f>Tabela3[[#This Row],[kan_val_acc]]</f>
        <v>0.17925926446914672</v>
      </c>
      <c r="AG136">
        <f>Tabela3[[#This Row],[kan_test_acc]]</f>
        <v>0.11466666758060455</v>
      </c>
      <c r="AH136">
        <f>Tabela3[[#This Row],[mlp_test_acc]]</f>
        <v>0.96488888888888891</v>
      </c>
      <c r="AI136">
        <f>Tabela3[[#This Row],[mlp_val_acc]]</f>
        <v>0.97629629629629633</v>
      </c>
      <c r="AJ136">
        <f>Tabela3[[#This Row],[mlp_train_acc]]</f>
        <v>0.99387186629526458</v>
      </c>
    </row>
    <row r="137" spans="1:36" x14ac:dyDescent="0.25">
      <c r="A137" t="s">
        <v>71</v>
      </c>
      <c r="B137">
        <v>10</v>
      </c>
      <c r="C137">
        <v>3</v>
      </c>
      <c r="D137">
        <v>3</v>
      </c>
      <c r="E137">
        <v>0</v>
      </c>
      <c r="F137" t="s">
        <v>106</v>
      </c>
      <c r="G137">
        <v>169888</v>
      </c>
      <c r="H137">
        <v>133865234.40000001</v>
      </c>
      <c r="I137">
        <v>26.8</v>
      </c>
      <c r="J137">
        <v>0.17753017842769622</v>
      </c>
      <c r="K137">
        <v>0.22518518865108489</v>
      </c>
      <c r="L137">
        <v>0.1737777829170227</v>
      </c>
      <c r="M137">
        <v>0.96133333333333326</v>
      </c>
      <c r="N137">
        <v>0.97703703703703704</v>
      </c>
      <c r="O137">
        <v>0.99164345403899723</v>
      </c>
      <c r="P137">
        <v>48</v>
      </c>
      <c r="Q137">
        <v>5184435.5999999996</v>
      </c>
      <c r="R137">
        <v>168922</v>
      </c>
      <c r="S137">
        <v>2</v>
      </c>
      <c r="T137">
        <v>272</v>
      </c>
      <c r="U137">
        <v>0.96177777777777773</v>
      </c>
      <c r="V137">
        <v>0.97703703703703704</v>
      </c>
      <c r="W137">
        <v>0.99201485608170847</v>
      </c>
      <c r="X137">
        <v>51</v>
      </c>
      <c r="Y137">
        <v>5248028.8</v>
      </c>
      <c r="Z137">
        <v>170089</v>
      </c>
      <c r="AA137">
        <v>2</v>
      </c>
      <c r="AB137">
        <v>273</v>
      </c>
      <c r="AD137">
        <f>Tabela3[[#This Row],[kan_params]]</f>
        <v>169888</v>
      </c>
      <c r="AE137">
        <f>Tabela3[[#This Row],[kan_train_acc]]</f>
        <v>0.17753017842769622</v>
      </c>
      <c r="AF137">
        <f>Tabela3[[#This Row],[kan_val_acc]]</f>
        <v>0.22518518865108489</v>
      </c>
      <c r="AG137">
        <f>Tabela3[[#This Row],[kan_test_acc]]</f>
        <v>0.1737777829170227</v>
      </c>
      <c r="AH137">
        <f>Tabela3[[#This Row],[mlp_test_acc]]</f>
        <v>0.96133333333333326</v>
      </c>
      <c r="AI137">
        <f>Tabela3[[#This Row],[mlp_val_acc]]</f>
        <v>0.97703703703703704</v>
      </c>
      <c r="AJ137">
        <f>Tabela3[[#This Row],[mlp_train_acc]]</f>
        <v>0.99164345403899723</v>
      </c>
    </row>
    <row r="138" spans="1:36" x14ac:dyDescent="0.25">
      <c r="A138" t="s">
        <v>71</v>
      </c>
      <c r="B138">
        <v>8</v>
      </c>
      <c r="C138">
        <v>3</v>
      </c>
      <c r="D138">
        <v>2</v>
      </c>
      <c r="E138">
        <v>0</v>
      </c>
      <c r="F138" t="s">
        <v>139</v>
      </c>
      <c r="G138">
        <v>170954</v>
      </c>
      <c r="H138">
        <v>191153070.80000001</v>
      </c>
      <c r="I138">
        <v>30.8</v>
      </c>
      <c r="J138">
        <v>0.24048282206058502</v>
      </c>
      <c r="K138">
        <v>0.33259259462356566</v>
      </c>
      <c r="L138">
        <v>0.23733333349227906</v>
      </c>
      <c r="M138">
        <v>0.97466666666666668</v>
      </c>
      <c r="N138">
        <v>0.98370370370370375</v>
      </c>
      <c r="O138">
        <v>0.99368616527390907</v>
      </c>
      <c r="P138">
        <v>48.4</v>
      </c>
      <c r="Q138">
        <v>6087123.2000000002</v>
      </c>
      <c r="R138">
        <v>170089</v>
      </c>
      <c r="S138">
        <v>2</v>
      </c>
      <c r="T138">
        <v>273</v>
      </c>
      <c r="U138">
        <v>0.97377777777777785</v>
      </c>
      <c r="V138">
        <v>0.98592592592592598</v>
      </c>
      <c r="W138">
        <v>0.99294336118848658</v>
      </c>
      <c r="X138">
        <v>48.8</v>
      </c>
      <c r="Y138">
        <v>6492502.5999999996</v>
      </c>
      <c r="Z138">
        <v>171260</v>
      </c>
      <c r="AA138">
        <v>2</v>
      </c>
      <c r="AB138">
        <v>274</v>
      </c>
      <c r="AD138">
        <f>Tabela3[[#This Row],[kan_params]]</f>
        <v>170954</v>
      </c>
      <c r="AE138">
        <f>Tabela3[[#This Row],[kan_train_acc]]</f>
        <v>0.24048282206058502</v>
      </c>
      <c r="AF138">
        <f>Tabela3[[#This Row],[kan_val_acc]]</f>
        <v>0.33259259462356566</v>
      </c>
      <c r="AG138">
        <f>Tabela3[[#This Row],[kan_test_acc]]</f>
        <v>0.23733333349227906</v>
      </c>
      <c r="AH138">
        <f>Tabela3[[#This Row],[mlp_test_acc]]</f>
        <v>0.97466666666666668</v>
      </c>
      <c r="AI138">
        <f>Tabela3[[#This Row],[mlp_val_acc]]</f>
        <v>0.98370370370370375</v>
      </c>
      <c r="AJ138">
        <f>Tabela3[[#This Row],[mlp_train_acc]]</f>
        <v>0.99368616527390907</v>
      </c>
    </row>
    <row r="139" spans="1:36" x14ac:dyDescent="0.25">
      <c r="A139" t="s">
        <v>71</v>
      </c>
      <c r="B139">
        <v>10</v>
      </c>
      <c r="C139">
        <v>3</v>
      </c>
      <c r="D139">
        <v>3</v>
      </c>
      <c r="E139">
        <v>0</v>
      </c>
      <c r="F139" t="s">
        <v>147</v>
      </c>
      <c r="G139">
        <v>170972</v>
      </c>
      <c r="H139">
        <v>104826895.8</v>
      </c>
      <c r="I139">
        <v>18.2</v>
      </c>
      <c r="J139">
        <v>0.11977715790271759</v>
      </c>
      <c r="K139">
        <v>0.19703703522682189</v>
      </c>
      <c r="L139">
        <v>0.13200000077486038</v>
      </c>
      <c r="M139">
        <v>0.96977777777777774</v>
      </c>
      <c r="N139">
        <v>0.98222222222222222</v>
      </c>
      <c r="O139">
        <v>0.98830083565459614</v>
      </c>
      <c r="P139">
        <v>42.2</v>
      </c>
      <c r="Q139">
        <v>3965831.2</v>
      </c>
      <c r="R139">
        <v>170089</v>
      </c>
      <c r="S139">
        <v>2</v>
      </c>
      <c r="T139">
        <v>273</v>
      </c>
      <c r="U139">
        <v>0.97155555555555562</v>
      </c>
      <c r="V139">
        <v>0.97925925925925927</v>
      </c>
      <c r="W139">
        <v>0.99108635097493036</v>
      </c>
      <c r="X139">
        <v>39.799999999999997</v>
      </c>
      <c r="Y139">
        <v>4724354.8</v>
      </c>
      <c r="Z139">
        <v>171260</v>
      </c>
      <c r="AA139">
        <v>2</v>
      </c>
      <c r="AB139">
        <v>274</v>
      </c>
      <c r="AD139">
        <f>Tabela3[[#This Row],[kan_params]]</f>
        <v>170972</v>
      </c>
      <c r="AE139">
        <f>Tabela3[[#This Row],[kan_train_acc]]</f>
        <v>0.11977715790271759</v>
      </c>
      <c r="AF139">
        <f>Tabela3[[#This Row],[kan_val_acc]]</f>
        <v>0.19703703522682189</v>
      </c>
      <c r="AG139">
        <f>Tabela3[[#This Row],[kan_test_acc]]</f>
        <v>0.13200000077486038</v>
      </c>
      <c r="AH139">
        <f>Tabela3[[#This Row],[mlp_test_acc]]</f>
        <v>0.96977777777777774</v>
      </c>
      <c r="AI139">
        <f>Tabela3[[#This Row],[mlp_val_acc]]</f>
        <v>0.98222222222222222</v>
      </c>
      <c r="AJ139">
        <f>Tabela3[[#This Row],[mlp_train_acc]]</f>
        <v>0.98830083565459614</v>
      </c>
    </row>
    <row r="140" spans="1:36" x14ac:dyDescent="0.25">
      <c r="A140" t="s">
        <v>71</v>
      </c>
      <c r="B140">
        <v>10</v>
      </c>
      <c r="C140">
        <v>3</v>
      </c>
      <c r="D140">
        <v>3</v>
      </c>
      <c r="E140">
        <v>0</v>
      </c>
      <c r="F140" t="s">
        <v>93</v>
      </c>
      <c r="G140">
        <v>171075</v>
      </c>
      <c r="H140">
        <v>116789206.40000001</v>
      </c>
      <c r="I140">
        <v>22.2</v>
      </c>
      <c r="J140">
        <v>8.393686190247536E-2</v>
      </c>
      <c r="K140">
        <v>0.22666666805744171</v>
      </c>
      <c r="L140">
        <v>8.3111111447215086E-2</v>
      </c>
      <c r="M140">
        <v>0.9622222222222222</v>
      </c>
      <c r="N140">
        <v>0.9748148148148148</v>
      </c>
      <c r="O140">
        <v>0.99201485608170847</v>
      </c>
      <c r="P140">
        <v>50</v>
      </c>
      <c r="Q140">
        <v>6740001.5999999996</v>
      </c>
      <c r="R140">
        <v>170089</v>
      </c>
      <c r="S140">
        <v>2</v>
      </c>
      <c r="T140">
        <v>273</v>
      </c>
      <c r="U140">
        <v>0.96133333333333337</v>
      </c>
      <c r="V140">
        <v>0.97629629629629633</v>
      </c>
      <c r="W140">
        <v>0.99257195914577523</v>
      </c>
      <c r="X140">
        <v>48.4</v>
      </c>
      <c r="Y140">
        <v>3640542.8</v>
      </c>
      <c r="Z140">
        <v>171260</v>
      </c>
      <c r="AA140">
        <v>2</v>
      </c>
      <c r="AB140">
        <v>274</v>
      </c>
      <c r="AD140">
        <f>Tabela3[[#This Row],[kan_params]]</f>
        <v>171075</v>
      </c>
      <c r="AE140">
        <f>Tabela3[[#This Row],[kan_train_acc]]</f>
        <v>8.393686190247536E-2</v>
      </c>
      <c r="AF140">
        <f>Tabela3[[#This Row],[kan_val_acc]]</f>
        <v>0.22666666805744171</v>
      </c>
      <c r="AG140">
        <f>Tabela3[[#This Row],[kan_test_acc]]</f>
        <v>8.3111111447215086E-2</v>
      </c>
      <c r="AH140">
        <f>Tabela3[[#This Row],[mlp_test_acc]]</f>
        <v>0.9622222222222222</v>
      </c>
      <c r="AI140">
        <f>Tabela3[[#This Row],[mlp_val_acc]]</f>
        <v>0.9748148148148148</v>
      </c>
      <c r="AJ140">
        <f>Tabela3[[#This Row],[mlp_train_acc]]</f>
        <v>0.99201485608170847</v>
      </c>
    </row>
    <row r="141" spans="1:36" x14ac:dyDescent="0.25">
      <c r="A141" t="s">
        <v>71</v>
      </c>
      <c r="B141">
        <v>8</v>
      </c>
      <c r="C141">
        <v>3</v>
      </c>
      <c r="D141">
        <v>2</v>
      </c>
      <c r="E141">
        <v>0</v>
      </c>
      <c r="F141" t="s">
        <v>126</v>
      </c>
      <c r="G141">
        <v>171789</v>
      </c>
      <c r="H141">
        <v>243185501.19999999</v>
      </c>
      <c r="I141">
        <v>37.799999999999997</v>
      </c>
      <c r="J141">
        <v>0.24531105011701584</v>
      </c>
      <c r="K141">
        <v>0.33407407701015474</v>
      </c>
      <c r="L141">
        <v>0.22799999862909318</v>
      </c>
      <c r="M141">
        <v>0.97422222222222221</v>
      </c>
      <c r="N141">
        <v>0.98222222222222222</v>
      </c>
      <c r="O141">
        <v>0.98978644382544101</v>
      </c>
      <c r="P141">
        <v>41.4</v>
      </c>
      <c r="Q141">
        <v>3823655.2</v>
      </c>
      <c r="R141">
        <v>171260</v>
      </c>
      <c r="S141">
        <v>2</v>
      </c>
      <c r="T141">
        <v>274</v>
      </c>
      <c r="U141">
        <v>0.97199999999999998</v>
      </c>
      <c r="V141">
        <v>0.98074074074074069</v>
      </c>
      <c r="W141">
        <v>0.99034354688950788</v>
      </c>
      <c r="X141">
        <v>41.2</v>
      </c>
      <c r="Y141">
        <v>4831088.4000000004</v>
      </c>
      <c r="Z141">
        <v>172435</v>
      </c>
      <c r="AA141">
        <v>2</v>
      </c>
      <c r="AB141">
        <v>275</v>
      </c>
      <c r="AD141">
        <f>Tabela3[[#This Row],[kan_params]]</f>
        <v>171789</v>
      </c>
      <c r="AE141">
        <f>Tabela3[[#This Row],[kan_train_acc]]</f>
        <v>0.24531105011701584</v>
      </c>
      <c r="AF141">
        <f>Tabela3[[#This Row],[kan_val_acc]]</f>
        <v>0.33407407701015474</v>
      </c>
      <c r="AG141">
        <f>Tabela3[[#This Row],[kan_test_acc]]</f>
        <v>0.22799999862909318</v>
      </c>
      <c r="AH141">
        <f>Tabela3[[#This Row],[mlp_test_acc]]</f>
        <v>0.97422222222222221</v>
      </c>
      <c r="AI141">
        <f>Tabela3[[#This Row],[mlp_val_acc]]</f>
        <v>0.98222222222222222</v>
      </c>
      <c r="AJ141">
        <f>Tabela3[[#This Row],[mlp_train_acc]]</f>
        <v>0.98978644382544101</v>
      </c>
    </row>
    <row r="142" spans="1:36" x14ac:dyDescent="0.25">
      <c r="A142" t="s">
        <v>71</v>
      </c>
      <c r="B142">
        <v>18</v>
      </c>
      <c r="C142">
        <v>9</v>
      </c>
      <c r="D142">
        <v>4</v>
      </c>
      <c r="E142">
        <v>0</v>
      </c>
      <c r="F142" t="s">
        <v>157</v>
      </c>
      <c r="G142">
        <v>172153</v>
      </c>
      <c r="H142">
        <v>94194959.200000003</v>
      </c>
      <c r="I142">
        <v>24.2</v>
      </c>
      <c r="J142">
        <v>0.18402971029281617</v>
      </c>
      <c r="K142">
        <v>0.2622222274541855</v>
      </c>
      <c r="L142">
        <v>0.19066666513681413</v>
      </c>
      <c r="M142">
        <v>0.97466666666666668</v>
      </c>
      <c r="N142">
        <v>0.9748148148148148</v>
      </c>
      <c r="O142">
        <v>0.99424326833797583</v>
      </c>
      <c r="P142">
        <v>55.2</v>
      </c>
      <c r="Q142">
        <v>5680882.5999999996</v>
      </c>
      <c r="R142">
        <v>171260</v>
      </c>
      <c r="S142">
        <v>2</v>
      </c>
      <c r="T142">
        <v>274</v>
      </c>
      <c r="U142">
        <v>0.97644444444444445</v>
      </c>
      <c r="V142">
        <v>0.98</v>
      </c>
      <c r="W142">
        <v>0.99535747446610956</v>
      </c>
      <c r="X142">
        <v>51</v>
      </c>
      <c r="Y142">
        <v>6574599.7999999998</v>
      </c>
      <c r="Z142">
        <v>172435</v>
      </c>
      <c r="AA142">
        <v>2</v>
      </c>
      <c r="AB142">
        <v>275</v>
      </c>
      <c r="AD142">
        <f>Tabela3[[#This Row],[kan_params]]</f>
        <v>172153</v>
      </c>
      <c r="AE142">
        <f>Tabela3[[#This Row],[kan_train_acc]]</f>
        <v>0.18402971029281617</v>
      </c>
      <c r="AF142">
        <f>Tabela3[[#This Row],[kan_val_acc]]</f>
        <v>0.2622222274541855</v>
      </c>
      <c r="AG142">
        <f>Tabela3[[#This Row],[kan_test_acc]]</f>
        <v>0.19066666513681413</v>
      </c>
      <c r="AH142">
        <f>Tabela3[[#This Row],[mlp_test_acc]]</f>
        <v>0.97466666666666668</v>
      </c>
      <c r="AI142">
        <f>Tabela3[[#This Row],[mlp_val_acc]]</f>
        <v>0.9748148148148148</v>
      </c>
      <c r="AJ142">
        <f>Tabela3[[#This Row],[mlp_train_acc]]</f>
        <v>0.99424326833797583</v>
      </c>
    </row>
    <row r="143" spans="1:36" x14ac:dyDescent="0.25">
      <c r="A143" t="s">
        <v>71</v>
      </c>
      <c r="B143">
        <v>8</v>
      </c>
      <c r="C143">
        <v>3</v>
      </c>
      <c r="D143">
        <v>2</v>
      </c>
      <c r="E143">
        <v>0</v>
      </c>
      <c r="F143" t="s">
        <v>113</v>
      </c>
      <c r="G143">
        <v>172364</v>
      </c>
      <c r="H143">
        <v>179175637.19999999</v>
      </c>
      <c r="I143">
        <v>27.6</v>
      </c>
      <c r="J143">
        <v>0.19182915389537811</v>
      </c>
      <c r="K143">
        <v>0.34888888895511627</v>
      </c>
      <c r="L143">
        <v>0.18755555301904678</v>
      </c>
      <c r="M143">
        <v>0.97644444444444445</v>
      </c>
      <c r="N143">
        <v>0.98370370370370375</v>
      </c>
      <c r="O143">
        <v>0.99387186629526458</v>
      </c>
      <c r="P143">
        <v>47.6</v>
      </c>
      <c r="Q143">
        <v>4206512.8</v>
      </c>
      <c r="R143">
        <v>171260</v>
      </c>
      <c r="S143">
        <v>2</v>
      </c>
      <c r="T143">
        <v>274</v>
      </c>
      <c r="U143">
        <v>0.97466666666666668</v>
      </c>
      <c r="V143">
        <v>0.98148148148148151</v>
      </c>
      <c r="W143">
        <v>0.98941504178272976</v>
      </c>
      <c r="X143">
        <v>43</v>
      </c>
      <c r="Y143">
        <v>3347380.2</v>
      </c>
      <c r="Z143">
        <v>172435</v>
      </c>
      <c r="AA143">
        <v>2</v>
      </c>
      <c r="AB143">
        <v>275</v>
      </c>
      <c r="AD143">
        <f>Tabela3[[#This Row],[kan_params]]</f>
        <v>172364</v>
      </c>
      <c r="AE143">
        <f>Tabela3[[#This Row],[kan_train_acc]]</f>
        <v>0.19182915389537811</v>
      </c>
      <c r="AF143">
        <f>Tabela3[[#This Row],[kan_val_acc]]</f>
        <v>0.34888888895511627</v>
      </c>
      <c r="AG143">
        <f>Tabela3[[#This Row],[kan_test_acc]]</f>
        <v>0.18755555301904678</v>
      </c>
      <c r="AH143">
        <f>Tabela3[[#This Row],[mlp_test_acc]]</f>
        <v>0.97644444444444445</v>
      </c>
      <c r="AI143">
        <f>Tabela3[[#This Row],[mlp_val_acc]]</f>
        <v>0.98370370370370375</v>
      </c>
      <c r="AJ143">
        <f>Tabela3[[#This Row],[mlp_train_acc]]</f>
        <v>0.99387186629526458</v>
      </c>
    </row>
    <row r="144" spans="1:36" x14ac:dyDescent="0.25">
      <c r="A144" t="s">
        <v>71</v>
      </c>
      <c r="B144">
        <v>12</v>
      </c>
      <c r="C144">
        <v>3</v>
      </c>
      <c r="D144">
        <v>4</v>
      </c>
      <c r="E144">
        <v>0</v>
      </c>
      <c r="F144" t="s">
        <v>102</v>
      </c>
      <c r="G144">
        <v>172812</v>
      </c>
      <c r="H144">
        <v>101771446.40000001</v>
      </c>
      <c r="I144">
        <v>21.6</v>
      </c>
      <c r="J144">
        <v>9.1736305505037308E-2</v>
      </c>
      <c r="K144">
        <v>0.17111110985279082</v>
      </c>
      <c r="L144">
        <v>9.0222222357988352E-2</v>
      </c>
      <c r="M144">
        <v>0.97155555555555562</v>
      </c>
      <c r="N144">
        <v>0.97851851851851857</v>
      </c>
      <c r="O144">
        <v>0.9888579387186629</v>
      </c>
      <c r="P144">
        <v>44</v>
      </c>
      <c r="Q144">
        <v>4612704.8</v>
      </c>
      <c r="R144">
        <v>172435</v>
      </c>
      <c r="S144">
        <v>2</v>
      </c>
      <c r="T144">
        <v>275</v>
      </c>
      <c r="U144">
        <v>0.97333333333333338</v>
      </c>
      <c r="V144">
        <v>0.97703703703703704</v>
      </c>
      <c r="W144">
        <v>0.99127205199628599</v>
      </c>
      <c r="X144">
        <v>44.8</v>
      </c>
      <c r="Y144">
        <v>5253119.4000000004</v>
      </c>
      <c r="Z144">
        <v>173614</v>
      </c>
      <c r="AA144">
        <v>2</v>
      </c>
      <c r="AB144">
        <v>276</v>
      </c>
      <c r="AD144">
        <f>Tabela3[[#This Row],[kan_params]]</f>
        <v>172812</v>
      </c>
      <c r="AE144">
        <f>Tabela3[[#This Row],[kan_train_acc]]</f>
        <v>9.1736305505037308E-2</v>
      </c>
      <c r="AF144">
        <f>Tabela3[[#This Row],[kan_val_acc]]</f>
        <v>0.17111110985279082</v>
      </c>
      <c r="AG144">
        <f>Tabela3[[#This Row],[kan_test_acc]]</f>
        <v>9.0222222357988352E-2</v>
      </c>
      <c r="AH144">
        <f>Tabela3[[#This Row],[mlp_test_acc]]</f>
        <v>0.97155555555555562</v>
      </c>
      <c r="AI144">
        <f>Tabela3[[#This Row],[mlp_val_acc]]</f>
        <v>0.97851851851851857</v>
      </c>
      <c r="AJ144">
        <f>Tabela3[[#This Row],[mlp_train_acc]]</f>
        <v>0.9888579387186629</v>
      </c>
    </row>
    <row r="145" spans="1:36" x14ac:dyDescent="0.25">
      <c r="A145" t="s">
        <v>71</v>
      </c>
      <c r="B145">
        <v>10</v>
      </c>
      <c r="C145">
        <v>3</v>
      </c>
      <c r="D145">
        <v>3</v>
      </c>
      <c r="E145">
        <v>0</v>
      </c>
      <c r="F145" t="s">
        <v>134</v>
      </c>
      <c r="G145">
        <v>172959</v>
      </c>
      <c r="H145">
        <v>111101212</v>
      </c>
      <c r="I145">
        <v>20.8</v>
      </c>
      <c r="J145">
        <v>0.1370473548769951</v>
      </c>
      <c r="K145">
        <v>0.19037036597728729</v>
      </c>
      <c r="L145">
        <v>0.15288888812065124</v>
      </c>
      <c r="M145">
        <v>0.96177777777777773</v>
      </c>
      <c r="N145">
        <v>0.97407407407407409</v>
      </c>
      <c r="O145">
        <v>0.99275766016713096</v>
      </c>
      <c r="P145">
        <v>42.6</v>
      </c>
      <c r="Q145">
        <v>4420490.5999999996</v>
      </c>
      <c r="R145">
        <v>172435</v>
      </c>
      <c r="S145">
        <v>2</v>
      </c>
      <c r="T145">
        <v>275</v>
      </c>
      <c r="U145">
        <v>0.9568888888888889</v>
      </c>
      <c r="V145">
        <v>0.97407407407407409</v>
      </c>
      <c r="W145">
        <v>0.9888579387186629</v>
      </c>
      <c r="X145">
        <v>41.2</v>
      </c>
      <c r="Y145">
        <v>5441587</v>
      </c>
      <c r="Z145">
        <v>173614</v>
      </c>
      <c r="AA145">
        <v>2</v>
      </c>
      <c r="AB145">
        <v>276</v>
      </c>
      <c r="AD145">
        <f>Tabela3[[#This Row],[kan_params]]</f>
        <v>172959</v>
      </c>
      <c r="AE145">
        <f>Tabela3[[#This Row],[kan_train_acc]]</f>
        <v>0.1370473548769951</v>
      </c>
      <c r="AF145">
        <f>Tabela3[[#This Row],[kan_val_acc]]</f>
        <v>0.19037036597728729</v>
      </c>
      <c r="AG145">
        <f>Tabela3[[#This Row],[kan_test_acc]]</f>
        <v>0.15288888812065124</v>
      </c>
      <c r="AH145">
        <f>Tabela3[[#This Row],[mlp_test_acc]]</f>
        <v>0.96177777777777773</v>
      </c>
      <c r="AI145">
        <f>Tabela3[[#This Row],[mlp_val_acc]]</f>
        <v>0.97407407407407409</v>
      </c>
      <c r="AJ145">
        <f>Tabela3[[#This Row],[mlp_train_acc]]</f>
        <v>0.99275766016713096</v>
      </c>
    </row>
    <row r="146" spans="1:36" x14ac:dyDescent="0.25">
      <c r="A146" t="s">
        <v>71</v>
      </c>
      <c r="B146">
        <v>12</v>
      </c>
      <c r="C146">
        <v>3</v>
      </c>
      <c r="D146">
        <v>4</v>
      </c>
      <c r="E146">
        <v>0</v>
      </c>
      <c r="F146" t="s">
        <v>76</v>
      </c>
      <c r="G146">
        <v>173071</v>
      </c>
      <c r="H146">
        <v>107360601.59999999</v>
      </c>
      <c r="I146">
        <v>19</v>
      </c>
      <c r="J146">
        <v>0.10362117141485214</v>
      </c>
      <c r="K146">
        <v>0.27555555403232573</v>
      </c>
      <c r="L146">
        <v>0.10000000149011612</v>
      </c>
      <c r="M146">
        <v>0.97288888888888891</v>
      </c>
      <c r="N146">
        <v>0.98148148148148151</v>
      </c>
      <c r="O146">
        <v>0.99257195914577534</v>
      </c>
      <c r="P146">
        <v>44.2</v>
      </c>
      <c r="Q146">
        <v>5512695.5999999996</v>
      </c>
      <c r="R146">
        <v>172435</v>
      </c>
      <c r="S146">
        <v>2</v>
      </c>
      <c r="T146">
        <v>275</v>
      </c>
      <c r="U146">
        <v>0.97155555555555562</v>
      </c>
      <c r="V146">
        <v>0.98</v>
      </c>
      <c r="W146">
        <v>0.98811513463324052</v>
      </c>
      <c r="X146">
        <v>39.799999999999997</v>
      </c>
      <c r="Y146">
        <v>5567668.7999999998</v>
      </c>
      <c r="Z146">
        <v>173614</v>
      </c>
      <c r="AA146">
        <v>2</v>
      </c>
      <c r="AB146">
        <v>276</v>
      </c>
      <c r="AD146">
        <f>Tabela3[[#This Row],[kan_params]]</f>
        <v>173071</v>
      </c>
      <c r="AE146">
        <f>Tabela3[[#This Row],[kan_train_acc]]</f>
        <v>0.10362117141485214</v>
      </c>
      <c r="AF146">
        <f>Tabela3[[#This Row],[kan_val_acc]]</f>
        <v>0.27555555403232573</v>
      </c>
      <c r="AG146">
        <f>Tabela3[[#This Row],[kan_test_acc]]</f>
        <v>0.10000000149011612</v>
      </c>
      <c r="AH146">
        <f>Tabela3[[#This Row],[mlp_test_acc]]</f>
        <v>0.97288888888888891</v>
      </c>
      <c r="AI146">
        <f>Tabela3[[#This Row],[mlp_val_acc]]</f>
        <v>0.98148148148148151</v>
      </c>
      <c r="AJ146">
        <f>Tabela3[[#This Row],[mlp_train_acc]]</f>
        <v>0.99257195914577534</v>
      </c>
    </row>
    <row r="147" spans="1:36" x14ac:dyDescent="0.25">
      <c r="A147" t="s">
        <v>71</v>
      </c>
      <c r="B147">
        <v>10</v>
      </c>
      <c r="C147">
        <v>3</v>
      </c>
      <c r="D147">
        <v>3</v>
      </c>
      <c r="E147">
        <v>0</v>
      </c>
      <c r="F147" t="s">
        <v>121</v>
      </c>
      <c r="G147">
        <v>174626</v>
      </c>
      <c r="H147">
        <v>149800424.59999999</v>
      </c>
      <c r="I147">
        <v>28.2</v>
      </c>
      <c r="J147">
        <v>0.1114206150174141</v>
      </c>
      <c r="K147">
        <v>0.22370370626449584</v>
      </c>
      <c r="L147">
        <v>0.11199999898672104</v>
      </c>
      <c r="M147">
        <v>0.9622222222222222</v>
      </c>
      <c r="N147">
        <v>0.97111111111111115</v>
      </c>
      <c r="O147">
        <v>0.99090064995357474</v>
      </c>
      <c r="P147">
        <v>44.6</v>
      </c>
      <c r="Q147">
        <v>5517813.7999999998</v>
      </c>
      <c r="R147">
        <v>173614</v>
      </c>
      <c r="S147">
        <v>2</v>
      </c>
      <c r="T147">
        <v>276</v>
      </c>
      <c r="U147">
        <v>0.9608888888888889</v>
      </c>
      <c r="V147">
        <v>0.97407407407407409</v>
      </c>
      <c r="W147">
        <v>0.99015784586815225</v>
      </c>
      <c r="X147">
        <v>42.6</v>
      </c>
      <c r="Y147">
        <v>5448269.5999999996</v>
      </c>
      <c r="Z147">
        <v>174797</v>
      </c>
      <c r="AA147">
        <v>2</v>
      </c>
      <c r="AB147">
        <v>277</v>
      </c>
      <c r="AD147">
        <f>Tabela3[[#This Row],[kan_params]]</f>
        <v>174626</v>
      </c>
      <c r="AE147">
        <f>Tabela3[[#This Row],[kan_train_acc]]</f>
        <v>0.1114206150174141</v>
      </c>
      <c r="AF147">
        <f>Tabela3[[#This Row],[kan_val_acc]]</f>
        <v>0.22370370626449584</v>
      </c>
      <c r="AG147">
        <f>Tabela3[[#This Row],[kan_test_acc]]</f>
        <v>0.11199999898672104</v>
      </c>
      <c r="AH147">
        <f>Tabela3[[#This Row],[mlp_test_acc]]</f>
        <v>0.9622222222222222</v>
      </c>
      <c r="AI147">
        <f>Tabela3[[#This Row],[mlp_val_acc]]</f>
        <v>0.97111111111111115</v>
      </c>
      <c r="AJ147">
        <f>Tabela3[[#This Row],[mlp_train_acc]]</f>
        <v>0.99090064995357474</v>
      </c>
    </row>
    <row r="148" spans="1:36" x14ac:dyDescent="0.25">
      <c r="A148" t="s">
        <v>71</v>
      </c>
      <c r="B148">
        <v>12</v>
      </c>
      <c r="C148">
        <v>3</v>
      </c>
      <c r="D148">
        <v>4</v>
      </c>
      <c r="E148">
        <v>0</v>
      </c>
      <c r="F148" t="s">
        <v>89</v>
      </c>
      <c r="G148">
        <v>174981</v>
      </c>
      <c r="H148">
        <v>114328551.59999999</v>
      </c>
      <c r="I148">
        <v>23.2</v>
      </c>
      <c r="J148">
        <v>0.1199628584086895</v>
      </c>
      <c r="K148">
        <v>0.16148148179054261</v>
      </c>
      <c r="L148">
        <v>0.11422222480177879</v>
      </c>
      <c r="M148">
        <v>0.97244444444444444</v>
      </c>
      <c r="N148">
        <v>0.97925925925925927</v>
      </c>
      <c r="O148">
        <v>0.98904363974001863</v>
      </c>
      <c r="P148">
        <v>40.4</v>
      </c>
      <c r="Q148">
        <v>4485808</v>
      </c>
      <c r="R148">
        <v>174797</v>
      </c>
      <c r="S148">
        <v>2</v>
      </c>
      <c r="T148">
        <v>277</v>
      </c>
      <c r="U148">
        <v>0.97244444444444444</v>
      </c>
      <c r="V148">
        <v>0.97851851851851857</v>
      </c>
      <c r="W148">
        <v>0.99164345403899723</v>
      </c>
      <c r="X148">
        <v>43.6</v>
      </c>
      <c r="Y148">
        <v>6178580.5999999996</v>
      </c>
      <c r="Z148">
        <v>175984</v>
      </c>
      <c r="AA148">
        <v>2</v>
      </c>
      <c r="AB148">
        <v>278</v>
      </c>
      <c r="AD148">
        <f>Tabela3[[#This Row],[kan_params]]</f>
        <v>174981</v>
      </c>
      <c r="AE148">
        <f>Tabela3[[#This Row],[kan_train_acc]]</f>
        <v>0.1199628584086895</v>
      </c>
      <c r="AF148">
        <f>Tabela3[[#This Row],[kan_val_acc]]</f>
        <v>0.16148148179054261</v>
      </c>
      <c r="AG148">
        <f>Tabela3[[#This Row],[kan_test_acc]]</f>
        <v>0.11422222480177879</v>
      </c>
      <c r="AH148">
        <f>Tabela3[[#This Row],[mlp_test_acc]]</f>
        <v>0.97244444444444444</v>
      </c>
      <c r="AI148">
        <f>Tabela3[[#This Row],[mlp_val_acc]]</f>
        <v>0.97925925925925927</v>
      </c>
      <c r="AJ148">
        <f>Tabela3[[#This Row],[mlp_train_acc]]</f>
        <v>0.98904363974001863</v>
      </c>
    </row>
    <row r="149" spans="1:36" x14ac:dyDescent="0.25">
      <c r="A149" t="s">
        <v>71</v>
      </c>
      <c r="B149">
        <v>10</v>
      </c>
      <c r="C149">
        <v>3</v>
      </c>
      <c r="D149">
        <v>3</v>
      </c>
      <c r="E149">
        <v>0</v>
      </c>
      <c r="F149" t="s">
        <v>107</v>
      </c>
      <c r="G149">
        <v>175973</v>
      </c>
      <c r="H149">
        <v>108951575.40000001</v>
      </c>
      <c r="I149">
        <v>20.6</v>
      </c>
      <c r="J149">
        <v>0.10083565413951874</v>
      </c>
      <c r="K149">
        <v>0.19185185134410859</v>
      </c>
      <c r="L149">
        <v>0.10933333188295365</v>
      </c>
      <c r="M149">
        <v>0.96177777777777773</v>
      </c>
      <c r="N149">
        <v>0.97555555555555551</v>
      </c>
      <c r="O149">
        <v>0.99164345403899723</v>
      </c>
      <c r="P149">
        <v>46.6</v>
      </c>
      <c r="Q149">
        <v>4949280.4000000004</v>
      </c>
      <c r="R149">
        <v>174797</v>
      </c>
      <c r="S149">
        <v>2</v>
      </c>
      <c r="T149">
        <v>277</v>
      </c>
      <c r="U149">
        <v>0.95866666666666667</v>
      </c>
      <c r="V149">
        <v>0.97407407407407409</v>
      </c>
      <c r="W149">
        <v>0.99015784586815225</v>
      </c>
      <c r="X149">
        <v>43.8</v>
      </c>
      <c r="Y149">
        <v>4984163.4000000004</v>
      </c>
      <c r="Z149">
        <v>175984</v>
      </c>
      <c r="AA149">
        <v>2</v>
      </c>
      <c r="AB149">
        <v>278</v>
      </c>
      <c r="AD149">
        <f>Tabela3[[#This Row],[kan_params]]</f>
        <v>175973</v>
      </c>
      <c r="AE149">
        <f>Tabela3[[#This Row],[kan_train_acc]]</f>
        <v>0.10083565413951874</v>
      </c>
      <c r="AF149">
        <f>Tabela3[[#This Row],[kan_val_acc]]</f>
        <v>0.19185185134410859</v>
      </c>
      <c r="AG149">
        <f>Tabela3[[#This Row],[kan_test_acc]]</f>
        <v>0.10933333188295365</v>
      </c>
      <c r="AH149">
        <f>Tabela3[[#This Row],[mlp_test_acc]]</f>
        <v>0.96177777777777773</v>
      </c>
      <c r="AI149">
        <f>Tabela3[[#This Row],[mlp_val_acc]]</f>
        <v>0.97555555555555551</v>
      </c>
      <c r="AJ149">
        <f>Tabela3[[#This Row],[mlp_train_acc]]</f>
        <v>0.99164345403899723</v>
      </c>
    </row>
    <row r="150" spans="1:36" x14ac:dyDescent="0.25">
      <c r="A150" t="s">
        <v>71</v>
      </c>
      <c r="B150">
        <v>8</v>
      </c>
      <c r="C150">
        <v>3</v>
      </c>
      <c r="D150">
        <v>2</v>
      </c>
      <c r="E150">
        <v>0</v>
      </c>
      <c r="F150" t="s">
        <v>140</v>
      </c>
      <c r="G150">
        <v>176289</v>
      </c>
      <c r="H150">
        <v>183237484.59999999</v>
      </c>
      <c r="I150">
        <v>27.6</v>
      </c>
      <c r="J150">
        <v>0.18440111875534057</v>
      </c>
      <c r="K150">
        <v>0.31185185313224795</v>
      </c>
      <c r="L150">
        <v>0.2079999938607216</v>
      </c>
      <c r="M150">
        <v>0.97377777777777785</v>
      </c>
      <c r="N150">
        <v>0.97851851851851845</v>
      </c>
      <c r="O150">
        <v>0.98830083565459614</v>
      </c>
      <c r="P150">
        <v>38.200000000000003</v>
      </c>
      <c r="Q150">
        <v>4820790.5999999996</v>
      </c>
      <c r="R150">
        <v>175984</v>
      </c>
      <c r="S150">
        <v>2</v>
      </c>
      <c r="T150">
        <v>278</v>
      </c>
      <c r="U150">
        <v>0.97511111111111115</v>
      </c>
      <c r="V150">
        <v>0.97925925925925927</v>
      </c>
      <c r="W150">
        <v>0.98997214484679663</v>
      </c>
      <c r="X150">
        <v>39</v>
      </c>
      <c r="Y150">
        <v>4568637.8</v>
      </c>
      <c r="Z150">
        <v>177175</v>
      </c>
      <c r="AA150">
        <v>2</v>
      </c>
      <c r="AB150">
        <v>279</v>
      </c>
      <c r="AD150">
        <f>Tabela3[[#This Row],[kan_params]]</f>
        <v>176289</v>
      </c>
      <c r="AE150">
        <f>Tabela3[[#This Row],[kan_train_acc]]</f>
        <v>0.18440111875534057</v>
      </c>
      <c r="AF150">
        <f>Tabela3[[#This Row],[kan_val_acc]]</f>
        <v>0.31185185313224795</v>
      </c>
      <c r="AG150">
        <f>Tabela3[[#This Row],[kan_test_acc]]</f>
        <v>0.2079999938607216</v>
      </c>
      <c r="AH150">
        <f>Tabela3[[#This Row],[mlp_test_acc]]</f>
        <v>0.97377777777777785</v>
      </c>
      <c r="AI150">
        <f>Tabela3[[#This Row],[mlp_val_acc]]</f>
        <v>0.97851851851851845</v>
      </c>
      <c r="AJ150">
        <f>Tabela3[[#This Row],[mlp_train_acc]]</f>
        <v>0.98830083565459614</v>
      </c>
    </row>
    <row r="151" spans="1:36" x14ac:dyDescent="0.25">
      <c r="A151" t="s">
        <v>71</v>
      </c>
      <c r="B151">
        <v>8</v>
      </c>
      <c r="C151">
        <v>3</v>
      </c>
      <c r="D151">
        <v>2</v>
      </c>
      <c r="E151">
        <v>0</v>
      </c>
      <c r="F151" t="s">
        <v>127</v>
      </c>
      <c r="G151">
        <v>176994</v>
      </c>
      <c r="H151">
        <v>190310572.40000001</v>
      </c>
      <c r="I151">
        <v>27.6</v>
      </c>
      <c r="J151">
        <v>0.2181987002491951</v>
      </c>
      <c r="K151">
        <v>0.31111111938953401</v>
      </c>
      <c r="L151">
        <v>0.2080000013113022</v>
      </c>
      <c r="M151">
        <v>0.97466666666666668</v>
      </c>
      <c r="N151">
        <v>0.98222222222222222</v>
      </c>
      <c r="O151">
        <v>0.98830083565459614</v>
      </c>
      <c r="P151">
        <v>42.6</v>
      </c>
      <c r="Q151">
        <v>5413783</v>
      </c>
      <c r="R151">
        <v>175984</v>
      </c>
      <c r="S151">
        <v>2</v>
      </c>
      <c r="T151">
        <v>278</v>
      </c>
      <c r="U151">
        <v>0.97288888888888891</v>
      </c>
      <c r="V151">
        <v>0.98518518518518516</v>
      </c>
      <c r="W151">
        <v>0.99108635097493036</v>
      </c>
      <c r="X151">
        <v>43.8</v>
      </c>
      <c r="Y151">
        <v>5637813.7999999998</v>
      </c>
      <c r="Z151">
        <v>177175</v>
      </c>
      <c r="AA151">
        <v>2</v>
      </c>
      <c r="AB151">
        <v>279</v>
      </c>
      <c r="AD151">
        <f>Tabela3[[#This Row],[kan_params]]</f>
        <v>176994</v>
      </c>
      <c r="AE151">
        <f>Tabela3[[#This Row],[kan_train_acc]]</f>
        <v>0.2181987002491951</v>
      </c>
      <c r="AF151">
        <f>Tabela3[[#This Row],[kan_val_acc]]</f>
        <v>0.31111111938953401</v>
      </c>
      <c r="AG151">
        <f>Tabela3[[#This Row],[kan_test_acc]]</f>
        <v>0.2080000013113022</v>
      </c>
      <c r="AH151">
        <f>Tabela3[[#This Row],[mlp_test_acc]]</f>
        <v>0.97466666666666668</v>
      </c>
      <c r="AI151">
        <f>Tabela3[[#This Row],[mlp_val_acc]]</f>
        <v>0.98222222222222222</v>
      </c>
      <c r="AJ151">
        <f>Tabela3[[#This Row],[mlp_train_acc]]</f>
        <v>0.98830083565459614</v>
      </c>
    </row>
    <row r="152" spans="1:36" x14ac:dyDescent="0.25">
      <c r="A152" t="s">
        <v>71</v>
      </c>
      <c r="B152">
        <v>10</v>
      </c>
      <c r="C152">
        <v>3</v>
      </c>
      <c r="D152">
        <v>3</v>
      </c>
      <c r="E152">
        <v>0</v>
      </c>
      <c r="F152" t="s">
        <v>94</v>
      </c>
      <c r="G152">
        <v>177000</v>
      </c>
      <c r="H152">
        <v>148002707.80000001</v>
      </c>
      <c r="I152">
        <v>27.4</v>
      </c>
      <c r="J152">
        <v>0.12033426314592362</v>
      </c>
      <c r="K152">
        <v>0.21925925910472871</v>
      </c>
      <c r="L152">
        <v>0.12622222155332566</v>
      </c>
      <c r="M152">
        <v>0.9608888888888889</v>
      </c>
      <c r="N152">
        <v>0.97407407407407409</v>
      </c>
      <c r="O152">
        <v>0.99090064995357474</v>
      </c>
      <c r="P152">
        <v>45</v>
      </c>
      <c r="Q152">
        <v>4821781</v>
      </c>
      <c r="R152">
        <v>175984</v>
      </c>
      <c r="S152">
        <v>2</v>
      </c>
      <c r="T152">
        <v>278</v>
      </c>
      <c r="U152">
        <v>0.96666666666666667</v>
      </c>
      <c r="V152">
        <v>0.97629629629629633</v>
      </c>
      <c r="W152">
        <v>0.99275766016713096</v>
      </c>
      <c r="X152">
        <v>50.6</v>
      </c>
      <c r="Y152">
        <v>6110815.2000000002</v>
      </c>
      <c r="Z152">
        <v>177175</v>
      </c>
      <c r="AA152">
        <v>2</v>
      </c>
      <c r="AB152">
        <v>279</v>
      </c>
      <c r="AD152">
        <f>Tabela3[[#This Row],[kan_params]]</f>
        <v>177000</v>
      </c>
      <c r="AE152">
        <f>Tabela3[[#This Row],[kan_train_acc]]</f>
        <v>0.12033426314592362</v>
      </c>
      <c r="AF152">
        <f>Tabela3[[#This Row],[kan_val_acc]]</f>
        <v>0.21925925910472871</v>
      </c>
      <c r="AG152">
        <f>Tabela3[[#This Row],[kan_test_acc]]</f>
        <v>0.12622222155332566</v>
      </c>
      <c r="AH152">
        <f>Tabela3[[#This Row],[mlp_test_acc]]</f>
        <v>0.9608888888888889</v>
      </c>
      <c r="AI152">
        <f>Tabela3[[#This Row],[mlp_val_acc]]</f>
        <v>0.97407407407407409</v>
      </c>
      <c r="AJ152">
        <f>Tabela3[[#This Row],[mlp_train_acc]]</f>
        <v>0.99090064995357474</v>
      </c>
    </row>
    <row r="153" spans="1:36" x14ac:dyDescent="0.25">
      <c r="A153" t="s">
        <v>71</v>
      </c>
      <c r="B153">
        <v>8</v>
      </c>
      <c r="C153">
        <v>3</v>
      </c>
      <c r="D153">
        <v>2</v>
      </c>
      <c r="E153">
        <v>0</v>
      </c>
      <c r="F153" t="s">
        <v>114</v>
      </c>
      <c r="G153">
        <v>177439</v>
      </c>
      <c r="H153">
        <v>225607150.40000001</v>
      </c>
      <c r="I153">
        <v>33.6</v>
      </c>
      <c r="J153">
        <v>0.26648096591234205</v>
      </c>
      <c r="K153">
        <v>0.33037036955356597</v>
      </c>
      <c r="L153">
        <v>0.26400000303983689</v>
      </c>
      <c r="M153">
        <v>0.97244444444444444</v>
      </c>
      <c r="N153">
        <v>0.98222222222222222</v>
      </c>
      <c r="O153">
        <v>0.98941504178272976</v>
      </c>
      <c r="P153">
        <v>40.200000000000003</v>
      </c>
      <c r="Q153">
        <v>5200570.2</v>
      </c>
      <c r="R153">
        <v>177175</v>
      </c>
      <c r="S153">
        <v>2</v>
      </c>
      <c r="T153">
        <v>279</v>
      </c>
      <c r="U153">
        <v>0.97377777777777785</v>
      </c>
      <c r="V153">
        <v>0.98296296296296293</v>
      </c>
      <c r="W153">
        <v>0.98718662952646241</v>
      </c>
      <c r="X153">
        <v>41.8</v>
      </c>
      <c r="Y153">
        <v>4298276.8</v>
      </c>
      <c r="Z153">
        <v>178370</v>
      </c>
      <c r="AA153">
        <v>2</v>
      </c>
      <c r="AB153">
        <v>280</v>
      </c>
      <c r="AD153">
        <f>Tabela3[[#This Row],[kan_params]]</f>
        <v>177439</v>
      </c>
      <c r="AE153">
        <f>Tabela3[[#This Row],[kan_train_acc]]</f>
        <v>0.26648096591234205</v>
      </c>
      <c r="AF153">
        <f>Tabela3[[#This Row],[kan_val_acc]]</f>
        <v>0.33037036955356597</v>
      </c>
      <c r="AG153">
        <f>Tabela3[[#This Row],[kan_test_acc]]</f>
        <v>0.26400000303983689</v>
      </c>
      <c r="AH153">
        <f>Tabela3[[#This Row],[mlp_test_acc]]</f>
        <v>0.97244444444444444</v>
      </c>
      <c r="AI153">
        <f>Tabela3[[#This Row],[mlp_val_acc]]</f>
        <v>0.98222222222222222</v>
      </c>
      <c r="AJ153">
        <f>Tabela3[[#This Row],[mlp_train_acc]]</f>
        <v>0.98941504178272976</v>
      </c>
    </row>
    <row r="154" spans="1:36" x14ac:dyDescent="0.25">
      <c r="A154" t="s">
        <v>71</v>
      </c>
      <c r="B154">
        <v>10</v>
      </c>
      <c r="C154">
        <v>3</v>
      </c>
      <c r="D154">
        <v>3</v>
      </c>
      <c r="E154">
        <v>0</v>
      </c>
      <c r="F154" t="s">
        <v>148</v>
      </c>
      <c r="G154">
        <v>177537</v>
      </c>
      <c r="H154">
        <v>165081407.19999999</v>
      </c>
      <c r="I154">
        <v>27</v>
      </c>
      <c r="J154">
        <v>0.10974930375814437</v>
      </c>
      <c r="K154">
        <v>0.20814814865589143</v>
      </c>
      <c r="L154">
        <v>0.11244444400072098</v>
      </c>
      <c r="M154">
        <v>0.97244444444444444</v>
      </c>
      <c r="N154">
        <v>0.98</v>
      </c>
      <c r="O154">
        <v>0.98922934076137425</v>
      </c>
      <c r="P154">
        <v>39.799999999999997</v>
      </c>
      <c r="Q154">
        <v>4120991.4</v>
      </c>
      <c r="R154">
        <v>177175</v>
      </c>
      <c r="S154">
        <v>2</v>
      </c>
      <c r="T154">
        <v>279</v>
      </c>
      <c r="U154">
        <v>0.97244444444444444</v>
      </c>
      <c r="V154">
        <v>0.97925925925925927</v>
      </c>
      <c r="W154">
        <v>0.99108635097493036</v>
      </c>
      <c r="X154">
        <v>44.4</v>
      </c>
      <c r="Y154">
        <v>5671100.7999999998</v>
      </c>
      <c r="Z154">
        <v>178370</v>
      </c>
      <c r="AA154">
        <v>2</v>
      </c>
      <c r="AB154">
        <v>280</v>
      </c>
      <c r="AD154">
        <f>Tabela3[[#This Row],[kan_params]]</f>
        <v>177537</v>
      </c>
      <c r="AE154">
        <f>Tabela3[[#This Row],[kan_train_acc]]</f>
        <v>0.10974930375814437</v>
      </c>
      <c r="AF154">
        <f>Tabela3[[#This Row],[kan_val_acc]]</f>
        <v>0.20814814865589143</v>
      </c>
      <c r="AG154">
        <f>Tabela3[[#This Row],[kan_test_acc]]</f>
        <v>0.11244444400072098</v>
      </c>
      <c r="AH154">
        <f>Tabela3[[#This Row],[mlp_test_acc]]</f>
        <v>0.97244444444444444</v>
      </c>
      <c r="AI154">
        <f>Tabela3[[#This Row],[mlp_val_acc]]</f>
        <v>0.98</v>
      </c>
      <c r="AJ154">
        <f>Tabela3[[#This Row],[mlp_train_acc]]</f>
        <v>0.98922934076137425</v>
      </c>
    </row>
    <row r="155" spans="1:36" x14ac:dyDescent="0.25">
      <c r="A155" t="s">
        <v>71</v>
      </c>
      <c r="B155">
        <v>10</v>
      </c>
      <c r="C155">
        <v>3</v>
      </c>
      <c r="D155">
        <v>3</v>
      </c>
      <c r="E155">
        <v>0</v>
      </c>
      <c r="F155" t="s">
        <v>135</v>
      </c>
      <c r="G155">
        <v>179364</v>
      </c>
      <c r="H155">
        <v>111995920.83333333</v>
      </c>
      <c r="I155">
        <v>19.666666666666668</v>
      </c>
      <c r="J155">
        <v>0.11730114494760831</v>
      </c>
      <c r="K155">
        <v>0.20000000298023224</v>
      </c>
      <c r="L155">
        <v>0.11407407373189926</v>
      </c>
      <c r="M155">
        <v>0.97</v>
      </c>
      <c r="N155">
        <v>0.97962962962962963</v>
      </c>
      <c r="O155">
        <v>0.99148870318786753</v>
      </c>
      <c r="P155">
        <v>43.166666666666664</v>
      </c>
      <c r="Q155">
        <v>4297438.166666667</v>
      </c>
      <c r="R155">
        <v>178370</v>
      </c>
      <c r="S155">
        <v>2</v>
      </c>
      <c r="T155">
        <v>280</v>
      </c>
      <c r="U155">
        <v>0.97037037037037033</v>
      </c>
      <c r="V155">
        <v>0.97962962962962963</v>
      </c>
      <c r="W155">
        <v>0.99148870318786753</v>
      </c>
      <c r="X155">
        <v>43.5</v>
      </c>
      <c r="Y155">
        <v>5121125</v>
      </c>
      <c r="Z155">
        <v>179569</v>
      </c>
      <c r="AA155">
        <v>2</v>
      </c>
      <c r="AB155">
        <v>281</v>
      </c>
      <c r="AD155">
        <f>Tabela3[[#This Row],[kan_params]]</f>
        <v>179364</v>
      </c>
      <c r="AE155">
        <f>Tabela3[[#This Row],[kan_train_acc]]</f>
        <v>0.11730114494760831</v>
      </c>
      <c r="AF155">
        <f>Tabela3[[#This Row],[kan_val_acc]]</f>
        <v>0.20000000298023224</v>
      </c>
      <c r="AG155">
        <f>Tabela3[[#This Row],[kan_test_acc]]</f>
        <v>0.11407407373189926</v>
      </c>
      <c r="AH155">
        <f>Tabela3[[#This Row],[mlp_test_acc]]</f>
        <v>0.97</v>
      </c>
      <c r="AI155">
        <f>Tabela3[[#This Row],[mlp_val_acc]]</f>
        <v>0.97962962962962963</v>
      </c>
      <c r="AJ155">
        <f>Tabela3[[#This Row],[mlp_train_acc]]</f>
        <v>0.99148870318786753</v>
      </c>
    </row>
    <row r="156" spans="1:36" x14ac:dyDescent="0.25">
      <c r="A156" t="s">
        <v>71</v>
      </c>
      <c r="B156">
        <v>12</v>
      </c>
      <c r="C156">
        <v>3</v>
      </c>
      <c r="D156">
        <v>4</v>
      </c>
      <c r="E156">
        <v>0</v>
      </c>
      <c r="F156" t="s">
        <v>103</v>
      </c>
      <c r="G156">
        <v>180037</v>
      </c>
      <c r="H156">
        <v>71687503.400000006</v>
      </c>
      <c r="I156">
        <v>14.4</v>
      </c>
      <c r="J156">
        <v>7.8737232834100723E-2</v>
      </c>
      <c r="K156">
        <v>0.18888888657093048</v>
      </c>
      <c r="L156">
        <v>7.8666666895151144E-2</v>
      </c>
      <c r="M156">
        <v>0.97066666666666668</v>
      </c>
      <c r="N156">
        <v>0.98148148148148151</v>
      </c>
      <c r="O156">
        <v>0.99535747446610956</v>
      </c>
      <c r="P156">
        <v>52</v>
      </c>
      <c r="Q156">
        <v>7433191.2000000002</v>
      </c>
      <c r="R156">
        <v>179569</v>
      </c>
      <c r="S156">
        <v>2</v>
      </c>
      <c r="T156">
        <v>281</v>
      </c>
      <c r="U156">
        <v>0.96977777777777785</v>
      </c>
      <c r="V156">
        <v>0.98148148148148151</v>
      </c>
      <c r="W156">
        <v>0.99238625812441961</v>
      </c>
      <c r="X156">
        <v>45.2</v>
      </c>
      <c r="Y156">
        <v>4125886.8</v>
      </c>
      <c r="Z156">
        <v>180772</v>
      </c>
      <c r="AA156">
        <v>2</v>
      </c>
      <c r="AB156">
        <v>282</v>
      </c>
      <c r="AD156">
        <f>Tabela3[[#This Row],[kan_params]]</f>
        <v>180037</v>
      </c>
      <c r="AE156">
        <f>Tabela3[[#This Row],[kan_train_acc]]</f>
        <v>7.8737232834100723E-2</v>
      </c>
      <c r="AF156">
        <f>Tabela3[[#This Row],[kan_val_acc]]</f>
        <v>0.18888888657093048</v>
      </c>
      <c r="AG156">
        <f>Tabela3[[#This Row],[kan_test_acc]]</f>
        <v>7.8666666895151144E-2</v>
      </c>
      <c r="AH156">
        <f>Tabela3[[#This Row],[mlp_test_acc]]</f>
        <v>0.97066666666666668</v>
      </c>
      <c r="AI156">
        <f>Tabela3[[#This Row],[mlp_val_acc]]</f>
        <v>0.98148148148148151</v>
      </c>
      <c r="AJ156">
        <f>Tabela3[[#This Row],[mlp_train_acc]]</f>
        <v>0.99535747446610956</v>
      </c>
    </row>
    <row r="157" spans="1:36" x14ac:dyDescent="0.25">
      <c r="A157" t="s">
        <v>71</v>
      </c>
      <c r="B157">
        <v>12</v>
      </c>
      <c r="C157">
        <v>3</v>
      </c>
      <c r="D157">
        <v>4</v>
      </c>
      <c r="E157">
        <v>0</v>
      </c>
      <c r="F157" t="s">
        <v>77</v>
      </c>
      <c r="G157">
        <v>180106</v>
      </c>
      <c r="H157">
        <v>79230899.799999997</v>
      </c>
      <c r="I157">
        <v>12</v>
      </c>
      <c r="J157">
        <v>0.11012070626020432</v>
      </c>
      <c r="K157">
        <v>0.19629628956317902</v>
      </c>
      <c r="L157">
        <v>0.10666666701436042</v>
      </c>
      <c r="M157">
        <v>0.96888888888888891</v>
      </c>
      <c r="N157">
        <v>0.98148148148148151</v>
      </c>
      <c r="O157">
        <v>0.99535747446610956</v>
      </c>
      <c r="P157">
        <v>48</v>
      </c>
      <c r="Q157">
        <v>5360757.4000000004</v>
      </c>
      <c r="R157">
        <v>179569</v>
      </c>
      <c r="S157">
        <v>2</v>
      </c>
      <c r="T157">
        <v>281</v>
      </c>
      <c r="U157">
        <v>0.96888888888888891</v>
      </c>
      <c r="V157">
        <v>0.98148148148148151</v>
      </c>
      <c r="W157">
        <v>0.99350046425255334</v>
      </c>
      <c r="X157">
        <v>48</v>
      </c>
      <c r="Y157">
        <v>6075007</v>
      </c>
      <c r="Z157">
        <v>180772</v>
      </c>
      <c r="AA157">
        <v>2</v>
      </c>
      <c r="AB157">
        <v>282</v>
      </c>
      <c r="AD157">
        <f>Tabela3[[#This Row],[kan_params]]</f>
        <v>180106</v>
      </c>
      <c r="AE157">
        <f>Tabela3[[#This Row],[kan_train_acc]]</f>
        <v>0.11012070626020432</v>
      </c>
      <c r="AF157">
        <f>Tabela3[[#This Row],[kan_val_acc]]</f>
        <v>0.19629628956317902</v>
      </c>
      <c r="AG157">
        <f>Tabela3[[#This Row],[kan_test_acc]]</f>
        <v>0.10666666701436042</v>
      </c>
      <c r="AH157">
        <f>Tabela3[[#This Row],[mlp_test_acc]]</f>
        <v>0.96888888888888891</v>
      </c>
      <c r="AI157">
        <f>Tabela3[[#This Row],[mlp_val_acc]]</f>
        <v>0.98148148148148151</v>
      </c>
      <c r="AJ157">
        <f>Tabela3[[#This Row],[mlp_train_acc]]</f>
        <v>0.99535747446610956</v>
      </c>
    </row>
    <row r="158" spans="1:36" x14ac:dyDescent="0.25">
      <c r="A158" t="s">
        <v>71</v>
      </c>
      <c r="B158">
        <v>10</v>
      </c>
      <c r="C158">
        <v>3</v>
      </c>
      <c r="D158">
        <v>3</v>
      </c>
      <c r="E158">
        <v>0</v>
      </c>
      <c r="F158" t="s">
        <v>122</v>
      </c>
      <c r="G158">
        <v>180871</v>
      </c>
      <c r="H158">
        <v>149315731</v>
      </c>
      <c r="I158">
        <v>26.8</v>
      </c>
      <c r="J158">
        <v>0.12423398494720458</v>
      </c>
      <c r="K158">
        <v>0.23629629611968994</v>
      </c>
      <c r="L158">
        <v>0.12577777802944184</v>
      </c>
      <c r="M158">
        <v>0.9608888888888889</v>
      </c>
      <c r="N158">
        <v>0.97555555555555551</v>
      </c>
      <c r="O158">
        <v>0.99312906220984221</v>
      </c>
      <c r="P158">
        <v>48.4</v>
      </c>
      <c r="Q158">
        <v>7145689.4000000004</v>
      </c>
      <c r="R158">
        <v>180772</v>
      </c>
      <c r="S158">
        <v>2</v>
      </c>
      <c r="T158">
        <v>282</v>
      </c>
      <c r="U158">
        <v>0.9608888888888889</v>
      </c>
      <c r="V158">
        <v>0.97555555555555551</v>
      </c>
      <c r="W158">
        <v>0.9905292479108635</v>
      </c>
      <c r="X158">
        <v>42.4</v>
      </c>
      <c r="Y158">
        <v>4490838</v>
      </c>
      <c r="Z158">
        <v>181979</v>
      </c>
      <c r="AA158">
        <v>2</v>
      </c>
      <c r="AB158">
        <v>283</v>
      </c>
      <c r="AD158">
        <f>Tabela3[[#This Row],[kan_params]]</f>
        <v>180871</v>
      </c>
      <c r="AE158">
        <f>Tabela3[[#This Row],[kan_train_acc]]</f>
        <v>0.12423398494720458</v>
      </c>
      <c r="AF158">
        <f>Tabela3[[#This Row],[kan_val_acc]]</f>
        <v>0.23629629611968994</v>
      </c>
      <c r="AG158">
        <f>Tabela3[[#This Row],[kan_test_acc]]</f>
        <v>0.12577777802944184</v>
      </c>
      <c r="AH158">
        <f>Tabela3[[#This Row],[mlp_test_acc]]</f>
        <v>0.9608888888888889</v>
      </c>
      <c r="AI158">
        <f>Tabela3[[#This Row],[mlp_val_acc]]</f>
        <v>0.97555555555555551</v>
      </c>
      <c r="AJ158">
        <f>Tabela3[[#This Row],[mlp_train_acc]]</f>
        <v>0.99312906220984221</v>
      </c>
    </row>
    <row r="159" spans="1:36" x14ac:dyDescent="0.25">
      <c r="A159" t="s">
        <v>71</v>
      </c>
      <c r="B159">
        <v>18</v>
      </c>
      <c r="C159">
        <v>9</v>
      </c>
      <c r="D159">
        <v>4</v>
      </c>
      <c r="E159">
        <v>0</v>
      </c>
      <c r="F159" t="s">
        <v>158</v>
      </c>
      <c r="G159">
        <v>181408</v>
      </c>
      <c r="H159">
        <v>63176769.399999999</v>
      </c>
      <c r="I159">
        <v>15.4</v>
      </c>
      <c r="J159">
        <v>0.18885793685913085</v>
      </c>
      <c r="K159">
        <v>0.27185184955596925</v>
      </c>
      <c r="L159">
        <v>0.17600000351667405</v>
      </c>
      <c r="M159">
        <v>0.96888888888888891</v>
      </c>
      <c r="N159">
        <v>0.97111111111111104</v>
      </c>
      <c r="O159">
        <v>0.98662952646239555</v>
      </c>
      <c r="P159">
        <v>37.4</v>
      </c>
      <c r="Q159">
        <v>4679233.8</v>
      </c>
      <c r="R159">
        <v>180772</v>
      </c>
      <c r="S159">
        <v>2</v>
      </c>
      <c r="T159">
        <v>282</v>
      </c>
      <c r="U159">
        <v>0.97377777777777774</v>
      </c>
      <c r="V159">
        <v>0.97703703703703704</v>
      </c>
      <c r="W159">
        <v>0.99164345403899723</v>
      </c>
      <c r="X159">
        <v>48.6</v>
      </c>
      <c r="Y159">
        <v>5073290.2</v>
      </c>
      <c r="Z159">
        <v>181979</v>
      </c>
      <c r="AA159">
        <v>2</v>
      </c>
      <c r="AB159">
        <v>283</v>
      </c>
      <c r="AD159">
        <f>Tabela3[[#This Row],[kan_params]]</f>
        <v>181408</v>
      </c>
      <c r="AE159">
        <f>Tabela3[[#This Row],[kan_train_acc]]</f>
        <v>0.18885793685913085</v>
      </c>
      <c r="AF159">
        <f>Tabela3[[#This Row],[kan_val_acc]]</f>
        <v>0.27185184955596925</v>
      </c>
      <c r="AG159">
        <f>Tabela3[[#This Row],[kan_test_acc]]</f>
        <v>0.17600000351667405</v>
      </c>
      <c r="AH159">
        <f>Tabela3[[#This Row],[mlp_test_acc]]</f>
        <v>0.96888888888888891</v>
      </c>
      <c r="AI159">
        <f>Tabela3[[#This Row],[mlp_val_acc]]</f>
        <v>0.97111111111111104</v>
      </c>
      <c r="AJ159">
        <f>Tabela3[[#This Row],[mlp_train_acc]]</f>
        <v>0.98662952646239555</v>
      </c>
    </row>
    <row r="160" spans="1:36" x14ac:dyDescent="0.25">
      <c r="A160" t="s">
        <v>71</v>
      </c>
      <c r="B160">
        <v>8</v>
      </c>
      <c r="C160">
        <v>3</v>
      </c>
      <c r="D160">
        <v>2</v>
      </c>
      <c r="E160">
        <v>0</v>
      </c>
      <c r="F160" t="s">
        <v>141</v>
      </c>
      <c r="G160">
        <v>181624</v>
      </c>
      <c r="H160">
        <v>176619600.80000001</v>
      </c>
      <c r="I160">
        <v>25.4</v>
      </c>
      <c r="J160">
        <v>0.14466109871864319</v>
      </c>
      <c r="K160">
        <v>0.27037037312984469</v>
      </c>
      <c r="L160">
        <v>0.14355555623769761</v>
      </c>
      <c r="M160">
        <v>0.97199999999999998</v>
      </c>
      <c r="N160">
        <v>0.98074074074074069</v>
      </c>
      <c r="O160">
        <v>0.98811513463324052</v>
      </c>
      <c r="P160">
        <v>37.4</v>
      </c>
      <c r="Q160">
        <v>4744066.5999999996</v>
      </c>
      <c r="R160">
        <v>180772</v>
      </c>
      <c r="S160">
        <v>2</v>
      </c>
      <c r="T160">
        <v>282</v>
      </c>
      <c r="U160">
        <v>0.97333333333333338</v>
      </c>
      <c r="V160">
        <v>0.97555555555555551</v>
      </c>
      <c r="W160">
        <v>0.99015784586815225</v>
      </c>
      <c r="X160">
        <v>42</v>
      </c>
      <c r="Y160">
        <v>6137069.4000000004</v>
      </c>
      <c r="Z160">
        <v>181979</v>
      </c>
      <c r="AA160">
        <v>2</v>
      </c>
      <c r="AB160">
        <v>283</v>
      </c>
      <c r="AD160">
        <f>Tabela3[[#This Row],[kan_params]]</f>
        <v>181624</v>
      </c>
      <c r="AE160">
        <f>Tabela3[[#This Row],[kan_train_acc]]</f>
        <v>0.14466109871864319</v>
      </c>
      <c r="AF160">
        <f>Tabela3[[#This Row],[kan_val_acc]]</f>
        <v>0.27037037312984469</v>
      </c>
      <c r="AG160">
        <f>Tabela3[[#This Row],[kan_test_acc]]</f>
        <v>0.14355555623769761</v>
      </c>
      <c r="AH160">
        <f>Tabela3[[#This Row],[mlp_test_acc]]</f>
        <v>0.97199999999999998</v>
      </c>
      <c r="AI160">
        <f>Tabela3[[#This Row],[mlp_val_acc]]</f>
        <v>0.98074074074074069</v>
      </c>
      <c r="AJ160">
        <f>Tabela3[[#This Row],[mlp_train_acc]]</f>
        <v>0.98811513463324052</v>
      </c>
    </row>
    <row r="161" spans="1:36" x14ac:dyDescent="0.25">
      <c r="A161" t="s">
        <v>71</v>
      </c>
      <c r="B161">
        <v>12</v>
      </c>
      <c r="C161">
        <v>3</v>
      </c>
      <c r="D161">
        <v>4</v>
      </c>
      <c r="E161">
        <v>0</v>
      </c>
      <c r="F161" t="s">
        <v>90</v>
      </c>
      <c r="G161">
        <v>182016</v>
      </c>
      <c r="H161">
        <v>130160083.8</v>
      </c>
      <c r="I161">
        <v>25.8</v>
      </c>
      <c r="J161">
        <v>0.12423398196697236</v>
      </c>
      <c r="K161">
        <v>0.1770370364189148</v>
      </c>
      <c r="L161">
        <v>0.11288888901472091</v>
      </c>
      <c r="M161">
        <v>0.97511111111111115</v>
      </c>
      <c r="N161">
        <v>0.98148148148148151</v>
      </c>
      <c r="O161">
        <v>0.99331476323119772</v>
      </c>
      <c r="P161">
        <v>48.2</v>
      </c>
      <c r="Q161">
        <v>4962346.2</v>
      </c>
      <c r="R161">
        <v>181979</v>
      </c>
      <c r="S161">
        <v>2</v>
      </c>
      <c r="T161">
        <v>283</v>
      </c>
      <c r="U161">
        <v>0.97422222222222221</v>
      </c>
      <c r="V161">
        <v>0.9807407407407408</v>
      </c>
      <c r="W161">
        <v>0.99201485608170847</v>
      </c>
      <c r="X161">
        <v>43.4</v>
      </c>
      <c r="Y161">
        <v>4952428.8</v>
      </c>
      <c r="Z161">
        <v>183190</v>
      </c>
      <c r="AA161">
        <v>2</v>
      </c>
      <c r="AB161">
        <v>284</v>
      </c>
      <c r="AD161">
        <f>Tabela3[[#This Row],[kan_params]]</f>
        <v>182016</v>
      </c>
      <c r="AE161">
        <f>Tabela3[[#This Row],[kan_train_acc]]</f>
        <v>0.12423398196697236</v>
      </c>
      <c r="AF161">
        <f>Tabela3[[#This Row],[kan_val_acc]]</f>
        <v>0.1770370364189148</v>
      </c>
      <c r="AG161">
        <f>Tabela3[[#This Row],[kan_test_acc]]</f>
        <v>0.11288888901472091</v>
      </c>
      <c r="AH161">
        <f>Tabela3[[#This Row],[mlp_test_acc]]</f>
        <v>0.97511111111111115</v>
      </c>
      <c r="AI161">
        <f>Tabela3[[#This Row],[mlp_val_acc]]</f>
        <v>0.98148148148148151</v>
      </c>
      <c r="AJ161">
        <f>Tabela3[[#This Row],[mlp_train_acc]]</f>
        <v>0.99331476323119772</v>
      </c>
    </row>
    <row r="162" spans="1:36" x14ac:dyDescent="0.25">
      <c r="A162" t="s">
        <v>71</v>
      </c>
      <c r="B162">
        <v>10</v>
      </c>
      <c r="C162">
        <v>3</v>
      </c>
      <c r="D162">
        <v>3</v>
      </c>
      <c r="E162">
        <v>0</v>
      </c>
      <c r="F162" t="s">
        <v>108</v>
      </c>
      <c r="G162">
        <v>182058</v>
      </c>
      <c r="H162">
        <v>85332037.599999994</v>
      </c>
      <c r="I162">
        <v>15.4</v>
      </c>
      <c r="J162">
        <v>0.11179201602935791</v>
      </c>
      <c r="K162">
        <v>0.16222222447395324</v>
      </c>
      <c r="L162">
        <v>0.10266666561365127</v>
      </c>
      <c r="M162">
        <v>0.96044444444444443</v>
      </c>
      <c r="N162">
        <v>0.97185185185185186</v>
      </c>
      <c r="O162">
        <v>0.99201485608170847</v>
      </c>
      <c r="P162">
        <v>43.8</v>
      </c>
      <c r="Q162">
        <v>4442586.8</v>
      </c>
      <c r="R162">
        <v>181979</v>
      </c>
      <c r="S162">
        <v>2</v>
      </c>
      <c r="T162">
        <v>283</v>
      </c>
      <c r="U162">
        <v>0.96133333333333326</v>
      </c>
      <c r="V162">
        <v>0.97703703703703704</v>
      </c>
      <c r="W162">
        <v>0.99238625812441972</v>
      </c>
      <c r="X162">
        <v>48.4</v>
      </c>
      <c r="Y162">
        <v>5608495.5999999996</v>
      </c>
      <c r="Z162">
        <v>183190</v>
      </c>
      <c r="AA162">
        <v>2</v>
      </c>
      <c r="AB162">
        <v>284</v>
      </c>
      <c r="AD162">
        <f>Tabela3[[#This Row],[kan_params]]</f>
        <v>182058</v>
      </c>
      <c r="AE162">
        <f>Tabela3[[#This Row],[kan_train_acc]]</f>
        <v>0.11179201602935791</v>
      </c>
      <c r="AF162">
        <f>Tabela3[[#This Row],[kan_val_acc]]</f>
        <v>0.16222222447395324</v>
      </c>
      <c r="AG162">
        <f>Tabela3[[#This Row],[kan_test_acc]]</f>
        <v>0.10266666561365127</v>
      </c>
      <c r="AH162">
        <f>Tabela3[[#This Row],[mlp_test_acc]]</f>
        <v>0.96044444444444443</v>
      </c>
      <c r="AI162">
        <f>Tabela3[[#This Row],[mlp_val_acc]]</f>
        <v>0.97185185185185186</v>
      </c>
      <c r="AJ162">
        <f>Tabela3[[#This Row],[mlp_train_acc]]</f>
        <v>0.99201485608170847</v>
      </c>
    </row>
    <row r="163" spans="1:36" x14ac:dyDescent="0.25">
      <c r="A163" t="s">
        <v>71</v>
      </c>
      <c r="B163">
        <v>8</v>
      </c>
      <c r="C163">
        <v>3</v>
      </c>
      <c r="D163">
        <v>2</v>
      </c>
      <c r="E163">
        <v>0</v>
      </c>
      <c r="F163" t="s">
        <v>128</v>
      </c>
      <c r="G163">
        <v>182199</v>
      </c>
      <c r="H163">
        <v>262052576.40000001</v>
      </c>
      <c r="I163">
        <v>37.4</v>
      </c>
      <c r="J163">
        <v>0.26555246412754058</v>
      </c>
      <c r="K163">
        <v>0.41777777671813965</v>
      </c>
      <c r="L163">
        <v>0.2760000005364418</v>
      </c>
      <c r="M163">
        <v>0.97377777777777785</v>
      </c>
      <c r="N163">
        <v>0.98296296296296293</v>
      </c>
      <c r="O163">
        <v>0.98904363974001852</v>
      </c>
      <c r="P163">
        <v>41.8</v>
      </c>
      <c r="Q163">
        <v>4847467</v>
      </c>
      <c r="R163">
        <v>181979</v>
      </c>
      <c r="S163">
        <v>2</v>
      </c>
      <c r="T163">
        <v>283</v>
      </c>
      <c r="U163">
        <v>0.97333333333333338</v>
      </c>
      <c r="V163">
        <v>0.97925925925925927</v>
      </c>
      <c r="W163">
        <v>0.99090064995357474</v>
      </c>
      <c r="X163">
        <v>44.2</v>
      </c>
      <c r="Y163">
        <v>6170820.7999999998</v>
      </c>
      <c r="Z163">
        <v>183190</v>
      </c>
      <c r="AA163">
        <v>2</v>
      </c>
      <c r="AB163">
        <v>284</v>
      </c>
      <c r="AD163">
        <f>Tabela3[[#This Row],[kan_params]]</f>
        <v>182199</v>
      </c>
      <c r="AE163">
        <f>Tabela3[[#This Row],[kan_train_acc]]</f>
        <v>0.26555246412754058</v>
      </c>
      <c r="AF163">
        <f>Tabela3[[#This Row],[kan_val_acc]]</f>
        <v>0.41777777671813965</v>
      </c>
      <c r="AG163">
        <f>Tabela3[[#This Row],[kan_test_acc]]</f>
        <v>0.2760000005364418</v>
      </c>
      <c r="AH163">
        <f>Tabela3[[#This Row],[mlp_test_acc]]</f>
        <v>0.97377777777777785</v>
      </c>
      <c r="AI163">
        <f>Tabela3[[#This Row],[mlp_val_acc]]</f>
        <v>0.98296296296296293</v>
      </c>
      <c r="AJ163">
        <f>Tabela3[[#This Row],[mlp_train_acc]]</f>
        <v>0.98904363974001852</v>
      </c>
    </row>
    <row r="164" spans="1:36" x14ac:dyDescent="0.25">
      <c r="A164" t="s">
        <v>71</v>
      </c>
      <c r="B164">
        <v>8</v>
      </c>
      <c r="C164">
        <v>3</v>
      </c>
      <c r="D164">
        <v>2</v>
      </c>
      <c r="E164">
        <v>0</v>
      </c>
      <c r="F164" t="s">
        <v>115</v>
      </c>
      <c r="G164">
        <v>182514</v>
      </c>
      <c r="H164">
        <v>294912527</v>
      </c>
      <c r="I164">
        <v>45</v>
      </c>
      <c r="J164">
        <v>0.32274838238954545</v>
      </c>
      <c r="K164">
        <v>0.42962962985038755</v>
      </c>
      <c r="L164">
        <v>0.33022222816944125</v>
      </c>
      <c r="M164">
        <v>0.97555555555555562</v>
      </c>
      <c r="N164">
        <v>0.98074074074074069</v>
      </c>
      <c r="O164">
        <v>0.98960074280408539</v>
      </c>
      <c r="P164">
        <v>42.4</v>
      </c>
      <c r="Q164">
        <v>5012872.8</v>
      </c>
      <c r="R164">
        <v>181979</v>
      </c>
      <c r="S164">
        <v>2</v>
      </c>
      <c r="T164">
        <v>283</v>
      </c>
      <c r="U164">
        <v>0.97377777777777785</v>
      </c>
      <c r="V164">
        <v>0.98296296296296293</v>
      </c>
      <c r="W164">
        <v>0.99182915506035285</v>
      </c>
      <c r="X164">
        <v>45</v>
      </c>
      <c r="Y164">
        <v>4490784.2</v>
      </c>
      <c r="Z164">
        <v>183190</v>
      </c>
      <c r="AA164">
        <v>2</v>
      </c>
      <c r="AB164">
        <v>284</v>
      </c>
      <c r="AD164">
        <f>Tabela3[[#This Row],[kan_params]]</f>
        <v>182514</v>
      </c>
      <c r="AE164">
        <f>Tabela3[[#This Row],[kan_train_acc]]</f>
        <v>0.32274838238954545</v>
      </c>
      <c r="AF164">
        <f>Tabela3[[#This Row],[kan_val_acc]]</f>
        <v>0.42962962985038755</v>
      </c>
      <c r="AG164">
        <f>Tabela3[[#This Row],[kan_test_acc]]</f>
        <v>0.33022222816944125</v>
      </c>
      <c r="AH164">
        <f>Tabela3[[#This Row],[mlp_test_acc]]</f>
        <v>0.97555555555555562</v>
      </c>
      <c r="AI164">
        <f>Tabela3[[#This Row],[mlp_val_acc]]</f>
        <v>0.98074074074074069</v>
      </c>
      <c r="AJ164">
        <f>Tabela3[[#This Row],[mlp_train_acc]]</f>
        <v>0.98960074280408539</v>
      </c>
    </row>
    <row r="165" spans="1:36" x14ac:dyDescent="0.25">
      <c r="A165" t="s">
        <v>71</v>
      </c>
      <c r="B165">
        <v>10</v>
      </c>
      <c r="C165">
        <v>3</v>
      </c>
      <c r="D165">
        <v>3</v>
      </c>
      <c r="E165">
        <v>0</v>
      </c>
      <c r="F165" t="s">
        <v>95</v>
      </c>
      <c r="G165">
        <v>182925</v>
      </c>
      <c r="H165">
        <v>129319522.59999999</v>
      </c>
      <c r="I165">
        <v>22.8</v>
      </c>
      <c r="J165">
        <v>9.4707519933581355E-2</v>
      </c>
      <c r="K165">
        <v>0.2155555546283722</v>
      </c>
      <c r="L165">
        <v>9.2444444447755819E-2</v>
      </c>
      <c r="M165">
        <v>0.9608888888888889</v>
      </c>
      <c r="N165">
        <v>0.9748148148148148</v>
      </c>
      <c r="O165">
        <v>0.99127205199628599</v>
      </c>
      <c r="P165">
        <v>46.6</v>
      </c>
      <c r="Q165">
        <v>4470240.2</v>
      </c>
      <c r="R165">
        <v>181979</v>
      </c>
      <c r="S165">
        <v>2</v>
      </c>
      <c r="T165">
        <v>283</v>
      </c>
      <c r="U165">
        <v>0.96133333333333326</v>
      </c>
      <c r="V165">
        <v>0.97407407407407409</v>
      </c>
      <c r="W165">
        <v>0.99090064995357474</v>
      </c>
      <c r="X165">
        <v>45</v>
      </c>
      <c r="Y165">
        <v>4678421.5999999996</v>
      </c>
      <c r="Z165">
        <v>183190</v>
      </c>
      <c r="AA165">
        <v>2</v>
      </c>
      <c r="AB165">
        <v>284</v>
      </c>
      <c r="AD165">
        <f>Tabela3[[#This Row],[kan_params]]</f>
        <v>182925</v>
      </c>
      <c r="AE165">
        <f>Tabela3[[#This Row],[kan_train_acc]]</f>
        <v>9.4707519933581355E-2</v>
      </c>
      <c r="AF165">
        <f>Tabela3[[#This Row],[kan_val_acc]]</f>
        <v>0.2155555546283722</v>
      </c>
      <c r="AG165">
        <f>Tabela3[[#This Row],[kan_test_acc]]</f>
        <v>9.2444444447755819E-2</v>
      </c>
      <c r="AH165">
        <f>Tabela3[[#This Row],[mlp_test_acc]]</f>
        <v>0.9608888888888889</v>
      </c>
      <c r="AI165">
        <f>Tabela3[[#This Row],[mlp_val_acc]]</f>
        <v>0.9748148148148148</v>
      </c>
      <c r="AJ165">
        <f>Tabela3[[#This Row],[mlp_train_acc]]</f>
        <v>0.99127205199628599</v>
      </c>
    </row>
    <row r="166" spans="1:36" x14ac:dyDescent="0.25">
      <c r="A166" t="s">
        <v>71</v>
      </c>
      <c r="B166">
        <v>10</v>
      </c>
      <c r="C166">
        <v>3</v>
      </c>
      <c r="D166">
        <v>3</v>
      </c>
      <c r="E166">
        <v>0</v>
      </c>
      <c r="F166" t="s">
        <v>149</v>
      </c>
      <c r="G166">
        <v>184102</v>
      </c>
      <c r="H166">
        <v>141884685.80000001</v>
      </c>
      <c r="I166">
        <v>23.4</v>
      </c>
      <c r="J166">
        <v>0.10454967617988586</v>
      </c>
      <c r="K166">
        <v>0.18444444239139557</v>
      </c>
      <c r="L166">
        <v>0.10311111062765121</v>
      </c>
      <c r="M166">
        <v>0.97288888888888891</v>
      </c>
      <c r="N166">
        <v>0.98148148148148151</v>
      </c>
      <c r="O166">
        <v>0.99034354688950788</v>
      </c>
      <c r="P166">
        <v>39.4</v>
      </c>
      <c r="Q166">
        <v>3841951.8</v>
      </c>
      <c r="R166">
        <v>183190</v>
      </c>
      <c r="S166">
        <v>2</v>
      </c>
      <c r="T166">
        <v>284</v>
      </c>
      <c r="U166">
        <v>0.97155555555555551</v>
      </c>
      <c r="V166">
        <v>0.98148148148148151</v>
      </c>
      <c r="W166">
        <v>0.98941504178272976</v>
      </c>
      <c r="X166">
        <v>41.4</v>
      </c>
      <c r="Y166">
        <v>3390694</v>
      </c>
      <c r="Z166">
        <v>184405</v>
      </c>
      <c r="AA166">
        <v>2</v>
      </c>
      <c r="AB166">
        <v>285</v>
      </c>
      <c r="AD166">
        <f>Tabela3[[#This Row],[kan_params]]</f>
        <v>184102</v>
      </c>
      <c r="AE166">
        <f>Tabela3[[#This Row],[kan_train_acc]]</f>
        <v>0.10454967617988586</v>
      </c>
      <c r="AF166">
        <f>Tabela3[[#This Row],[kan_val_acc]]</f>
        <v>0.18444444239139557</v>
      </c>
      <c r="AG166">
        <f>Tabela3[[#This Row],[kan_test_acc]]</f>
        <v>0.10311111062765121</v>
      </c>
      <c r="AH166">
        <f>Tabela3[[#This Row],[mlp_test_acc]]</f>
        <v>0.97288888888888891</v>
      </c>
      <c r="AI166">
        <f>Tabela3[[#This Row],[mlp_val_acc]]</f>
        <v>0.98148148148148151</v>
      </c>
      <c r="AJ166">
        <f>Tabela3[[#This Row],[mlp_train_acc]]</f>
        <v>0.99034354688950788</v>
      </c>
    </row>
    <row r="167" spans="1:36" x14ac:dyDescent="0.25">
      <c r="A167" t="s">
        <v>71</v>
      </c>
      <c r="B167">
        <v>10</v>
      </c>
      <c r="C167">
        <v>3</v>
      </c>
      <c r="D167">
        <v>3</v>
      </c>
      <c r="E167">
        <v>0</v>
      </c>
      <c r="F167" t="s">
        <v>136</v>
      </c>
      <c r="G167">
        <v>185769</v>
      </c>
      <c r="H167">
        <v>176764959.80000001</v>
      </c>
      <c r="I167">
        <v>28.8</v>
      </c>
      <c r="J167">
        <v>9.3221914023160934E-2</v>
      </c>
      <c r="K167">
        <v>0.20074073970317841</v>
      </c>
      <c r="L167">
        <v>9.6888891607522967E-2</v>
      </c>
      <c r="M167">
        <v>0.97288888888888891</v>
      </c>
      <c r="N167">
        <v>0.97925925925925927</v>
      </c>
      <c r="O167">
        <v>0.98978644382544101</v>
      </c>
      <c r="P167">
        <v>39.200000000000003</v>
      </c>
      <c r="Q167">
        <v>3784865.2</v>
      </c>
      <c r="R167">
        <v>185624</v>
      </c>
      <c r="S167">
        <v>2</v>
      </c>
      <c r="T167">
        <v>286</v>
      </c>
      <c r="U167">
        <v>0.97377777777777774</v>
      </c>
      <c r="V167">
        <v>0.97851851851851857</v>
      </c>
      <c r="W167">
        <v>0.98960074280408539</v>
      </c>
      <c r="X167">
        <v>41.4</v>
      </c>
      <c r="Y167">
        <v>2971521</v>
      </c>
      <c r="Z167">
        <v>186847</v>
      </c>
      <c r="AA167">
        <v>2</v>
      </c>
      <c r="AB167">
        <v>287</v>
      </c>
      <c r="AD167">
        <f>Tabela3[[#This Row],[kan_params]]</f>
        <v>185769</v>
      </c>
      <c r="AE167">
        <f>Tabela3[[#This Row],[kan_train_acc]]</f>
        <v>9.3221914023160934E-2</v>
      </c>
      <c r="AF167">
        <f>Tabela3[[#This Row],[kan_val_acc]]</f>
        <v>0.20074073970317841</v>
      </c>
      <c r="AG167">
        <f>Tabela3[[#This Row],[kan_test_acc]]</f>
        <v>9.6888891607522967E-2</v>
      </c>
      <c r="AH167">
        <f>Tabela3[[#This Row],[mlp_test_acc]]</f>
        <v>0.97288888888888891</v>
      </c>
      <c r="AI167">
        <f>Tabela3[[#This Row],[mlp_val_acc]]</f>
        <v>0.97925925925925927</v>
      </c>
      <c r="AJ167">
        <f>Tabela3[[#This Row],[mlp_train_acc]]</f>
        <v>0.98978644382544101</v>
      </c>
    </row>
    <row r="168" spans="1:36" x14ac:dyDescent="0.25">
      <c r="A168" t="s">
        <v>71</v>
      </c>
      <c r="B168">
        <v>8</v>
      </c>
      <c r="C168">
        <v>3</v>
      </c>
      <c r="D168">
        <v>2</v>
      </c>
      <c r="E168">
        <v>0</v>
      </c>
      <c r="F168" t="s">
        <v>142</v>
      </c>
      <c r="G168">
        <v>186959</v>
      </c>
      <c r="H168">
        <v>95693790</v>
      </c>
      <c r="I168">
        <v>12.2</v>
      </c>
      <c r="J168">
        <v>0.14670380800962449</v>
      </c>
      <c r="K168">
        <v>0.20518518388271331</v>
      </c>
      <c r="L168">
        <v>0.14400000125169754</v>
      </c>
      <c r="M168">
        <v>0.97244444444444444</v>
      </c>
      <c r="N168">
        <v>0.98370370370370364</v>
      </c>
      <c r="O168">
        <v>0.98737233054781803</v>
      </c>
      <c r="P168">
        <v>40.4</v>
      </c>
      <c r="Q168">
        <v>6804920.7999999998</v>
      </c>
      <c r="R168">
        <v>186847</v>
      </c>
      <c r="S168">
        <v>2</v>
      </c>
      <c r="T168">
        <v>287</v>
      </c>
      <c r="U168">
        <v>0.97377777777777774</v>
      </c>
      <c r="V168">
        <v>0.98222222222222222</v>
      </c>
      <c r="W168">
        <v>0.98830083565459603</v>
      </c>
      <c r="X168">
        <v>39.200000000000003</v>
      </c>
      <c r="Y168">
        <v>4340104.8</v>
      </c>
      <c r="Z168">
        <v>188074</v>
      </c>
      <c r="AA168">
        <v>2</v>
      </c>
      <c r="AB168">
        <v>288</v>
      </c>
      <c r="AD168">
        <f>Tabela3[[#This Row],[kan_params]]</f>
        <v>186959</v>
      </c>
      <c r="AE168">
        <f>Tabela3[[#This Row],[kan_train_acc]]</f>
        <v>0.14670380800962449</v>
      </c>
      <c r="AF168">
        <f>Tabela3[[#This Row],[kan_val_acc]]</f>
        <v>0.20518518388271331</v>
      </c>
      <c r="AG168">
        <f>Tabela3[[#This Row],[kan_test_acc]]</f>
        <v>0.14400000125169754</v>
      </c>
      <c r="AH168">
        <f>Tabela3[[#This Row],[mlp_test_acc]]</f>
        <v>0.97244444444444444</v>
      </c>
      <c r="AI168">
        <f>Tabela3[[#This Row],[mlp_val_acc]]</f>
        <v>0.98370370370370364</v>
      </c>
      <c r="AJ168">
        <f>Tabela3[[#This Row],[mlp_train_acc]]</f>
        <v>0.98737233054781803</v>
      </c>
    </row>
    <row r="169" spans="1:36" x14ac:dyDescent="0.25">
      <c r="A169" t="s">
        <v>71</v>
      </c>
      <c r="B169">
        <v>10</v>
      </c>
      <c r="C169">
        <v>3</v>
      </c>
      <c r="D169">
        <v>3</v>
      </c>
      <c r="E169">
        <v>0</v>
      </c>
      <c r="F169" t="s">
        <v>123</v>
      </c>
      <c r="G169">
        <v>187116</v>
      </c>
      <c r="H169">
        <v>84256646.200000003</v>
      </c>
      <c r="I169">
        <v>14</v>
      </c>
      <c r="J169">
        <v>0.12033426016569138</v>
      </c>
      <c r="K169">
        <v>0.21111110746860504</v>
      </c>
      <c r="L169">
        <v>0.10444444417953491</v>
      </c>
      <c r="M169">
        <v>0.96444444444444444</v>
      </c>
      <c r="N169">
        <v>0.97185185185185186</v>
      </c>
      <c r="O169">
        <v>0.99145775301764161</v>
      </c>
      <c r="P169">
        <v>51</v>
      </c>
      <c r="Q169">
        <v>7093298.5999999996</v>
      </c>
      <c r="R169">
        <v>186847</v>
      </c>
      <c r="S169">
        <v>2</v>
      </c>
      <c r="T169">
        <v>287</v>
      </c>
      <c r="U169">
        <v>0.96711111111111114</v>
      </c>
      <c r="V169">
        <v>0.97629629629629622</v>
      </c>
      <c r="W169">
        <v>0.99535747446610956</v>
      </c>
      <c r="X169">
        <v>59.6</v>
      </c>
      <c r="Y169">
        <v>7395803.7999999998</v>
      </c>
      <c r="Z169">
        <v>188074</v>
      </c>
      <c r="AA169">
        <v>2</v>
      </c>
      <c r="AB169">
        <v>288</v>
      </c>
      <c r="AD169">
        <f>Tabela3[[#This Row],[kan_params]]</f>
        <v>187116</v>
      </c>
      <c r="AE169">
        <f>Tabela3[[#This Row],[kan_train_acc]]</f>
        <v>0.12033426016569138</v>
      </c>
      <c r="AF169">
        <f>Tabela3[[#This Row],[kan_val_acc]]</f>
        <v>0.21111110746860504</v>
      </c>
      <c r="AG169">
        <f>Tabela3[[#This Row],[kan_test_acc]]</f>
        <v>0.10444444417953491</v>
      </c>
      <c r="AH169">
        <f>Tabela3[[#This Row],[mlp_test_acc]]</f>
        <v>0.96444444444444444</v>
      </c>
      <c r="AI169">
        <f>Tabela3[[#This Row],[mlp_val_acc]]</f>
        <v>0.97185185185185186</v>
      </c>
      <c r="AJ169">
        <f>Tabela3[[#This Row],[mlp_train_acc]]</f>
        <v>0.99145775301764161</v>
      </c>
    </row>
    <row r="170" spans="1:36" x14ac:dyDescent="0.25">
      <c r="A170" t="s">
        <v>71</v>
      </c>
      <c r="B170">
        <v>12</v>
      </c>
      <c r="C170">
        <v>3</v>
      </c>
      <c r="D170">
        <v>4</v>
      </c>
      <c r="E170">
        <v>0</v>
      </c>
      <c r="F170" t="s">
        <v>104</v>
      </c>
      <c r="G170">
        <v>187262</v>
      </c>
      <c r="H170">
        <v>88305880.599999994</v>
      </c>
      <c r="I170">
        <v>17</v>
      </c>
      <c r="J170">
        <v>0.1021355614066124</v>
      </c>
      <c r="K170">
        <v>0.21185185313224791</v>
      </c>
      <c r="L170">
        <v>9.7333332896232611E-2</v>
      </c>
      <c r="M170">
        <v>0.96888888888888891</v>
      </c>
      <c r="N170">
        <v>0.98148148148148151</v>
      </c>
      <c r="O170">
        <v>0.9888579387186629</v>
      </c>
      <c r="P170">
        <v>34</v>
      </c>
      <c r="Q170">
        <v>3642390</v>
      </c>
      <c r="R170">
        <v>186847</v>
      </c>
      <c r="S170">
        <v>2</v>
      </c>
      <c r="T170">
        <v>287</v>
      </c>
      <c r="U170">
        <v>0.97111111111111115</v>
      </c>
      <c r="V170">
        <v>0.98148148148148151</v>
      </c>
      <c r="W170">
        <v>0.99350046425255334</v>
      </c>
      <c r="X170">
        <v>44</v>
      </c>
      <c r="Y170">
        <v>5744483.2000000002</v>
      </c>
      <c r="Z170">
        <v>188074</v>
      </c>
      <c r="AA170">
        <v>2</v>
      </c>
      <c r="AB170">
        <v>288</v>
      </c>
      <c r="AD170">
        <f>Tabela3[[#This Row],[kan_params]]</f>
        <v>187262</v>
      </c>
      <c r="AE170">
        <f>Tabela3[[#This Row],[kan_train_acc]]</f>
        <v>0.1021355614066124</v>
      </c>
      <c r="AF170">
        <f>Tabela3[[#This Row],[kan_val_acc]]</f>
        <v>0.21185185313224791</v>
      </c>
      <c r="AG170">
        <f>Tabela3[[#This Row],[kan_test_acc]]</f>
        <v>9.7333332896232611E-2</v>
      </c>
      <c r="AH170">
        <f>Tabela3[[#This Row],[mlp_test_acc]]</f>
        <v>0.96888888888888891</v>
      </c>
      <c r="AI170">
        <f>Tabela3[[#This Row],[mlp_val_acc]]</f>
        <v>0.98148148148148151</v>
      </c>
      <c r="AJ170">
        <f>Tabela3[[#This Row],[mlp_train_acc]]</f>
        <v>0.9888579387186629</v>
      </c>
    </row>
    <row r="171" spans="1:36" x14ac:dyDescent="0.25">
      <c r="A171" t="s">
        <v>71</v>
      </c>
      <c r="B171">
        <v>8</v>
      </c>
      <c r="C171">
        <v>3</v>
      </c>
      <c r="D171">
        <v>2</v>
      </c>
      <c r="E171">
        <v>0</v>
      </c>
      <c r="F171" t="s">
        <v>129</v>
      </c>
      <c r="G171">
        <v>187404</v>
      </c>
      <c r="H171">
        <v>324939326.39999998</v>
      </c>
      <c r="I171">
        <v>45</v>
      </c>
      <c r="J171">
        <v>0.31847724914550779</v>
      </c>
      <c r="K171">
        <v>0.44888889193534853</v>
      </c>
      <c r="L171">
        <v>0.3177777722477913</v>
      </c>
      <c r="M171">
        <v>0.97377777777777785</v>
      </c>
      <c r="N171">
        <v>0.98370370370370375</v>
      </c>
      <c r="O171">
        <v>0.99405756731662021</v>
      </c>
      <c r="P171">
        <v>46.6</v>
      </c>
      <c r="Q171">
        <v>6586861.2000000002</v>
      </c>
      <c r="R171">
        <v>186847</v>
      </c>
      <c r="S171">
        <v>2</v>
      </c>
      <c r="T171">
        <v>287</v>
      </c>
      <c r="U171">
        <v>0.97333333333333338</v>
      </c>
      <c r="V171">
        <v>0.98148148148148151</v>
      </c>
      <c r="W171">
        <v>0.99294336118848658</v>
      </c>
      <c r="X171">
        <v>45.6</v>
      </c>
      <c r="Y171">
        <v>4351602</v>
      </c>
      <c r="Z171">
        <v>188074</v>
      </c>
      <c r="AA171">
        <v>2</v>
      </c>
      <c r="AB171">
        <v>288</v>
      </c>
      <c r="AD171">
        <f>Tabela3[[#This Row],[kan_params]]</f>
        <v>187404</v>
      </c>
      <c r="AE171">
        <f>Tabela3[[#This Row],[kan_train_acc]]</f>
        <v>0.31847724914550779</v>
      </c>
      <c r="AF171">
        <f>Tabela3[[#This Row],[kan_val_acc]]</f>
        <v>0.44888889193534853</v>
      </c>
      <c r="AG171">
        <f>Tabela3[[#This Row],[kan_test_acc]]</f>
        <v>0.3177777722477913</v>
      </c>
      <c r="AH171">
        <f>Tabela3[[#This Row],[mlp_test_acc]]</f>
        <v>0.97377777777777785</v>
      </c>
      <c r="AI171">
        <f>Tabela3[[#This Row],[mlp_val_acc]]</f>
        <v>0.98370370370370375</v>
      </c>
      <c r="AJ171">
        <f>Tabela3[[#This Row],[mlp_train_acc]]</f>
        <v>0.99405756731662021</v>
      </c>
    </row>
    <row r="172" spans="1:36" x14ac:dyDescent="0.25">
      <c r="A172" t="s">
        <v>71</v>
      </c>
      <c r="B172">
        <v>8</v>
      </c>
      <c r="C172">
        <v>3</v>
      </c>
      <c r="D172">
        <v>2</v>
      </c>
      <c r="E172">
        <v>0</v>
      </c>
      <c r="F172" t="s">
        <v>116</v>
      </c>
      <c r="G172">
        <v>187589</v>
      </c>
      <c r="H172">
        <v>196566950</v>
      </c>
      <c r="I172">
        <v>25.4</v>
      </c>
      <c r="J172">
        <v>0.19071495234966279</v>
      </c>
      <c r="K172">
        <v>0.30666666924953462</v>
      </c>
      <c r="L172">
        <v>0.20400000363588333</v>
      </c>
      <c r="M172">
        <v>0.97288888888888891</v>
      </c>
      <c r="N172">
        <v>0.98074074074074069</v>
      </c>
      <c r="O172">
        <v>0.98848653667595177</v>
      </c>
      <c r="P172">
        <v>41.6</v>
      </c>
      <c r="Q172">
        <v>4289107.5999999996</v>
      </c>
      <c r="R172">
        <v>186847</v>
      </c>
      <c r="S172">
        <v>2</v>
      </c>
      <c r="T172">
        <v>287</v>
      </c>
      <c r="U172">
        <v>0.97466666666666668</v>
      </c>
      <c r="V172">
        <v>0.98222222222222222</v>
      </c>
      <c r="W172">
        <v>0.9905292479108635</v>
      </c>
      <c r="X172">
        <v>41.4</v>
      </c>
      <c r="Y172">
        <v>5114097.8</v>
      </c>
      <c r="Z172">
        <v>188074</v>
      </c>
      <c r="AA172">
        <v>2</v>
      </c>
      <c r="AB172">
        <v>288</v>
      </c>
      <c r="AD172">
        <f>Tabela3[[#This Row],[kan_params]]</f>
        <v>187589</v>
      </c>
      <c r="AE172">
        <f>Tabela3[[#This Row],[kan_train_acc]]</f>
        <v>0.19071495234966279</v>
      </c>
      <c r="AF172">
        <f>Tabela3[[#This Row],[kan_val_acc]]</f>
        <v>0.30666666924953462</v>
      </c>
      <c r="AG172">
        <f>Tabela3[[#This Row],[kan_test_acc]]</f>
        <v>0.20400000363588333</v>
      </c>
      <c r="AH172">
        <f>Tabela3[[#This Row],[mlp_test_acc]]</f>
        <v>0.97288888888888891</v>
      </c>
      <c r="AI172">
        <f>Tabela3[[#This Row],[mlp_val_acc]]</f>
        <v>0.98074074074074069</v>
      </c>
      <c r="AJ172">
        <f>Tabela3[[#This Row],[mlp_train_acc]]</f>
        <v>0.98848653667595177</v>
      </c>
    </row>
    <row r="173" spans="1:36" x14ac:dyDescent="0.25">
      <c r="A173" t="s">
        <v>71</v>
      </c>
      <c r="B173">
        <v>10</v>
      </c>
      <c r="C173">
        <v>3</v>
      </c>
      <c r="D173">
        <v>3</v>
      </c>
      <c r="E173">
        <v>0</v>
      </c>
      <c r="F173" t="s">
        <v>109</v>
      </c>
      <c r="G173">
        <v>188143</v>
      </c>
      <c r="H173">
        <v>111464297.8</v>
      </c>
      <c r="I173">
        <v>19.600000000000001</v>
      </c>
      <c r="J173">
        <v>0.11272051967680455</v>
      </c>
      <c r="K173">
        <v>0.21629629731178285</v>
      </c>
      <c r="L173">
        <v>0.10888888910412789</v>
      </c>
      <c r="M173">
        <v>0.9635555555555555</v>
      </c>
      <c r="N173">
        <v>0.97629629629629633</v>
      </c>
      <c r="O173">
        <v>0.99350046425255345</v>
      </c>
      <c r="P173">
        <v>48</v>
      </c>
      <c r="Q173">
        <v>6233324</v>
      </c>
      <c r="R173">
        <v>188074</v>
      </c>
      <c r="S173">
        <v>2</v>
      </c>
      <c r="T173">
        <v>288</v>
      </c>
      <c r="U173">
        <v>0.96177777777777773</v>
      </c>
      <c r="V173">
        <v>0.9748148148148148</v>
      </c>
      <c r="W173">
        <v>0.99294336118848647</v>
      </c>
      <c r="X173">
        <v>46.2</v>
      </c>
      <c r="Y173">
        <v>5000306.5999999996</v>
      </c>
      <c r="Z173">
        <v>189305</v>
      </c>
      <c r="AA173">
        <v>2</v>
      </c>
      <c r="AB173">
        <v>289</v>
      </c>
      <c r="AD173">
        <f>Tabela3[[#This Row],[kan_params]]</f>
        <v>188143</v>
      </c>
      <c r="AE173">
        <f>Tabela3[[#This Row],[kan_train_acc]]</f>
        <v>0.11272051967680455</v>
      </c>
      <c r="AF173">
        <f>Tabela3[[#This Row],[kan_val_acc]]</f>
        <v>0.21629629731178285</v>
      </c>
      <c r="AG173">
        <f>Tabela3[[#This Row],[kan_test_acc]]</f>
        <v>0.10888888910412789</v>
      </c>
      <c r="AH173">
        <f>Tabela3[[#This Row],[mlp_test_acc]]</f>
        <v>0.9635555555555555</v>
      </c>
      <c r="AI173">
        <f>Tabela3[[#This Row],[mlp_val_acc]]</f>
        <v>0.97629629629629633</v>
      </c>
      <c r="AJ173">
        <f>Tabela3[[#This Row],[mlp_train_acc]]</f>
        <v>0.99350046425255345</v>
      </c>
    </row>
    <row r="174" spans="1:36" x14ac:dyDescent="0.25">
      <c r="A174" t="s">
        <v>71</v>
      </c>
      <c r="B174">
        <v>10</v>
      </c>
      <c r="C174">
        <v>3</v>
      </c>
      <c r="D174">
        <v>3</v>
      </c>
      <c r="E174">
        <v>0</v>
      </c>
      <c r="F174" t="s">
        <v>82</v>
      </c>
      <c r="G174">
        <v>188850</v>
      </c>
      <c r="H174">
        <v>106820620.2</v>
      </c>
      <c r="I174">
        <v>18.600000000000001</v>
      </c>
      <c r="J174">
        <v>0.13853296339511872</v>
      </c>
      <c r="K174">
        <v>0.2155555546283722</v>
      </c>
      <c r="L174">
        <v>0.13733333498239517</v>
      </c>
      <c r="M174">
        <v>0.9622222222222222</v>
      </c>
      <c r="N174">
        <v>0.97259259259259256</v>
      </c>
      <c r="O174">
        <v>0.98997214484679663</v>
      </c>
      <c r="P174">
        <v>44.4</v>
      </c>
      <c r="Q174">
        <v>4520946.2</v>
      </c>
      <c r="R174">
        <v>188074</v>
      </c>
      <c r="S174">
        <v>2</v>
      </c>
      <c r="T174">
        <v>288</v>
      </c>
      <c r="U174">
        <v>0.96399999999999997</v>
      </c>
      <c r="V174">
        <v>0.97703703703703704</v>
      </c>
      <c r="W174">
        <v>0.99108635097493036</v>
      </c>
      <c r="X174">
        <v>45.6</v>
      </c>
      <c r="Y174">
        <v>5736305.4000000004</v>
      </c>
      <c r="Z174">
        <v>189305</v>
      </c>
      <c r="AA174">
        <v>2</v>
      </c>
      <c r="AB174">
        <v>289</v>
      </c>
      <c r="AD174">
        <f>Tabela3[[#This Row],[kan_params]]</f>
        <v>188850</v>
      </c>
      <c r="AE174">
        <f>Tabela3[[#This Row],[kan_train_acc]]</f>
        <v>0.13853296339511872</v>
      </c>
      <c r="AF174">
        <f>Tabela3[[#This Row],[kan_val_acc]]</f>
        <v>0.2155555546283722</v>
      </c>
      <c r="AG174">
        <f>Tabela3[[#This Row],[kan_test_acc]]</f>
        <v>0.13733333498239517</v>
      </c>
      <c r="AH174">
        <f>Tabela3[[#This Row],[mlp_test_acc]]</f>
        <v>0.9622222222222222</v>
      </c>
      <c r="AI174">
        <f>Tabela3[[#This Row],[mlp_val_acc]]</f>
        <v>0.97259259259259256</v>
      </c>
      <c r="AJ174">
        <f>Tabela3[[#This Row],[mlp_train_acc]]</f>
        <v>0.98997214484679663</v>
      </c>
    </row>
    <row r="175" spans="1:36" x14ac:dyDescent="0.25">
      <c r="A175" t="s">
        <v>71</v>
      </c>
      <c r="B175">
        <v>12</v>
      </c>
      <c r="C175">
        <v>3</v>
      </c>
      <c r="D175">
        <v>4</v>
      </c>
      <c r="E175">
        <v>0</v>
      </c>
      <c r="F175" t="s">
        <v>91</v>
      </c>
      <c r="G175">
        <v>189051</v>
      </c>
      <c r="H175">
        <v>218250841.40000001</v>
      </c>
      <c r="I175">
        <v>42.2</v>
      </c>
      <c r="J175">
        <v>0.23026926964521408</v>
      </c>
      <c r="K175">
        <v>0.28296296149492262</v>
      </c>
      <c r="L175">
        <v>0.21911110505461692</v>
      </c>
      <c r="M175">
        <v>0.97111111111111115</v>
      </c>
      <c r="N175">
        <v>0.98148148148148151</v>
      </c>
      <c r="O175">
        <v>0.98941504178272976</v>
      </c>
      <c r="P175">
        <v>39.6</v>
      </c>
      <c r="Q175">
        <v>4985407.5999999996</v>
      </c>
      <c r="R175">
        <v>188074</v>
      </c>
      <c r="S175">
        <v>2</v>
      </c>
      <c r="T175">
        <v>288</v>
      </c>
      <c r="U175">
        <v>0.97199999999999998</v>
      </c>
      <c r="V175">
        <v>0.98</v>
      </c>
      <c r="W175">
        <v>0.99090064995357474</v>
      </c>
      <c r="X175">
        <v>41.2</v>
      </c>
      <c r="Y175">
        <v>4518169.4000000004</v>
      </c>
      <c r="Z175">
        <v>189305</v>
      </c>
      <c r="AA175">
        <v>2</v>
      </c>
      <c r="AB175">
        <v>289</v>
      </c>
      <c r="AD175">
        <f>Tabela3[[#This Row],[kan_params]]</f>
        <v>189051</v>
      </c>
      <c r="AE175">
        <f>Tabela3[[#This Row],[kan_train_acc]]</f>
        <v>0.23026926964521408</v>
      </c>
      <c r="AF175">
        <f>Tabela3[[#This Row],[kan_val_acc]]</f>
        <v>0.28296296149492262</v>
      </c>
      <c r="AG175">
        <f>Tabela3[[#This Row],[kan_test_acc]]</f>
        <v>0.21911110505461692</v>
      </c>
      <c r="AH175">
        <f>Tabela3[[#This Row],[mlp_test_acc]]</f>
        <v>0.97111111111111115</v>
      </c>
      <c r="AI175">
        <f>Tabela3[[#This Row],[mlp_val_acc]]</f>
        <v>0.98148148148148151</v>
      </c>
      <c r="AJ175">
        <f>Tabela3[[#This Row],[mlp_train_acc]]</f>
        <v>0.98941504178272976</v>
      </c>
    </row>
    <row r="176" spans="1:36" x14ac:dyDescent="0.25">
      <c r="A176" t="s">
        <v>71</v>
      </c>
      <c r="B176">
        <v>18</v>
      </c>
      <c r="C176">
        <v>9</v>
      </c>
      <c r="D176">
        <v>4</v>
      </c>
      <c r="E176">
        <v>0</v>
      </c>
      <c r="F176" t="s">
        <v>72</v>
      </c>
      <c r="G176">
        <v>190663</v>
      </c>
      <c r="H176">
        <v>81903952</v>
      </c>
      <c r="I176">
        <v>17.8</v>
      </c>
      <c r="J176">
        <v>0.14280408322811128</v>
      </c>
      <c r="K176">
        <v>0.29111111164093018</v>
      </c>
      <c r="L176">
        <v>0.14044444411993026</v>
      </c>
      <c r="M176">
        <v>0.97377777777777774</v>
      </c>
      <c r="N176">
        <v>0.97259259259259256</v>
      </c>
      <c r="O176">
        <v>0.9905292479108635</v>
      </c>
      <c r="P176">
        <v>41.4</v>
      </c>
      <c r="Q176">
        <v>5987405.5999999996</v>
      </c>
      <c r="R176">
        <v>190540</v>
      </c>
      <c r="S176">
        <v>2</v>
      </c>
      <c r="T176">
        <v>290</v>
      </c>
      <c r="U176">
        <v>0.96666666666666667</v>
      </c>
      <c r="V176">
        <v>0.9748148148148148</v>
      </c>
      <c r="W176">
        <v>0.98997214484679663</v>
      </c>
      <c r="X176">
        <v>42.8</v>
      </c>
      <c r="Y176">
        <v>4522400.2</v>
      </c>
      <c r="Z176">
        <v>191779</v>
      </c>
      <c r="AA176">
        <v>2</v>
      </c>
      <c r="AB176">
        <v>291</v>
      </c>
      <c r="AD176">
        <f>Tabela3[[#This Row],[kan_params]]</f>
        <v>190663</v>
      </c>
      <c r="AE176">
        <f>Tabela3[[#This Row],[kan_train_acc]]</f>
        <v>0.14280408322811128</v>
      </c>
      <c r="AF176">
        <f>Tabela3[[#This Row],[kan_val_acc]]</f>
        <v>0.29111111164093018</v>
      </c>
      <c r="AG176">
        <f>Tabela3[[#This Row],[kan_test_acc]]</f>
        <v>0.14044444411993026</v>
      </c>
      <c r="AH176">
        <f>Tabela3[[#This Row],[mlp_test_acc]]</f>
        <v>0.97377777777777774</v>
      </c>
      <c r="AI176">
        <f>Tabela3[[#This Row],[mlp_val_acc]]</f>
        <v>0.97259259259259256</v>
      </c>
      <c r="AJ176">
        <f>Tabela3[[#This Row],[mlp_train_acc]]</f>
        <v>0.9905292479108635</v>
      </c>
    </row>
    <row r="177" spans="1:36" x14ac:dyDescent="0.25">
      <c r="A177" t="s">
        <v>71</v>
      </c>
      <c r="B177">
        <v>10</v>
      </c>
      <c r="C177">
        <v>3</v>
      </c>
      <c r="D177">
        <v>3</v>
      </c>
      <c r="E177">
        <v>0</v>
      </c>
      <c r="F177" t="s">
        <v>150</v>
      </c>
      <c r="G177">
        <v>190667</v>
      </c>
      <c r="H177">
        <v>164542132</v>
      </c>
      <c r="I177">
        <v>25.4</v>
      </c>
      <c r="J177">
        <v>0.10659238845109939</v>
      </c>
      <c r="K177">
        <v>0.20074074268341063</v>
      </c>
      <c r="L177">
        <v>0.11511110961437225</v>
      </c>
      <c r="M177">
        <v>0.97022222222222221</v>
      </c>
      <c r="N177">
        <v>0.97703703703703704</v>
      </c>
      <c r="O177">
        <v>0.9905292479108635</v>
      </c>
      <c r="P177">
        <v>39.200000000000003</v>
      </c>
      <c r="Q177">
        <v>4053658.4</v>
      </c>
      <c r="R177">
        <v>190540</v>
      </c>
      <c r="S177">
        <v>2</v>
      </c>
      <c r="T177">
        <v>290</v>
      </c>
      <c r="U177">
        <v>0.97066666666666668</v>
      </c>
      <c r="V177">
        <v>0.97777777777777775</v>
      </c>
      <c r="W177">
        <v>0.99182915506035285</v>
      </c>
      <c r="X177">
        <v>42.2</v>
      </c>
      <c r="Y177">
        <v>3698540.8</v>
      </c>
      <c r="Z177">
        <v>191779</v>
      </c>
      <c r="AA177">
        <v>2</v>
      </c>
      <c r="AB177">
        <v>291</v>
      </c>
      <c r="AD177">
        <f>Tabela3[[#This Row],[kan_params]]</f>
        <v>190667</v>
      </c>
      <c r="AE177">
        <f>Tabela3[[#This Row],[kan_train_acc]]</f>
        <v>0.10659238845109939</v>
      </c>
      <c r="AF177">
        <f>Tabela3[[#This Row],[kan_val_acc]]</f>
        <v>0.20074074268341063</v>
      </c>
      <c r="AG177">
        <f>Tabela3[[#This Row],[kan_test_acc]]</f>
        <v>0.11511110961437225</v>
      </c>
      <c r="AH177">
        <f>Tabela3[[#This Row],[mlp_test_acc]]</f>
        <v>0.97022222222222221</v>
      </c>
      <c r="AI177">
        <f>Tabela3[[#This Row],[mlp_val_acc]]</f>
        <v>0.97703703703703704</v>
      </c>
      <c r="AJ177">
        <f>Tabela3[[#This Row],[mlp_train_acc]]</f>
        <v>0.9905292479108635</v>
      </c>
    </row>
    <row r="178" spans="1:36" x14ac:dyDescent="0.25">
      <c r="A178" t="s">
        <v>71</v>
      </c>
      <c r="B178">
        <v>10</v>
      </c>
      <c r="C178">
        <v>3</v>
      </c>
      <c r="D178">
        <v>3</v>
      </c>
      <c r="E178">
        <v>0</v>
      </c>
      <c r="F178" t="s">
        <v>137</v>
      </c>
      <c r="G178">
        <v>192174</v>
      </c>
      <c r="H178">
        <v>128173310.2</v>
      </c>
      <c r="I178">
        <v>19.8</v>
      </c>
      <c r="J178">
        <v>0.10733519047498703</v>
      </c>
      <c r="K178">
        <v>0.22592592537403106</v>
      </c>
      <c r="L178">
        <v>0.11111110895872116</v>
      </c>
      <c r="M178">
        <v>0.97466666666666668</v>
      </c>
      <c r="N178">
        <v>0.97925925925925927</v>
      </c>
      <c r="O178">
        <v>0.99108635097493036</v>
      </c>
      <c r="P178">
        <v>40.4</v>
      </c>
      <c r="Q178">
        <v>5926523</v>
      </c>
      <c r="R178">
        <v>191779</v>
      </c>
      <c r="S178">
        <v>2</v>
      </c>
      <c r="T178">
        <v>291</v>
      </c>
      <c r="U178">
        <v>0.97333333333333338</v>
      </c>
      <c r="V178">
        <v>0.98</v>
      </c>
      <c r="W178">
        <v>0.99034354688950788</v>
      </c>
      <c r="X178">
        <v>40</v>
      </c>
      <c r="Y178">
        <v>3834886.2</v>
      </c>
      <c r="Z178">
        <v>193022</v>
      </c>
      <c r="AA178">
        <v>2</v>
      </c>
      <c r="AB178">
        <v>292</v>
      </c>
      <c r="AD178">
        <f>Tabela3[[#This Row],[kan_params]]</f>
        <v>192174</v>
      </c>
      <c r="AE178">
        <f>Tabela3[[#This Row],[kan_train_acc]]</f>
        <v>0.10733519047498703</v>
      </c>
      <c r="AF178">
        <f>Tabela3[[#This Row],[kan_val_acc]]</f>
        <v>0.22592592537403106</v>
      </c>
      <c r="AG178">
        <f>Tabela3[[#This Row],[kan_test_acc]]</f>
        <v>0.11111110895872116</v>
      </c>
      <c r="AH178">
        <f>Tabela3[[#This Row],[mlp_test_acc]]</f>
        <v>0.97466666666666668</v>
      </c>
      <c r="AI178">
        <f>Tabela3[[#This Row],[mlp_val_acc]]</f>
        <v>0.97925925925925927</v>
      </c>
      <c r="AJ178">
        <f>Tabela3[[#This Row],[mlp_train_acc]]</f>
        <v>0.99108635097493036</v>
      </c>
    </row>
    <row r="179" spans="1:36" x14ac:dyDescent="0.25">
      <c r="A179" t="s">
        <v>71</v>
      </c>
      <c r="B179">
        <v>8</v>
      </c>
      <c r="C179">
        <v>3</v>
      </c>
      <c r="D179">
        <v>2</v>
      </c>
      <c r="E179">
        <v>0</v>
      </c>
      <c r="F179" t="s">
        <v>143</v>
      </c>
      <c r="G179">
        <v>192294</v>
      </c>
      <c r="H179">
        <v>281344923.80000001</v>
      </c>
      <c r="I179">
        <v>38</v>
      </c>
      <c r="J179">
        <v>0.31067781299352648</v>
      </c>
      <c r="K179">
        <v>0.46222221255302431</v>
      </c>
      <c r="L179">
        <v>0.30488889515399931</v>
      </c>
      <c r="M179">
        <v>0.97466666666666668</v>
      </c>
      <c r="N179">
        <v>0.98148148148148151</v>
      </c>
      <c r="O179">
        <v>0.99275766016713085</v>
      </c>
      <c r="P179">
        <v>43.2</v>
      </c>
      <c r="Q179">
        <v>4694352.8</v>
      </c>
      <c r="R179">
        <v>191779</v>
      </c>
      <c r="S179">
        <v>2</v>
      </c>
      <c r="T179">
        <v>291</v>
      </c>
      <c r="U179">
        <v>0.97288888888888891</v>
      </c>
      <c r="V179">
        <v>0.98222222222222222</v>
      </c>
      <c r="W179">
        <v>0.99461467038068707</v>
      </c>
      <c r="X179">
        <v>50.2</v>
      </c>
      <c r="Y179">
        <v>9762091.4000000004</v>
      </c>
      <c r="Z179">
        <v>193022</v>
      </c>
      <c r="AA179">
        <v>2</v>
      </c>
      <c r="AB179">
        <v>292</v>
      </c>
      <c r="AD179">
        <f>Tabela3[[#This Row],[kan_params]]</f>
        <v>192294</v>
      </c>
      <c r="AE179">
        <f>Tabela3[[#This Row],[kan_train_acc]]</f>
        <v>0.31067781299352648</v>
      </c>
      <c r="AF179">
        <f>Tabela3[[#This Row],[kan_val_acc]]</f>
        <v>0.46222221255302431</v>
      </c>
      <c r="AG179">
        <f>Tabela3[[#This Row],[kan_test_acc]]</f>
        <v>0.30488889515399931</v>
      </c>
      <c r="AH179">
        <f>Tabela3[[#This Row],[mlp_test_acc]]</f>
        <v>0.97466666666666668</v>
      </c>
      <c r="AI179">
        <f>Tabela3[[#This Row],[mlp_val_acc]]</f>
        <v>0.98148148148148151</v>
      </c>
      <c r="AJ179">
        <f>Tabela3[[#This Row],[mlp_train_acc]]</f>
        <v>0.99275766016713085</v>
      </c>
    </row>
    <row r="180" spans="1:36" x14ac:dyDescent="0.25">
      <c r="A180" t="s">
        <v>71</v>
      </c>
      <c r="B180">
        <v>8</v>
      </c>
      <c r="C180">
        <v>3</v>
      </c>
      <c r="D180">
        <v>2</v>
      </c>
      <c r="E180">
        <v>0</v>
      </c>
      <c r="F180" t="s">
        <v>130</v>
      </c>
      <c r="G180">
        <v>192609</v>
      </c>
      <c r="H180">
        <v>329681647.80000001</v>
      </c>
      <c r="I180">
        <v>43.4</v>
      </c>
      <c r="J180">
        <v>0.18867223858833312</v>
      </c>
      <c r="K180">
        <v>0.35555555224418639</v>
      </c>
      <c r="L180">
        <v>0.19422222375869752</v>
      </c>
      <c r="M180">
        <v>0.97288888888888891</v>
      </c>
      <c r="N180">
        <v>0.98370370370370375</v>
      </c>
      <c r="O180">
        <v>0.99257195914577534</v>
      </c>
      <c r="P180">
        <v>46.2</v>
      </c>
      <c r="Q180">
        <v>5513676</v>
      </c>
      <c r="R180">
        <v>191779</v>
      </c>
      <c r="S180">
        <v>2</v>
      </c>
      <c r="T180">
        <v>291</v>
      </c>
      <c r="U180">
        <v>0.97377777777777774</v>
      </c>
      <c r="V180">
        <v>0.98296296296296293</v>
      </c>
      <c r="W180">
        <v>0.99145775301764161</v>
      </c>
      <c r="X180">
        <v>45.8</v>
      </c>
      <c r="Y180">
        <v>6472735</v>
      </c>
      <c r="Z180">
        <v>193022</v>
      </c>
      <c r="AA180">
        <v>2</v>
      </c>
      <c r="AB180">
        <v>292</v>
      </c>
      <c r="AD180">
        <f>Tabela3[[#This Row],[kan_params]]</f>
        <v>192609</v>
      </c>
      <c r="AE180">
        <f>Tabela3[[#This Row],[kan_train_acc]]</f>
        <v>0.18867223858833312</v>
      </c>
      <c r="AF180">
        <f>Tabela3[[#This Row],[kan_val_acc]]</f>
        <v>0.35555555224418639</v>
      </c>
      <c r="AG180">
        <f>Tabela3[[#This Row],[kan_test_acc]]</f>
        <v>0.19422222375869752</v>
      </c>
      <c r="AH180">
        <f>Tabela3[[#This Row],[mlp_test_acc]]</f>
        <v>0.97288888888888891</v>
      </c>
      <c r="AI180">
        <f>Tabela3[[#This Row],[mlp_val_acc]]</f>
        <v>0.98370370370370375</v>
      </c>
      <c r="AJ180">
        <f>Tabela3[[#This Row],[mlp_train_acc]]</f>
        <v>0.99257195914577534</v>
      </c>
    </row>
    <row r="181" spans="1:36" x14ac:dyDescent="0.25">
      <c r="A181" t="s">
        <v>71</v>
      </c>
      <c r="B181">
        <v>10</v>
      </c>
      <c r="C181">
        <v>3</v>
      </c>
      <c r="D181">
        <v>3</v>
      </c>
      <c r="E181">
        <v>0</v>
      </c>
      <c r="F181" t="s">
        <v>124</v>
      </c>
      <c r="G181">
        <v>193361</v>
      </c>
      <c r="H181">
        <v>172312177.80000001</v>
      </c>
      <c r="I181">
        <v>28.6</v>
      </c>
      <c r="J181">
        <v>8.8393686711788183E-2</v>
      </c>
      <c r="K181">
        <v>0.23185185790061952</v>
      </c>
      <c r="L181">
        <v>9.8666667193174365E-2</v>
      </c>
      <c r="M181">
        <v>0.96399999999999997</v>
      </c>
      <c r="N181">
        <v>0.97333333333333327</v>
      </c>
      <c r="O181">
        <v>0.99015784586815225</v>
      </c>
      <c r="P181">
        <v>43.4</v>
      </c>
      <c r="Q181">
        <v>5980914.5999999996</v>
      </c>
      <c r="R181">
        <v>193022</v>
      </c>
      <c r="S181">
        <v>2</v>
      </c>
      <c r="T181">
        <v>292</v>
      </c>
      <c r="U181">
        <v>0.96133333333333326</v>
      </c>
      <c r="V181">
        <v>0.97629629629629633</v>
      </c>
      <c r="W181">
        <v>0.99331476323119783</v>
      </c>
      <c r="X181">
        <v>52.6</v>
      </c>
      <c r="Y181">
        <v>10421366.4</v>
      </c>
      <c r="Z181">
        <v>194269</v>
      </c>
      <c r="AA181">
        <v>2</v>
      </c>
      <c r="AB181">
        <v>293</v>
      </c>
      <c r="AD181">
        <f>Tabela3[[#This Row],[kan_params]]</f>
        <v>193361</v>
      </c>
      <c r="AE181">
        <f>Tabela3[[#This Row],[kan_train_acc]]</f>
        <v>8.8393686711788183E-2</v>
      </c>
      <c r="AF181">
        <f>Tabela3[[#This Row],[kan_val_acc]]</f>
        <v>0.23185185790061952</v>
      </c>
      <c r="AG181">
        <f>Tabela3[[#This Row],[kan_test_acc]]</f>
        <v>9.8666667193174365E-2</v>
      </c>
      <c r="AH181">
        <f>Tabela3[[#This Row],[mlp_test_acc]]</f>
        <v>0.96399999999999997</v>
      </c>
      <c r="AI181">
        <f>Tabela3[[#This Row],[mlp_val_acc]]</f>
        <v>0.97333333333333327</v>
      </c>
      <c r="AJ181">
        <f>Tabela3[[#This Row],[mlp_train_acc]]</f>
        <v>0.99015784586815225</v>
      </c>
    </row>
    <row r="182" spans="1:36" x14ac:dyDescent="0.25">
      <c r="A182" t="s">
        <v>71</v>
      </c>
      <c r="B182">
        <v>10</v>
      </c>
      <c r="C182">
        <v>3</v>
      </c>
      <c r="D182">
        <v>3</v>
      </c>
      <c r="E182">
        <v>0</v>
      </c>
      <c r="F182" t="s">
        <v>96</v>
      </c>
      <c r="G182">
        <v>194228</v>
      </c>
      <c r="H182">
        <v>132096454.59999999</v>
      </c>
      <c r="I182">
        <v>23.2</v>
      </c>
      <c r="J182">
        <v>0.10324976891279221</v>
      </c>
      <c r="K182">
        <v>0.18148148059844971</v>
      </c>
      <c r="L182">
        <v>0.1097777783870697</v>
      </c>
      <c r="M182">
        <v>0.96666666666666667</v>
      </c>
      <c r="N182">
        <v>0.97259259259259256</v>
      </c>
      <c r="O182">
        <v>0.99257195914577534</v>
      </c>
      <c r="P182">
        <v>45.2</v>
      </c>
      <c r="Q182">
        <v>5325921.5999999996</v>
      </c>
      <c r="R182">
        <v>193022</v>
      </c>
      <c r="S182">
        <v>2</v>
      </c>
      <c r="T182">
        <v>292</v>
      </c>
      <c r="U182">
        <v>0.9635555555555555</v>
      </c>
      <c r="V182">
        <v>0.9748148148148148</v>
      </c>
      <c r="W182">
        <v>0.9931290622098421</v>
      </c>
      <c r="X182">
        <v>48.2</v>
      </c>
      <c r="Y182">
        <v>5600445.4000000004</v>
      </c>
      <c r="Z182">
        <v>194269</v>
      </c>
      <c r="AA182">
        <v>2</v>
      </c>
      <c r="AB182">
        <v>293</v>
      </c>
      <c r="AD182">
        <f>Tabela3[[#This Row],[kan_params]]</f>
        <v>194228</v>
      </c>
      <c r="AE182">
        <f>Tabela3[[#This Row],[kan_train_acc]]</f>
        <v>0.10324976891279221</v>
      </c>
      <c r="AF182">
        <f>Tabela3[[#This Row],[kan_val_acc]]</f>
        <v>0.18148148059844971</v>
      </c>
      <c r="AG182">
        <f>Tabela3[[#This Row],[kan_test_acc]]</f>
        <v>0.1097777783870697</v>
      </c>
      <c r="AH182">
        <f>Tabela3[[#This Row],[mlp_test_acc]]</f>
        <v>0.96666666666666667</v>
      </c>
      <c r="AI182">
        <f>Tabela3[[#This Row],[mlp_val_acc]]</f>
        <v>0.97259259259259256</v>
      </c>
      <c r="AJ182">
        <f>Tabela3[[#This Row],[mlp_train_acc]]</f>
        <v>0.99257195914577534</v>
      </c>
    </row>
    <row r="183" spans="1:36" x14ac:dyDescent="0.25">
      <c r="A183" t="s">
        <v>71</v>
      </c>
      <c r="B183">
        <v>16</v>
      </c>
      <c r="C183">
        <v>9</v>
      </c>
      <c r="D183">
        <v>3</v>
      </c>
      <c r="E183">
        <v>0</v>
      </c>
      <c r="F183" t="s">
        <v>88</v>
      </c>
      <c r="G183">
        <v>194442</v>
      </c>
      <c r="H183">
        <v>189678694.19999999</v>
      </c>
      <c r="I183">
        <v>33.200000000000003</v>
      </c>
      <c r="J183">
        <v>0.12739090025424957</v>
      </c>
      <c r="K183">
        <v>0.25703703463077543</v>
      </c>
      <c r="L183">
        <v>0.10444444417953491</v>
      </c>
      <c r="M183">
        <v>0.96311111111111114</v>
      </c>
      <c r="N183">
        <v>0.96074074074074078</v>
      </c>
      <c r="O183">
        <v>0.9922005571030641</v>
      </c>
      <c r="P183">
        <v>47</v>
      </c>
      <c r="Q183">
        <v>4898677.2</v>
      </c>
      <c r="R183">
        <v>194269</v>
      </c>
      <c r="S183">
        <v>2</v>
      </c>
      <c r="T183">
        <v>293</v>
      </c>
      <c r="U183">
        <v>0.9662222222222222</v>
      </c>
      <c r="V183">
        <v>0.96074074074074078</v>
      </c>
      <c r="W183">
        <v>0.99034354688950788</v>
      </c>
      <c r="X183">
        <v>43.8</v>
      </c>
      <c r="Y183">
        <v>3355942.4</v>
      </c>
      <c r="Z183">
        <v>195520</v>
      </c>
      <c r="AA183">
        <v>2</v>
      </c>
      <c r="AB183">
        <v>294</v>
      </c>
      <c r="AD183">
        <f>Tabela3[[#This Row],[kan_params]]</f>
        <v>194442</v>
      </c>
      <c r="AE183">
        <f>Tabela3[[#This Row],[kan_train_acc]]</f>
        <v>0.12739090025424957</v>
      </c>
      <c r="AF183">
        <f>Tabela3[[#This Row],[kan_val_acc]]</f>
        <v>0.25703703463077543</v>
      </c>
      <c r="AG183">
        <f>Tabela3[[#This Row],[kan_test_acc]]</f>
        <v>0.10444444417953491</v>
      </c>
      <c r="AH183">
        <f>Tabela3[[#This Row],[mlp_test_acc]]</f>
        <v>0.96311111111111114</v>
      </c>
      <c r="AI183">
        <f>Tabela3[[#This Row],[mlp_val_acc]]</f>
        <v>0.96074074074074078</v>
      </c>
      <c r="AJ183">
        <f>Tabela3[[#This Row],[mlp_train_acc]]</f>
        <v>0.9922005571030641</v>
      </c>
    </row>
    <row r="184" spans="1:36" x14ac:dyDescent="0.25">
      <c r="A184" t="s">
        <v>71</v>
      </c>
      <c r="B184">
        <v>12</v>
      </c>
      <c r="C184">
        <v>3</v>
      </c>
      <c r="D184">
        <v>4</v>
      </c>
      <c r="E184">
        <v>0</v>
      </c>
      <c r="F184" t="s">
        <v>105</v>
      </c>
      <c r="G184">
        <v>194487</v>
      </c>
      <c r="H184">
        <v>69196118.400000006</v>
      </c>
      <c r="I184">
        <v>12</v>
      </c>
      <c r="J184">
        <v>9.3593315035104749E-2</v>
      </c>
      <c r="K184">
        <v>0.21111111342906952</v>
      </c>
      <c r="L184">
        <v>9.066666588187218E-2</v>
      </c>
      <c r="M184">
        <v>0.97333333333333338</v>
      </c>
      <c r="N184">
        <v>0.98148148148148151</v>
      </c>
      <c r="O184">
        <v>0.98978644382544101</v>
      </c>
      <c r="P184">
        <v>40</v>
      </c>
      <c r="Q184">
        <v>5068908.5999999996</v>
      </c>
      <c r="R184">
        <v>194269</v>
      </c>
      <c r="S184">
        <v>2</v>
      </c>
      <c r="T184">
        <v>293</v>
      </c>
      <c r="U184">
        <v>0.97111111111111115</v>
      </c>
      <c r="V184">
        <v>0.98148148148148151</v>
      </c>
      <c r="W184">
        <v>0.99257195914577534</v>
      </c>
      <c r="X184">
        <v>44</v>
      </c>
      <c r="Y184">
        <v>5568830.5999999996</v>
      </c>
      <c r="Z184">
        <v>195520</v>
      </c>
      <c r="AA184">
        <v>2</v>
      </c>
      <c r="AB184">
        <v>294</v>
      </c>
      <c r="AD184">
        <f>Tabela3[[#This Row],[kan_params]]</f>
        <v>194487</v>
      </c>
      <c r="AE184">
        <f>Tabela3[[#This Row],[kan_train_acc]]</f>
        <v>9.3593315035104749E-2</v>
      </c>
      <c r="AF184">
        <f>Tabela3[[#This Row],[kan_val_acc]]</f>
        <v>0.21111111342906952</v>
      </c>
      <c r="AG184">
        <f>Tabela3[[#This Row],[kan_test_acc]]</f>
        <v>9.066666588187218E-2</v>
      </c>
      <c r="AH184">
        <f>Tabela3[[#This Row],[mlp_test_acc]]</f>
        <v>0.97333333333333338</v>
      </c>
      <c r="AI184">
        <f>Tabela3[[#This Row],[mlp_val_acc]]</f>
        <v>0.98148148148148151</v>
      </c>
      <c r="AJ184">
        <f>Tabela3[[#This Row],[mlp_train_acc]]</f>
        <v>0.98978644382544101</v>
      </c>
    </row>
    <row r="185" spans="1:36" x14ac:dyDescent="0.25">
      <c r="A185" t="s">
        <v>71</v>
      </c>
      <c r="B185">
        <v>10</v>
      </c>
      <c r="C185">
        <v>3</v>
      </c>
      <c r="D185">
        <v>3</v>
      </c>
      <c r="E185">
        <v>0</v>
      </c>
      <c r="F185" t="s">
        <v>83</v>
      </c>
      <c r="G185">
        <v>194775</v>
      </c>
      <c r="H185">
        <v>145852296.40000001</v>
      </c>
      <c r="I185">
        <v>24.6</v>
      </c>
      <c r="J185">
        <v>9.3964718282222748E-2</v>
      </c>
      <c r="K185">
        <v>0.19851851761341094</v>
      </c>
      <c r="L185">
        <v>8.8888889551162725E-2</v>
      </c>
      <c r="M185">
        <v>0.9622222222222222</v>
      </c>
      <c r="N185">
        <v>0.97555555555555551</v>
      </c>
      <c r="O185">
        <v>0.99201485608170847</v>
      </c>
      <c r="P185">
        <v>45.2</v>
      </c>
      <c r="Q185">
        <v>3744501.2</v>
      </c>
      <c r="R185">
        <v>194269</v>
      </c>
      <c r="S185">
        <v>2</v>
      </c>
      <c r="T185">
        <v>293</v>
      </c>
      <c r="U185">
        <v>0.95866666666666667</v>
      </c>
      <c r="V185">
        <v>0.9748148148148148</v>
      </c>
      <c r="W185">
        <v>0.99090064995357474</v>
      </c>
      <c r="X185">
        <v>45.4</v>
      </c>
      <c r="Y185">
        <v>5842110.2000000002</v>
      </c>
      <c r="Z185">
        <v>195520</v>
      </c>
      <c r="AA185">
        <v>2</v>
      </c>
      <c r="AB185">
        <v>294</v>
      </c>
      <c r="AD185">
        <f>Tabela3[[#This Row],[kan_params]]</f>
        <v>194775</v>
      </c>
      <c r="AE185">
        <f>Tabela3[[#This Row],[kan_train_acc]]</f>
        <v>9.3964718282222748E-2</v>
      </c>
      <c r="AF185">
        <f>Tabela3[[#This Row],[kan_val_acc]]</f>
        <v>0.19851851761341094</v>
      </c>
      <c r="AG185">
        <f>Tabela3[[#This Row],[kan_test_acc]]</f>
        <v>8.8888889551162725E-2</v>
      </c>
      <c r="AH185">
        <f>Tabela3[[#This Row],[mlp_test_acc]]</f>
        <v>0.9622222222222222</v>
      </c>
      <c r="AI185">
        <f>Tabela3[[#This Row],[mlp_val_acc]]</f>
        <v>0.97555555555555551</v>
      </c>
      <c r="AJ185">
        <f>Tabela3[[#This Row],[mlp_train_acc]]</f>
        <v>0.99201485608170847</v>
      </c>
    </row>
    <row r="186" spans="1:36" x14ac:dyDescent="0.25">
      <c r="A186" t="s">
        <v>71</v>
      </c>
      <c r="B186">
        <v>12</v>
      </c>
      <c r="C186">
        <v>3</v>
      </c>
      <c r="D186">
        <v>4</v>
      </c>
      <c r="E186">
        <v>0</v>
      </c>
      <c r="F186" t="s">
        <v>92</v>
      </c>
      <c r="G186">
        <v>196086</v>
      </c>
      <c r="H186">
        <v>99354413.599999994</v>
      </c>
      <c r="I186">
        <v>18</v>
      </c>
      <c r="J186">
        <v>0.11494893282651901</v>
      </c>
      <c r="K186">
        <v>0.1770370364189148</v>
      </c>
      <c r="L186">
        <v>0.12622222304344177</v>
      </c>
      <c r="M186">
        <v>0.97377777777777774</v>
      </c>
      <c r="N186">
        <v>0.97925925925925927</v>
      </c>
      <c r="O186">
        <v>0.99127205199628599</v>
      </c>
      <c r="P186">
        <v>44</v>
      </c>
      <c r="Q186">
        <v>4551925</v>
      </c>
      <c r="R186">
        <v>195520</v>
      </c>
      <c r="S186">
        <v>2</v>
      </c>
      <c r="T186">
        <v>294</v>
      </c>
      <c r="U186">
        <v>0.97199999999999998</v>
      </c>
      <c r="V186">
        <v>0.97925925925925927</v>
      </c>
      <c r="W186">
        <v>0.99034354688950788</v>
      </c>
      <c r="X186">
        <v>43.8</v>
      </c>
      <c r="Y186">
        <v>5441999.5999999996</v>
      </c>
      <c r="Z186">
        <v>196775</v>
      </c>
      <c r="AA186">
        <v>2</v>
      </c>
      <c r="AB186">
        <v>295</v>
      </c>
      <c r="AD186">
        <f>Tabela3[[#This Row],[kan_params]]</f>
        <v>196086</v>
      </c>
      <c r="AE186">
        <f>Tabela3[[#This Row],[kan_train_acc]]</f>
        <v>0.11494893282651901</v>
      </c>
      <c r="AF186">
        <f>Tabela3[[#This Row],[kan_val_acc]]</f>
        <v>0.1770370364189148</v>
      </c>
      <c r="AG186">
        <f>Tabela3[[#This Row],[kan_test_acc]]</f>
        <v>0.12622222304344177</v>
      </c>
      <c r="AH186">
        <f>Tabela3[[#This Row],[mlp_test_acc]]</f>
        <v>0.97377777777777774</v>
      </c>
      <c r="AI186">
        <f>Tabela3[[#This Row],[mlp_val_acc]]</f>
        <v>0.97925925925925927</v>
      </c>
      <c r="AJ186">
        <f>Tabela3[[#This Row],[mlp_train_acc]]</f>
        <v>0.99127205199628599</v>
      </c>
    </row>
    <row r="187" spans="1:36" x14ac:dyDescent="0.25">
      <c r="A187" t="s">
        <v>71</v>
      </c>
      <c r="B187">
        <v>10</v>
      </c>
      <c r="C187">
        <v>3</v>
      </c>
      <c r="D187">
        <v>3</v>
      </c>
      <c r="E187">
        <v>0</v>
      </c>
      <c r="F187" t="s">
        <v>151</v>
      </c>
      <c r="G187">
        <v>197232</v>
      </c>
      <c r="H187">
        <v>137136771.59999999</v>
      </c>
      <c r="I187">
        <v>20.6</v>
      </c>
      <c r="J187">
        <v>0.11309192329645157</v>
      </c>
      <c r="K187">
        <v>0.1874074086546898</v>
      </c>
      <c r="L187">
        <v>0.10088888853788376</v>
      </c>
      <c r="M187">
        <v>0.97244444444444444</v>
      </c>
      <c r="N187">
        <v>0.98148148148148151</v>
      </c>
      <c r="O187">
        <v>0.99145775301764161</v>
      </c>
      <c r="P187">
        <v>41.6</v>
      </c>
      <c r="Q187">
        <v>4080559.2</v>
      </c>
      <c r="R187">
        <v>196775</v>
      </c>
      <c r="S187">
        <v>2</v>
      </c>
      <c r="T187">
        <v>295</v>
      </c>
      <c r="U187">
        <v>0.97377777777777774</v>
      </c>
      <c r="V187">
        <v>0.97925925925925927</v>
      </c>
      <c r="W187">
        <v>0.99164345403899723</v>
      </c>
      <c r="X187">
        <v>43.4</v>
      </c>
      <c r="Y187">
        <v>4690213.4000000004</v>
      </c>
      <c r="Z187">
        <v>198034</v>
      </c>
      <c r="AA187">
        <v>2</v>
      </c>
      <c r="AB187">
        <v>296</v>
      </c>
      <c r="AD187">
        <f>Tabela3[[#This Row],[kan_params]]</f>
        <v>197232</v>
      </c>
      <c r="AE187">
        <f>Tabela3[[#This Row],[kan_train_acc]]</f>
        <v>0.11309192329645157</v>
      </c>
      <c r="AF187">
        <f>Tabela3[[#This Row],[kan_val_acc]]</f>
        <v>0.1874074086546898</v>
      </c>
      <c r="AG187">
        <f>Tabela3[[#This Row],[kan_test_acc]]</f>
        <v>0.10088888853788376</v>
      </c>
      <c r="AH187">
        <f>Tabela3[[#This Row],[mlp_test_acc]]</f>
        <v>0.97244444444444444</v>
      </c>
      <c r="AI187">
        <f>Tabela3[[#This Row],[mlp_val_acc]]</f>
        <v>0.98148148148148151</v>
      </c>
      <c r="AJ187">
        <f>Tabela3[[#This Row],[mlp_train_acc]]</f>
        <v>0.99145775301764161</v>
      </c>
    </row>
    <row r="188" spans="1:36" x14ac:dyDescent="0.25">
      <c r="A188" t="s">
        <v>71</v>
      </c>
      <c r="B188">
        <v>8</v>
      </c>
      <c r="C188">
        <v>3</v>
      </c>
      <c r="D188">
        <v>2</v>
      </c>
      <c r="E188">
        <v>0</v>
      </c>
      <c r="F188" t="s">
        <v>144</v>
      </c>
      <c r="G188">
        <v>197629</v>
      </c>
      <c r="H188">
        <v>281610644.19999999</v>
      </c>
      <c r="I188">
        <v>33.200000000000003</v>
      </c>
      <c r="J188">
        <v>0.21708449274301528</v>
      </c>
      <c r="K188">
        <v>0.36148148179054262</v>
      </c>
      <c r="L188">
        <v>0.23288889229297638</v>
      </c>
      <c r="M188">
        <v>0.97288888888888891</v>
      </c>
      <c r="N188">
        <v>0.97925925925925927</v>
      </c>
      <c r="O188">
        <v>0.99145775301764161</v>
      </c>
      <c r="P188">
        <v>43.2</v>
      </c>
      <c r="Q188">
        <v>6801505.7999999998</v>
      </c>
      <c r="R188">
        <v>196775</v>
      </c>
      <c r="S188">
        <v>2</v>
      </c>
      <c r="T188">
        <v>295</v>
      </c>
      <c r="U188">
        <v>0.97466666666666668</v>
      </c>
      <c r="V188">
        <v>0.98222222222222222</v>
      </c>
      <c r="W188">
        <v>0.99108635097493036</v>
      </c>
      <c r="X188">
        <v>42.2</v>
      </c>
      <c r="Y188">
        <v>6766094</v>
      </c>
      <c r="Z188">
        <v>198034</v>
      </c>
      <c r="AA188">
        <v>2</v>
      </c>
      <c r="AB188">
        <v>296</v>
      </c>
      <c r="AD188">
        <f>Tabela3[[#This Row],[kan_params]]</f>
        <v>197629</v>
      </c>
      <c r="AE188">
        <f>Tabela3[[#This Row],[kan_train_acc]]</f>
        <v>0.21708449274301528</v>
      </c>
      <c r="AF188">
        <f>Tabela3[[#This Row],[kan_val_acc]]</f>
        <v>0.36148148179054262</v>
      </c>
      <c r="AG188">
        <f>Tabela3[[#This Row],[kan_test_acc]]</f>
        <v>0.23288889229297638</v>
      </c>
      <c r="AH188">
        <f>Tabela3[[#This Row],[mlp_test_acc]]</f>
        <v>0.97288888888888891</v>
      </c>
      <c r="AI188">
        <f>Tabela3[[#This Row],[mlp_val_acc]]</f>
        <v>0.97925925925925927</v>
      </c>
      <c r="AJ188">
        <f>Tabela3[[#This Row],[mlp_train_acc]]</f>
        <v>0.99145775301764161</v>
      </c>
    </row>
    <row r="189" spans="1:36" x14ac:dyDescent="0.25">
      <c r="A189" t="s">
        <v>71</v>
      </c>
      <c r="B189">
        <v>10</v>
      </c>
      <c r="C189">
        <v>3</v>
      </c>
      <c r="D189">
        <v>3</v>
      </c>
      <c r="E189">
        <v>0</v>
      </c>
      <c r="F189" t="s">
        <v>138</v>
      </c>
      <c r="G189">
        <v>198579</v>
      </c>
      <c r="H189">
        <v>192751252</v>
      </c>
      <c r="I189">
        <v>29</v>
      </c>
      <c r="J189">
        <v>9.9535749107599256E-2</v>
      </c>
      <c r="K189">
        <v>0.2155555546283722</v>
      </c>
      <c r="L189">
        <v>0.10133333168923855</v>
      </c>
      <c r="M189">
        <v>0.97111111111111115</v>
      </c>
      <c r="N189">
        <v>0.98296296296296293</v>
      </c>
      <c r="O189">
        <v>0.99090064995357474</v>
      </c>
      <c r="P189">
        <v>40.200000000000003</v>
      </c>
      <c r="Q189">
        <v>3995780.6</v>
      </c>
      <c r="R189">
        <v>198034</v>
      </c>
      <c r="S189">
        <v>2</v>
      </c>
      <c r="T189">
        <v>296</v>
      </c>
      <c r="U189">
        <v>0.97244444444444444</v>
      </c>
      <c r="V189">
        <v>0.98370370370370375</v>
      </c>
      <c r="W189">
        <v>0.99127205199628599</v>
      </c>
      <c r="X189">
        <v>41.6</v>
      </c>
      <c r="Y189">
        <v>3655372</v>
      </c>
      <c r="Z189">
        <v>199297</v>
      </c>
      <c r="AA189">
        <v>2</v>
      </c>
      <c r="AB189">
        <v>297</v>
      </c>
      <c r="AD189">
        <f>Tabela3[[#This Row],[kan_params]]</f>
        <v>198579</v>
      </c>
      <c r="AE189">
        <f>Tabela3[[#This Row],[kan_train_acc]]</f>
        <v>9.9535749107599256E-2</v>
      </c>
      <c r="AF189">
        <f>Tabela3[[#This Row],[kan_val_acc]]</f>
        <v>0.2155555546283722</v>
      </c>
      <c r="AG189">
        <f>Tabela3[[#This Row],[kan_test_acc]]</f>
        <v>0.10133333168923855</v>
      </c>
      <c r="AH189">
        <f>Tabela3[[#This Row],[mlp_test_acc]]</f>
        <v>0.97111111111111115</v>
      </c>
      <c r="AI189">
        <f>Tabela3[[#This Row],[mlp_val_acc]]</f>
        <v>0.98296296296296293</v>
      </c>
      <c r="AJ189">
        <f>Tabela3[[#This Row],[mlp_train_acc]]</f>
        <v>0.99090064995357474</v>
      </c>
    </row>
    <row r="190" spans="1:36" x14ac:dyDescent="0.25">
      <c r="A190" t="s">
        <v>71</v>
      </c>
      <c r="B190">
        <v>10</v>
      </c>
      <c r="C190">
        <v>3</v>
      </c>
      <c r="D190">
        <v>3</v>
      </c>
      <c r="E190">
        <v>0</v>
      </c>
      <c r="F190" t="s">
        <v>111</v>
      </c>
      <c r="G190">
        <v>199606</v>
      </c>
      <c r="H190">
        <v>81204531</v>
      </c>
      <c r="I190">
        <v>12</v>
      </c>
      <c r="J190">
        <v>0.11309192180633545</v>
      </c>
      <c r="K190">
        <v>0.21481481194496155</v>
      </c>
      <c r="L190">
        <v>0.11244444251060486</v>
      </c>
      <c r="M190">
        <v>0.96444444444444444</v>
      </c>
      <c r="N190">
        <v>0.97407407407407409</v>
      </c>
      <c r="O190">
        <v>0.99350046425255334</v>
      </c>
      <c r="P190">
        <v>43</v>
      </c>
      <c r="Q190">
        <v>7029754.5999999996</v>
      </c>
      <c r="R190">
        <v>199297</v>
      </c>
      <c r="S190">
        <v>2</v>
      </c>
      <c r="T190">
        <v>297</v>
      </c>
      <c r="U190">
        <v>0.96</v>
      </c>
      <c r="V190">
        <v>0.97777777777777775</v>
      </c>
      <c r="W190">
        <v>0.99350046425255334</v>
      </c>
      <c r="X190">
        <v>50</v>
      </c>
      <c r="Y190">
        <v>7080044.2000000002</v>
      </c>
      <c r="Z190">
        <v>200564</v>
      </c>
      <c r="AA190">
        <v>2</v>
      </c>
      <c r="AB190">
        <v>298</v>
      </c>
      <c r="AD190">
        <f>Tabela3[[#This Row],[kan_params]]</f>
        <v>199606</v>
      </c>
      <c r="AE190">
        <f>Tabela3[[#This Row],[kan_train_acc]]</f>
        <v>0.11309192180633545</v>
      </c>
      <c r="AF190">
        <f>Tabela3[[#This Row],[kan_val_acc]]</f>
        <v>0.21481481194496155</v>
      </c>
      <c r="AG190">
        <f>Tabela3[[#This Row],[kan_test_acc]]</f>
        <v>0.11244444251060486</v>
      </c>
      <c r="AH190">
        <f>Tabela3[[#This Row],[mlp_test_acc]]</f>
        <v>0.96444444444444444</v>
      </c>
      <c r="AI190">
        <f>Tabela3[[#This Row],[mlp_val_acc]]</f>
        <v>0.97407407407407409</v>
      </c>
      <c r="AJ190">
        <f>Tabela3[[#This Row],[mlp_train_acc]]</f>
        <v>0.99350046425255334</v>
      </c>
    </row>
    <row r="191" spans="1:36" x14ac:dyDescent="0.25">
      <c r="A191" t="s">
        <v>71</v>
      </c>
      <c r="B191">
        <v>18</v>
      </c>
      <c r="C191">
        <v>9</v>
      </c>
      <c r="D191">
        <v>4</v>
      </c>
      <c r="E191">
        <v>0</v>
      </c>
      <c r="F191" t="s">
        <v>73</v>
      </c>
      <c r="G191">
        <v>199918</v>
      </c>
      <c r="H191">
        <v>85712934.400000006</v>
      </c>
      <c r="I191">
        <v>18.8</v>
      </c>
      <c r="J191">
        <v>0.18458681106567382</v>
      </c>
      <c r="K191">
        <v>0.28814814686775209</v>
      </c>
      <c r="L191">
        <v>0.17955555319786071</v>
      </c>
      <c r="M191">
        <v>0.97777777777777775</v>
      </c>
      <c r="N191">
        <v>0.97851851851851845</v>
      </c>
      <c r="O191">
        <v>0.99257195914577534</v>
      </c>
      <c r="P191">
        <v>48.4</v>
      </c>
      <c r="Q191">
        <v>5319526.4000000004</v>
      </c>
      <c r="R191">
        <v>199297</v>
      </c>
      <c r="S191">
        <v>2</v>
      </c>
      <c r="T191">
        <v>297</v>
      </c>
      <c r="U191">
        <v>0.97155555555555562</v>
      </c>
      <c r="V191">
        <v>0.9748148148148148</v>
      </c>
      <c r="W191">
        <v>0.9922005571030641</v>
      </c>
      <c r="X191">
        <v>44.2</v>
      </c>
      <c r="Y191">
        <v>5619643</v>
      </c>
      <c r="Z191">
        <v>200564</v>
      </c>
      <c r="AA191">
        <v>2</v>
      </c>
      <c r="AB191">
        <v>298</v>
      </c>
      <c r="AD191">
        <f>Tabela3[[#This Row],[kan_params]]</f>
        <v>199918</v>
      </c>
      <c r="AE191">
        <f>Tabela3[[#This Row],[kan_train_acc]]</f>
        <v>0.18458681106567382</v>
      </c>
      <c r="AF191">
        <f>Tabela3[[#This Row],[kan_val_acc]]</f>
        <v>0.28814814686775209</v>
      </c>
      <c r="AG191">
        <f>Tabela3[[#This Row],[kan_test_acc]]</f>
        <v>0.17955555319786071</v>
      </c>
      <c r="AH191">
        <f>Tabela3[[#This Row],[mlp_test_acc]]</f>
        <v>0.97777777777777775</v>
      </c>
      <c r="AI191">
        <f>Tabela3[[#This Row],[mlp_val_acc]]</f>
        <v>0.97851851851851845</v>
      </c>
      <c r="AJ191">
        <f>Tabela3[[#This Row],[mlp_train_acc]]</f>
        <v>0.99257195914577534</v>
      </c>
    </row>
    <row r="192" spans="1:36" x14ac:dyDescent="0.25">
      <c r="A192" t="s">
        <v>71</v>
      </c>
      <c r="B192">
        <v>16</v>
      </c>
      <c r="C192">
        <v>9</v>
      </c>
      <c r="D192">
        <v>3</v>
      </c>
      <c r="E192">
        <v>0</v>
      </c>
      <c r="F192" t="s">
        <v>102</v>
      </c>
      <c r="G192">
        <v>200076</v>
      </c>
      <c r="H192">
        <v>101924424.2</v>
      </c>
      <c r="I192">
        <v>17.8</v>
      </c>
      <c r="J192">
        <v>0.11829155236482621</v>
      </c>
      <c r="K192">
        <v>0.25703704059123994</v>
      </c>
      <c r="L192">
        <v>0.11911111176013947</v>
      </c>
      <c r="M192">
        <v>0.96044444444444443</v>
      </c>
      <c r="N192">
        <v>0.95925925925925926</v>
      </c>
      <c r="O192">
        <v>0.99257195914577534</v>
      </c>
      <c r="P192">
        <v>45.2</v>
      </c>
      <c r="Q192">
        <v>4966439.5999999996</v>
      </c>
      <c r="R192">
        <v>199297</v>
      </c>
      <c r="S192">
        <v>2</v>
      </c>
      <c r="T192">
        <v>297</v>
      </c>
      <c r="U192">
        <v>0.96399999999999997</v>
      </c>
      <c r="V192">
        <v>0.95925925925925926</v>
      </c>
      <c r="W192">
        <v>0.98718662952646241</v>
      </c>
      <c r="X192">
        <v>38.200000000000003</v>
      </c>
      <c r="Y192">
        <v>3393176</v>
      </c>
      <c r="Z192">
        <v>200564</v>
      </c>
      <c r="AA192">
        <v>2</v>
      </c>
      <c r="AB192">
        <v>298</v>
      </c>
      <c r="AD192">
        <f>Tabela3[[#This Row],[kan_params]]</f>
        <v>200076</v>
      </c>
      <c r="AE192">
        <f>Tabela3[[#This Row],[kan_train_acc]]</f>
        <v>0.11829155236482621</v>
      </c>
      <c r="AF192">
        <f>Tabela3[[#This Row],[kan_val_acc]]</f>
        <v>0.25703704059123994</v>
      </c>
      <c r="AG192">
        <f>Tabela3[[#This Row],[kan_test_acc]]</f>
        <v>0.11911111176013947</v>
      </c>
      <c r="AH192">
        <f>Tabela3[[#This Row],[mlp_test_acc]]</f>
        <v>0.96044444444444443</v>
      </c>
      <c r="AI192">
        <f>Tabela3[[#This Row],[mlp_val_acc]]</f>
        <v>0.95925925925925926</v>
      </c>
      <c r="AJ192">
        <f>Tabela3[[#This Row],[mlp_train_acc]]</f>
        <v>0.99257195914577534</v>
      </c>
    </row>
    <row r="193" spans="1:36" x14ac:dyDescent="0.25">
      <c r="A193" t="s">
        <v>71</v>
      </c>
      <c r="B193">
        <v>10</v>
      </c>
      <c r="C193">
        <v>3</v>
      </c>
      <c r="D193">
        <v>3</v>
      </c>
      <c r="E193">
        <v>0</v>
      </c>
      <c r="F193" t="s">
        <v>97</v>
      </c>
      <c r="G193">
        <v>200313</v>
      </c>
      <c r="H193">
        <v>158800145.19999999</v>
      </c>
      <c r="I193">
        <v>26.6</v>
      </c>
      <c r="J193">
        <v>0.1277623012661934</v>
      </c>
      <c r="K193">
        <v>0.2392592579126358</v>
      </c>
      <c r="L193">
        <v>0.13066666871309279</v>
      </c>
      <c r="M193">
        <v>0.96044444444444443</v>
      </c>
      <c r="N193">
        <v>0.97777777777777775</v>
      </c>
      <c r="O193">
        <v>0.99238625812441972</v>
      </c>
      <c r="P193">
        <v>46.2</v>
      </c>
      <c r="Q193">
        <v>6062524</v>
      </c>
      <c r="R193">
        <v>199297</v>
      </c>
      <c r="S193">
        <v>2</v>
      </c>
      <c r="T193">
        <v>297</v>
      </c>
      <c r="U193">
        <v>0.96311111111111114</v>
      </c>
      <c r="V193">
        <v>0.97555555555555551</v>
      </c>
      <c r="W193">
        <v>0.99182915506035285</v>
      </c>
      <c r="X193">
        <v>46.8</v>
      </c>
      <c r="Y193">
        <v>5400801.4000000004</v>
      </c>
      <c r="Z193">
        <v>200564</v>
      </c>
      <c r="AA193">
        <v>2</v>
      </c>
      <c r="AB193">
        <v>298</v>
      </c>
      <c r="AD193">
        <f>Tabela3[[#This Row],[kan_params]]</f>
        <v>200313</v>
      </c>
      <c r="AE193">
        <f>Tabela3[[#This Row],[kan_train_acc]]</f>
        <v>0.1277623012661934</v>
      </c>
      <c r="AF193">
        <f>Tabela3[[#This Row],[kan_val_acc]]</f>
        <v>0.2392592579126358</v>
      </c>
      <c r="AG193">
        <f>Tabela3[[#This Row],[kan_test_acc]]</f>
        <v>0.13066666871309279</v>
      </c>
      <c r="AH193">
        <f>Tabela3[[#This Row],[mlp_test_acc]]</f>
        <v>0.96044444444444443</v>
      </c>
      <c r="AI193">
        <f>Tabela3[[#This Row],[mlp_val_acc]]</f>
        <v>0.97777777777777775</v>
      </c>
      <c r="AJ193">
        <f>Tabela3[[#This Row],[mlp_train_acc]]</f>
        <v>0.99238625812441972</v>
      </c>
    </row>
    <row r="194" spans="1:36" x14ac:dyDescent="0.25">
      <c r="A194" t="s">
        <v>71</v>
      </c>
      <c r="B194">
        <v>10</v>
      </c>
      <c r="C194">
        <v>3</v>
      </c>
      <c r="D194">
        <v>3</v>
      </c>
      <c r="E194">
        <v>0</v>
      </c>
      <c r="F194" t="s">
        <v>84</v>
      </c>
      <c r="G194">
        <v>200700</v>
      </c>
      <c r="H194">
        <v>129199807.59999999</v>
      </c>
      <c r="I194">
        <v>21.2</v>
      </c>
      <c r="J194">
        <v>0.10454967468976975</v>
      </c>
      <c r="K194">
        <v>0.19037037193775178</v>
      </c>
      <c r="L194">
        <v>0.1102222204208374</v>
      </c>
      <c r="M194">
        <v>0.9622222222222222</v>
      </c>
      <c r="N194">
        <v>0.97703703703703704</v>
      </c>
      <c r="O194">
        <v>0.99405756731662021</v>
      </c>
      <c r="P194">
        <v>48.4</v>
      </c>
      <c r="Q194">
        <v>5245433</v>
      </c>
      <c r="R194">
        <v>200564</v>
      </c>
      <c r="S194">
        <v>2</v>
      </c>
      <c r="T194">
        <v>298</v>
      </c>
      <c r="U194">
        <v>0.9622222222222222</v>
      </c>
      <c r="V194">
        <v>0.97703703703703704</v>
      </c>
      <c r="W194">
        <v>0.99331476323119783</v>
      </c>
      <c r="X194">
        <v>47.6</v>
      </c>
      <c r="Y194">
        <v>4879250</v>
      </c>
      <c r="Z194">
        <v>201835</v>
      </c>
      <c r="AA194">
        <v>2</v>
      </c>
      <c r="AB194">
        <v>299</v>
      </c>
      <c r="AD194">
        <f>Tabela3[[#This Row],[kan_params]]</f>
        <v>200700</v>
      </c>
      <c r="AE194">
        <f>Tabela3[[#This Row],[kan_train_acc]]</f>
        <v>0.10454967468976975</v>
      </c>
      <c r="AF194">
        <f>Tabela3[[#This Row],[kan_val_acc]]</f>
        <v>0.19037037193775178</v>
      </c>
      <c r="AG194">
        <f>Tabela3[[#This Row],[kan_test_acc]]</f>
        <v>0.1102222204208374</v>
      </c>
      <c r="AH194">
        <f>Tabela3[[#This Row],[mlp_test_acc]]</f>
        <v>0.9622222222222222</v>
      </c>
      <c r="AI194">
        <f>Tabela3[[#This Row],[mlp_val_acc]]</f>
        <v>0.97703703703703704</v>
      </c>
      <c r="AJ194">
        <f>Tabela3[[#This Row],[mlp_train_acc]]</f>
        <v>0.99405756731662021</v>
      </c>
    </row>
    <row r="195" spans="1:36" x14ac:dyDescent="0.25">
      <c r="A195" t="s">
        <v>71</v>
      </c>
      <c r="B195">
        <v>12</v>
      </c>
      <c r="C195">
        <v>3</v>
      </c>
      <c r="D195">
        <v>4</v>
      </c>
      <c r="E195">
        <v>0</v>
      </c>
      <c r="F195" t="s">
        <v>106</v>
      </c>
      <c r="G195">
        <v>201712</v>
      </c>
      <c r="H195">
        <v>132094314.8</v>
      </c>
      <c r="I195">
        <v>24</v>
      </c>
      <c r="J195">
        <v>0.1129062220454216</v>
      </c>
      <c r="K195">
        <v>0.18814814984798431</v>
      </c>
      <c r="L195">
        <v>0.12488888949155807</v>
      </c>
      <c r="M195">
        <v>0.97377777777777774</v>
      </c>
      <c r="N195">
        <v>0.9807407407407408</v>
      </c>
      <c r="O195">
        <v>0.99238625812441972</v>
      </c>
      <c r="P195">
        <v>44.2</v>
      </c>
      <c r="Q195">
        <v>5817436.2000000002</v>
      </c>
      <c r="R195">
        <v>200564</v>
      </c>
      <c r="S195">
        <v>2</v>
      </c>
      <c r="T195">
        <v>298</v>
      </c>
      <c r="U195">
        <v>0.97377777777777774</v>
      </c>
      <c r="V195">
        <v>0.97851851851851857</v>
      </c>
      <c r="W195">
        <v>0.99108635097493036</v>
      </c>
      <c r="X195">
        <v>39.6</v>
      </c>
      <c r="Y195">
        <v>5717740</v>
      </c>
      <c r="Z195">
        <v>201835</v>
      </c>
      <c r="AA195">
        <v>2</v>
      </c>
      <c r="AB195">
        <v>299</v>
      </c>
      <c r="AD195">
        <f>Tabela3[[#This Row],[kan_params]]</f>
        <v>201712</v>
      </c>
      <c r="AE195">
        <f>Tabela3[[#This Row],[kan_train_acc]]</f>
        <v>0.1129062220454216</v>
      </c>
      <c r="AF195">
        <f>Tabela3[[#This Row],[kan_val_acc]]</f>
        <v>0.18814814984798431</v>
      </c>
      <c r="AG195">
        <f>Tabela3[[#This Row],[kan_test_acc]]</f>
        <v>0.12488888949155807</v>
      </c>
      <c r="AH195">
        <f>Tabela3[[#This Row],[mlp_test_acc]]</f>
        <v>0.97377777777777774</v>
      </c>
      <c r="AI195">
        <f>Tabela3[[#This Row],[mlp_val_acc]]</f>
        <v>0.9807407407407408</v>
      </c>
      <c r="AJ195">
        <f>Tabela3[[#This Row],[mlp_train_acc]]</f>
        <v>0.99238625812441972</v>
      </c>
    </row>
    <row r="196" spans="1:36" x14ac:dyDescent="0.25">
      <c r="A196" t="s">
        <v>71</v>
      </c>
      <c r="B196">
        <v>16</v>
      </c>
      <c r="C196">
        <v>9</v>
      </c>
      <c r="D196">
        <v>3</v>
      </c>
      <c r="E196">
        <v>0</v>
      </c>
      <c r="F196" t="s">
        <v>89</v>
      </c>
      <c r="G196">
        <v>202587</v>
      </c>
      <c r="H196">
        <v>174644361.40000001</v>
      </c>
      <c r="I196">
        <v>30.4</v>
      </c>
      <c r="J196">
        <v>0.12126276940107346</v>
      </c>
      <c r="K196">
        <v>0.25851851999759673</v>
      </c>
      <c r="L196">
        <v>0.13111111223697663</v>
      </c>
      <c r="M196">
        <v>0.96177777777777773</v>
      </c>
      <c r="N196">
        <v>0.95925925925925926</v>
      </c>
      <c r="O196">
        <v>0.99145775301764161</v>
      </c>
      <c r="P196">
        <v>44.4</v>
      </c>
      <c r="Q196">
        <v>3597000.8</v>
      </c>
      <c r="R196">
        <v>201835</v>
      </c>
      <c r="S196">
        <v>2</v>
      </c>
      <c r="T196">
        <v>299</v>
      </c>
      <c r="U196">
        <v>0.96177777777777773</v>
      </c>
      <c r="V196">
        <v>0.96296296296296291</v>
      </c>
      <c r="W196">
        <v>0.99535747446610956</v>
      </c>
      <c r="X196">
        <v>52</v>
      </c>
      <c r="Y196">
        <v>5625971</v>
      </c>
      <c r="Z196">
        <v>203110</v>
      </c>
      <c r="AA196">
        <v>2</v>
      </c>
      <c r="AB196">
        <v>300</v>
      </c>
      <c r="AD196">
        <f>Tabela3[[#This Row],[kan_params]]</f>
        <v>202587</v>
      </c>
      <c r="AE196">
        <f>Tabela3[[#This Row],[kan_train_acc]]</f>
        <v>0.12126276940107346</v>
      </c>
      <c r="AF196">
        <f>Tabela3[[#This Row],[kan_val_acc]]</f>
        <v>0.25851851999759673</v>
      </c>
      <c r="AG196">
        <f>Tabela3[[#This Row],[kan_test_acc]]</f>
        <v>0.13111111223697663</v>
      </c>
      <c r="AH196">
        <f>Tabela3[[#This Row],[mlp_test_acc]]</f>
        <v>0.96177777777777773</v>
      </c>
      <c r="AI196">
        <f>Tabela3[[#This Row],[mlp_val_acc]]</f>
        <v>0.95925925925925926</v>
      </c>
      <c r="AJ196">
        <f>Tabela3[[#This Row],[mlp_train_acc]]</f>
        <v>0.99145775301764161</v>
      </c>
    </row>
    <row r="197" spans="1:36" x14ac:dyDescent="0.25">
      <c r="A197" t="s">
        <v>71</v>
      </c>
      <c r="B197">
        <v>12</v>
      </c>
      <c r="C197">
        <v>3</v>
      </c>
      <c r="D197">
        <v>4</v>
      </c>
      <c r="E197">
        <v>0</v>
      </c>
      <c r="F197" t="s">
        <v>93</v>
      </c>
      <c r="G197">
        <v>203121</v>
      </c>
      <c r="H197">
        <v>88071694</v>
      </c>
      <c r="I197">
        <v>15.2</v>
      </c>
      <c r="J197">
        <v>6.982358247041702E-2</v>
      </c>
      <c r="K197">
        <v>0.16740740835666656</v>
      </c>
      <c r="L197">
        <v>7.6888889819383618E-2</v>
      </c>
      <c r="M197">
        <v>0.96844444444444444</v>
      </c>
      <c r="N197">
        <v>0.98148148148148151</v>
      </c>
      <c r="O197">
        <v>0.98941504178272976</v>
      </c>
      <c r="P197">
        <v>36.799999999999997</v>
      </c>
      <c r="Q197">
        <v>6375805.5999999996</v>
      </c>
      <c r="R197">
        <v>203110</v>
      </c>
      <c r="S197">
        <v>2</v>
      </c>
      <c r="T197">
        <v>300</v>
      </c>
      <c r="U197">
        <v>0.97288888888888891</v>
      </c>
      <c r="V197">
        <v>0.9807407407407408</v>
      </c>
      <c r="W197">
        <v>0.98960074280408539</v>
      </c>
      <c r="X197">
        <v>39.6</v>
      </c>
      <c r="Y197">
        <v>5493957.2000000002</v>
      </c>
      <c r="Z197">
        <v>204389</v>
      </c>
      <c r="AA197">
        <v>2</v>
      </c>
      <c r="AB197">
        <v>301</v>
      </c>
      <c r="AD197">
        <f>Tabela3[[#This Row],[kan_params]]</f>
        <v>203121</v>
      </c>
      <c r="AE197">
        <f>Tabela3[[#This Row],[kan_train_acc]]</f>
        <v>6.982358247041702E-2</v>
      </c>
      <c r="AF197">
        <f>Tabela3[[#This Row],[kan_val_acc]]</f>
        <v>0.16740740835666656</v>
      </c>
      <c r="AG197">
        <f>Tabela3[[#This Row],[kan_test_acc]]</f>
        <v>7.6888889819383618E-2</v>
      </c>
      <c r="AH197">
        <f>Tabela3[[#This Row],[mlp_test_acc]]</f>
        <v>0.96844444444444444</v>
      </c>
      <c r="AI197">
        <f>Tabela3[[#This Row],[mlp_val_acc]]</f>
        <v>0.98148148148148151</v>
      </c>
      <c r="AJ197">
        <f>Tabela3[[#This Row],[mlp_train_acc]]</f>
        <v>0.98941504178272976</v>
      </c>
    </row>
    <row r="198" spans="1:36" x14ac:dyDescent="0.25">
      <c r="A198" t="s">
        <v>71</v>
      </c>
      <c r="B198">
        <v>10</v>
      </c>
      <c r="C198">
        <v>3</v>
      </c>
      <c r="D198">
        <v>3</v>
      </c>
      <c r="E198">
        <v>0</v>
      </c>
      <c r="F198" t="s">
        <v>152</v>
      </c>
      <c r="G198">
        <v>203797</v>
      </c>
      <c r="H198">
        <v>148423197.59999999</v>
      </c>
      <c r="I198">
        <v>21.2</v>
      </c>
      <c r="J198">
        <v>0.13667595088481904</v>
      </c>
      <c r="K198">
        <v>0.22296296060085297</v>
      </c>
      <c r="L198">
        <v>0.12755555510520936</v>
      </c>
      <c r="M198">
        <v>0.97333333333333338</v>
      </c>
      <c r="N198">
        <v>0.98296296296296293</v>
      </c>
      <c r="O198">
        <v>0.99108635097493036</v>
      </c>
      <c r="P198">
        <v>40.4</v>
      </c>
      <c r="Q198">
        <v>4629433.4000000004</v>
      </c>
      <c r="R198">
        <v>203110</v>
      </c>
      <c r="S198">
        <v>2</v>
      </c>
      <c r="T198">
        <v>300</v>
      </c>
      <c r="U198">
        <v>0.97199999999999998</v>
      </c>
      <c r="V198">
        <v>0.97925925925925927</v>
      </c>
      <c r="W198">
        <v>0.99257195914577534</v>
      </c>
      <c r="X198">
        <v>42.4</v>
      </c>
      <c r="Y198">
        <v>4545619.8</v>
      </c>
      <c r="Z198">
        <v>204389</v>
      </c>
      <c r="AA198">
        <v>2</v>
      </c>
      <c r="AB198">
        <v>301</v>
      </c>
      <c r="AD198">
        <f>Tabela3[[#This Row],[kan_params]]</f>
        <v>203797</v>
      </c>
      <c r="AE198">
        <f>Tabela3[[#This Row],[kan_train_acc]]</f>
        <v>0.13667595088481904</v>
      </c>
      <c r="AF198">
        <f>Tabela3[[#This Row],[kan_val_acc]]</f>
        <v>0.22296296060085297</v>
      </c>
      <c r="AG198">
        <f>Tabela3[[#This Row],[kan_test_acc]]</f>
        <v>0.12755555510520936</v>
      </c>
      <c r="AH198">
        <f>Tabela3[[#This Row],[mlp_test_acc]]</f>
        <v>0.97333333333333338</v>
      </c>
      <c r="AI198">
        <f>Tabela3[[#This Row],[mlp_val_acc]]</f>
        <v>0.98296296296296293</v>
      </c>
      <c r="AJ198">
        <f>Tabela3[[#This Row],[mlp_train_acc]]</f>
        <v>0.99108635097493036</v>
      </c>
    </row>
    <row r="199" spans="1:36" x14ac:dyDescent="0.25">
      <c r="A199" t="s">
        <v>71</v>
      </c>
      <c r="B199">
        <v>10</v>
      </c>
      <c r="C199">
        <v>3</v>
      </c>
      <c r="D199">
        <v>3</v>
      </c>
      <c r="E199">
        <v>0</v>
      </c>
      <c r="F199" t="s">
        <v>125</v>
      </c>
      <c r="G199">
        <v>204984</v>
      </c>
      <c r="H199">
        <v>174285495.40000001</v>
      </c>
      <c r="I199">
        <v>26.2</v>
      </c>
      <c r="J199">
        <v>0.14168987870216371</v>
      </c>
      <c r="K199">
        <v>0.23259259164333343</v>
      </c>
      <c r="L199">
        <v>0.13511111140251159</v>
      </c>
      <c r="M199">
        <v>0.97244444444444444</v>
      </c>
      <c r="N199">
        <v>0.98148148148148151</v>
      </c>
      <c r="O199">
        <v>0.99108635097493036</v>
      </c>
      <c r="P199">
        <v>40</v>
      </c>
      <c r="Q199">
        <v>4624932</v>
      </c>
      <c r="R199">
        <v>204389</v>
      </c>
      <c r="S199">
        <v>2</v>
      </c>
      <c r="T199">
        <v>301</v>
      </c>
      <c r="U199">
        <v>0.97422222222222221</v>
      </c>
      <c r="V199">
        <v>0.9807407407407408</v>
      </c>
      <c r="W199">
        <v>0.99294336118848658</v>
      </c>
      <c r="X199">
        <v>48.6</v>
      </c>
      <c r="Y199">
        <v>4021131.2</v>
      </c>
      <c r="Z199">
        <v>205672</v>
      </c>
      <c r="AA199">
        <v>2</v>
      </c>
      <c r="AB199">
        <v>302</v>
      </c>
      <c r="AD199">
        <f>Tabela3[[#This Row],[kan_params]]</f>
        <v>204984</v>
      </c>
      <c r="AE199">
        <f>Tabela3[[#This Row],[kan_train_acc]]</f>
        <v>0.14168987870216371</v>
      </c>
      <c r="AF199">
        <f>Tabela3[[#This Row],[kan_val_acc]]</f>
        <v>0.23259259164333343</v>
      </c>
      <c r="AG199">
        <f>Tabela3[[#This Row],[kan_test_acc]]</f>
        <v>0.13511111140251159</v>
      </c>
      <c r="AH199">
        <f>Tabela3[[#This Row],[mlp_test_acc]]</f>
        <v>0.97244444444444444</v>
      </c>
      <c r="AI199">
        <f>Tabela3[[#This Row],[mlp_val_acc]]</f>
        <v>0.98148148148148151</v>
      </c>
      <c r="AJ199">
        <f>Tabela3[[#This Row],[mlp_train_acc]]</f>
        <v>0.99108635097493036</v>
      </c>
    </row>
    <row r="200" spans="1:36" x14ac:dyDescent="0.25">
      <c r="A200" t="s">
        <v>71</v>
      </c>
      <c r="B200">
        <v>16</v>
      </c>
      <c r="C200">
        <v>9</v>
      </c>
      <c r="D200">
        <v>3</v>
      </c>
      <c r="E200">
        <v>0</v>
      </c>
      <c r="F200" t="s">
        <v>117</v>
      </c>
      <c r="G200">
        <v>205710</v>
      </c>
      <c r="H200">
        <v>183068578.40000001</v>
      </c>
      <c r="I200">
        <v>31.4</v>
      </c>
      <c r="J200">
        <v>0.21949860453605652</v>
      </c>
      <c r="K200">
        <v>0.26592592895030975</v>
      </c>
      <c r="L200">
        <v>0.21866666525602341</v>
      </c>
      <c r="M200">
        <v>0.9635555555555555</v>
      </c>
      <c r="N200">
        <v>0.95703703703703702</v>
      </c>
      <c r="O200">
        <v>0.9931290622098421</v>
      </c>
      <c r="P200">
        <v>45.8</v>
      </c>
      <c r="Q200">
        <v>6497052.4000000004</v>
      </c>
      <c r="R200">
        <v>205672</v>
      </c>
      <c r="S200">
        <v>2</v>
      </c>
      <c r="T200">
        <v>302</v>
      </c>
      <c r="U200">
        <v>0.9635555555555555</v>
      </c>
      <c r="V200">
        <v>0.95777777777777784</v>
      </c>
      <c r="W200">
        <v>0.99387186629526458</v>
      </c>
      <c r="X200">
        <v>46.6</v>
      </c>
      <c r="Y200">
        <v>5017727</v>
      </c>
      <c r="Z200">
        <v>206959</v>
      </c>
      <c r="AA200">
        <v>2</v>
      </c>
      <c r="AB200">
        <v>303</v>
      </c>
      <c r="AD200">
        <f>Tabela3[[#This Row],[kan_params]]</f>
        <v>205710</v>
      </c>
      <c r="AE200">
        <f>Tabela3[[#This Row],[kan_train_acc]]</f>
        <v>0.21949860453605652</v>
      </c>
      <c r="AF200">
        <f>Tabela3[[#This Row],[kan_val_acc]]</f>
        <v>0.26592592895030975</v>
      </c>
      <c r="AG200">
        <f>Tabela3[[#This Row],[kan_test_acc]]</f>
        <v>0.21866666525602341</v>
      </c>
      <c r="AH200">
        <f>Tabela3[[#This Row],[mlp_test_acc]]</f>
        <v>0.9635555555555555</v>
      </c>
      <c r="AI200">
        <f>Tabela3[[#This Row],[mlp_val_acc]]</f>
        <v>0.95703703703703702</v>
      </c>
      <c r="AJ200">
        <f>Tabela3[[#This Row],[mlp_train_acc]]</f>
        <v>0.9931290622098421</v>
      </c>
    </row>
    <row r="201" spans="1:36" x14ac:dyDescent="0.25">
      <c r="A201" t="s">
        <v>71</v>
      </c>
      <c r="B201">
        <v>10</v>
      </c>
      <c r="C201">
        <v>3</v>
      </c>
      <c r="D201">
        <v>3</v>
      </c>
      <c r="E201">
        <v>0</v>
      </c>
      <c r="F201" t="s">
        <v>112</v>
      </c>
      <c r="G201">
        <v>205851</v>
      </c>
      <c r="H201">
        <v>157993056.80000001</v>
      </c>
      <c r="I201">
        <v>24.6</v>
      </c>
      <c r="J201">
        <v>0.13686165809631348</v>
      </c>
      <c r="K201">
        <v>0.22592592537403106</v>
      </c>
      <c r="L201">
        <v>0.13066666722297668</v>
      </c>
      <c r="M201">
        <v>0.9635555555555555</v>
      </c>
      <c r="N201">
        <v>0.97555555555555562</v>
      </c>
      <c r="O201">
        <v>0.99275766016713085</v>
      </c>
      <c r="P201">
        <v>45.2</v>
      </c>
      <c r="Q201">
        <v>7101323.7999999998</v>
      </c>
      <c r="R201">
        <v>205672</v>
      </c>
      <c r="S201">
        <v>2</v>
      </c>
      <c r="T201">
        <v>302</v>
      </c>
      <c r="U201">
        <v>0.96177777777777784</v>
      </c>
      <c r="V201">
        <v>0.97333333333333327</v>
      </c>
      <c r="W201">
        <v>0.9922005571030641</v>
      </c>
      <c r="X201">
        <v>47.4</v>
      </c>
      <c r="Y201">
        <v>6740499</v>
      </c>
      <c r="Z201">
        <v>206959</v>
      </c>
      <c r="AA201">
        <v>2</v>
      </c>
      <c r="AB201">
        <v>303</v>
      </c>
      <c r="AD201">
        <f>Tabela3[[#This Row],[kan_params]]</f>
        <v>205851</v>
      </c>
      <c r="AE201">
        <f>Tabela3[[#This Row],[kan_train_acc]]</f>
        <v>0.13686165809631348</v>
      </c>
      <c r="AF201">
        <f>Tabela3[[#This Row],[kan_val_acc]]</f>
        <v>0.22592592537403106</v>
      </c>
      <c r="AG201">
        <f>Tabela3[[#This Row],[kan_test_acc]]</f>
        <v>0.13066666722297668</v>
      </c>
      <c r="AH201">
        <f>Tabela3[[#This Row],[mlp_test_acc]]</f>
        <v>0.9635555555555555</v>
      </c>
      <c r="AI201">
        <f>Tabela3[[#This Row],[mlp_val_acc]]</f>
        <v>0.97555555555555562</v>
      </c>
      <c r="AJ201">
        <f>Tabela3[[#This Row],[mlp_train_acc]]</f>
        <v>0.99275766016713085</v>
      </c>
    </row>
    <row r="202" spans="1:36" x14ac:dyDescent="0.25">
      <c r="A202" t="s">
        <v>71</v>
      </c>
      <c r="B202">
        <v>10</v>
      </c>
      <c r="C202">
        <v>3</v>
      </c>
      <c r="D202">
        <v>3</v>
      </c>
      <c r="E202">
        <v>0</v>
      </c>
      <c r="F202" t="s">
        <v>98</v>
      </c>
      <c r="G202">
        <v>206398</v>
      </c>
      <c r="H202">
        <v>144204851</v>
      </c>
      <c r="I202">
        <v>23.2</v>
      </c>
      <c r="J202">
        <v>0.1015784576535225</v>
      </c>
      <c r="K202">
        <v>0.21703703701496124</v>
      </c>
      <c r="L202">
        <v>0.10311111211776733</v>
      </c>
      <c r="M202">
        <v>0.96488888888888891</v>
      </c>
      <c r="N202">
        <v>0.97629629629629633</v>
      </c>
      <c r="O202">
        <v>0.99257195914577534</v>
      </c>
      <c r="P202">
        <v>47.4</v>
      </c>
      <c r="Q202">
        <v>6870415.4000000004</v>
      </c>
      <c r="R202">
        <v>205672</v>
      </c>
      <c r="S202">
        <v>2</v>
      </c>
      <c r="T202">
        <v>302</v>
      </c>
      <c r="U202">
        <v>0.96311111111111114</v>
      </c>
      <c r="V202">
        <v>0.9748148148148148</v>
      </c>
      <c r="W202">
        <v>0.99090064995357474</v>
      </c>
      <c r="X202">
        <v>44.4</v>
      </c>
      <c r="Y202">
        <v>4319466.2</v>
      </c>
      <c r="Z202">
        <v>206959</v>
      </c>
      <c r="AA202">
        <v>2</v>
      </c>
      <c r="AB202">
        <v>303</v>
      </c>
      <c r="AD202">
        <f>Tabela3[[#This Row],[kan_params]]</f>
        <v>206398</v>
      </c>
      <c r="AE202">
        <f>Tabela3[[#This Row],[kan_train_acc]]</f>
        <v>0.1015784576535225</v>
      </c>
      <c r="AF202">
        <f>Tabela3[[#This Row],[kan_val_acc]]</f>
        <v>0.21703703701496124</v>
      </c>
      <c r="AG202">
        <f>Tabela3[[#This Row],[kan_test_acc]]</f>
        <v>0.10311111211776733</v>
      </c>
      <c r="AH202">
        <f>Tabela3[[#This Row],[mlp_test_acc]]</f>
        <v>0.96488888888888891</v>
      </c>
      <c r="AI202">
        <f>Tabela3[[#This Row],[mlp_val_acc]]</f>
        <v>0.97629629629629633</v>
      </c>
      <c r="AJ202">
        <f>Tabela3[[#This Row],[mlp_train_acc]]</f>
        <v>0.99257195914577534</v>
      </c>
    </row>
    <row r="203" spans="1:36" x14ac:dyDescent="0.25">
      <c r="A203" t="s">
        <v>71</v>
      </c>
      <c r="B203">
        <v>10</v>
      </c>
      <c r="C203">
        <v>3</v>
      </c>
      <c r="D203">
        <v>3</v>
      </c>
      <c r="E203">
        <v>0</v>
      </c>
      <c r="F203" t="s">
        <v>85</v>
      </c>
      <c r="G203">
        <v>206625</v>
      </c>
      <c r="H203">
        <v>165231086.40000001</v>
      </c>
      <c r="I203">
        <v>26.4</v>
      </c>
      <c r="J203">
        <v>0.11717734485864639</v>
      </c>
      <c r="K203">
        <v>0.21925926506519317</v>
      </c>
      <c r="L203">
        <v>0.12088888734579087</v>
      </c>
      <c r="M203">
        <v>0.96399999999999997</v>
      </c>
      <c r="N203">
        <v>0.97555555555555562</v>
      </c>
      <c r="O203">
        <v>0.99127205199628599</v>
      </c>
      <c r="P203">
        <v>44.8</v>
      </c>
      <c r="Q203">
        <v>4678251.4000000004</v>
      </c>
      <c r="R203">
        <v>205672</v>
      </c>
      <c r="S203">
        <v>2</v>
      </c>
      <c r="T203">
        <v>302</v>
      </c>
      <c r="U203">
        <v>0.96</v>
      </c>
      <c r="V203">
        <v>0.97407407407407409</v>
      </c>
      <c r="W203">
        <v>0.99090064995357474</v>
      </c>
      <c r="X203">
        <v>44.8</v>
      </c>
      <c r="Y203">
        <v>5475950.7999999998</v>
      </c>
      <c r="Z203">
        <v>206959</v>
      </c>
      <c r="AA203">
        <v>2</v>
      </c>
      <c r="AB203">
        <v>303</v>
      </c>
      <c r="AD203">
        <f>Tabela3[[#This Row],[kan_params]]</f>
        <v>206625</v>
      </c>
      <c r="AE203">
        <f>Tabela3[[#This Row],[kan_train_acc]]</f>
        <v>0.11717734485864639</v>
      </c>
      <c r="AF203">
        <f>Tabela3[[#This Row],[kan_val_acc]]</f>
        <v>0.21925926506519317</v>
      </c>
      <c r="AG203">
        <f>Tabela3[[#This Row],[kan_test_acc]]</f>
        <v>0.12088888734579087</v>
      </c>
      <c r="AH203">
        <f>Tabela3[[#This Row],[mlp_test_acc]]</f>
        <v>0.96399999999999997</v>
      </c>
      <c r="AI203">
        <f>Tabela3[[#This Row],[mlp_val_acc]]</f>
        <v>0.97555555555555562</v>
      </c>
      <c r="AJ203">
        <f>Tabela3[[#This Row],[mlp_train_acc]]</f>
        <v>0.99127205199628599</v>
      </c>
    </row>
    <row r="204" spans="1:36" x14ac:dyDescent="0.25">
      <c r="A204" t="s">
        <v>71</v>
      </c>
      <c r="B204">
        <v>16</v>
      </c>
      <c r="C204">
        <v>9</v>
      </c>
      <c r="D204">
        <v>3</v>
      </c>
      <c r="E204">
        <v>0</v>
      </c>
      <c r="F204" t="s">
        <v>103</v>
      </c>
      <c r="G204">
        <v>208441</v>
      </c>
      <c r="H204">
        <v>172033765.80000001</v>
      </c>
      <c r="I204">
        <v>30.6</v>
      </c>
      <c r="J204">
        <v>0.15673165917396545</v>
      </c>
      <c r="K204">
        <v>0.24666666984558105</v>
      </c>
      <c r="L204">
        <v>0.14311111569404603</v>
      </c>
      <c r="M204">
        <v>0.96177777777777773</v>
      </c>
      <c r="N204">
        <v>0.95925925925925926</v>
      </c>
      <c r="O204">
        <v>0.99312906220984221</v>
      </c>
      <c r="P204">
        <v>47</v>
      </c>
      <c r="Q204">
        <v>5618612.7999999998</v>
      </c>
      <c r="R204">
        <v>208250</v>
      </c>
      <c r="S204">
        <v>2</v>
      </c>
      <c r="T204">
        <v>304</v>
      </c>
      <c r="U204">
        <v>0.96266666666666667</v>
      </c>
      <c r="V204">
        <v>0.96074074074074067</v>
      </c>
      <c r="W204">
        <v>0.99498607242339832</v>
      </c>
      <c r="X204">
        <v>46.6</v>
      </c>
      <c r="Y204">
        <v>4634239.8</v>
      </c>
      <c r="Z204">
        <v>209545</v>
      </c>
      <c r="AA204">
        <v>2</v>
      </c>
      <c r="AB204">
        <v>305</v>
      </c>
      <c r="AD204">
        <f>Tabela3[[#This Row],[kan_params]]</f>
        <v>208441</v>
      </c>
      <c r="AE204">
        <f>Tabela3[[#This Row],[kan_train_acc]]</f>
        <v>0.15673165917396545</v>
      </c>
      <c r="AF204">
        <f>Tabela3[[#This Row],[kan_val_acc]]</f>
        <v>0.24666666984558105</v>
      </c>
      <c r="AG204">
        <f>Tabela3[[#This Row],[kan_test_acc]]</f>
        <v>0.14311111569404603</v>
      </c>
      <c r="AH204">
        <f>Tabela3[[#This Row],[mlp_test_acc]]</f>
        <v>0.96177777777777773</v>
      </c>
      <c r="AI204">
        <f>Tabela3[[#This Row],[mlp_val_acc]]</f>
        <v>0.95925925925925926</v>
      </c>
      <c r="AJ204">
        <f>Tabela3[[#This Row],[mlp_train_acc]]</f>
        <v>0.99312906220984221</v>
      </c>
    </row>
    <row r="205" spans="1:36" x14ac:dyDescent="0.25">
      <c r="A205" t="s">
        <v>71</v>
      </c>
      <c r="B205">
        <v>12</v>
      </c>
      <c r="C205">
        <v>3</v>
      </c>
      <c r="D205">
        <v>4</v>
      </c>
      <c r="E205">
        <v>0</v>
      </c>
      <c r="F205" t="s">
        <v>107</v>
      </c>
      <c r="G205">
        <v>208937</v>
      </c>
      <c r="H205">
        <v>78602129.599999994</v>
      </c>
      <c r="I205">
        <v>13</v>
      </c>
      <c r="J205">
        <v>8.9507892727851868E-2</v>
      </c>
      <c r="K205">
        <v>0.15925925970077515</v>
      </c>
      <c r="L205">
        <v>9.9111112952232364E-2</v>
      </c>
      <c r="M205">
        <v>0.97555555555555551</v>
      </c>
      <c r="N205">
        <v>0.98518518518518516</v>
      </c>
      <c r="O205">
        <v>0.99442896935933145</v>
      </c>
      <c r="P205">
        <v>45</v>
      </c>
      <c r="Q205">
        <v>4355600.8</v>
      </c>
      <c r="R205">
        <v>208250</v>
      </c>
      <c r="S205">
        <v>2</v>
      </c>
      <c r="T205">
        <v>304</v>
      </c>
      <c r="U205">
        <v>0.97111111111111115</v>
      </c>
      <c r="V205">
        <v>0.97777777777777775</v>
      </c>
      <c r="W205">
        <v>0.98700092850510679</v>
      </c>
      <c r="X205">
        <v>36</v>
      </c>
      <c r="Y205">
        <v>4199240</v>
      </c>
      <c r="Z205">
        <v>209545</v>
      </c>
      <c r="AA205">
        <v>2</v>
      </c>
      <c r="AB205">
        <v>305</v>
      </c>
      <c r="AD205">
        <f>Tabela3[[#This Row],[kan_params]]</f>
        <v>208937</v>
      </c>
      <c r="AE205">
        <f>Tabela3[[#This Row],[kan_train_acc]]</f>
        <v>8.9507892727851868E-2</v>
      </c>
      <c r="AF205">
        <f>Tabela3[[#This Row],[kan_val_acc]]</f>
        <v>0.15925925970077515</v>
      </c>
      <c r="AG205">
        <f>Tabela3[[#This Row],[kan_test_acc]]</f>
        <v>9.9111112952232364E-2</v>
      </c>
      <c r="AH205">
        <f>Tabela3[[#This Row],[mlp_test_acc]]</f>
        <v>0.97555555555555551</v>
      </c>
      <c r="AI205">
        <f>Tabela3[[#This Row],[mlp_val_acc]]</f>
        <v>0.98518518518518516</v>
      </c>
      <c r="AJ205">
        <f>Tabela3[[#This Row],[mlp_train_acc]]</f>
        <v>0.99442896935933145</v>
      </c>
    </row>
    <row r="206" spans="1:36" x14ac:dyDescent="0.25">
      <c r="A206" t="s">
        <v>71</v>
      </c>
      <c r="B206">
        <v>18</v>
      </c>
      <c r="C206">
        <v>9</v>
      </c>
      <c r="D206">
        <v>4</v>
      </c>
      <c r="E206">
        <v>0</v>
      </c>
      <c r="F206" t="s">
        <v>74</v>
      </c>
      <c r="G206">
        <v>209173</v>
      </c>
      <c r="H206">
        <v>102577062.33333333</v>
      </c>
      <c r="I206">
        <v>22</v>
      </c>
      <c r="J206">
        <v>9.3779017527898148E-2</v>
      </c>
      <c r="K206">
        <v>0.30123457312583923</v>
      </c>
      <c r="L206">
        <v>8.6666667213042572E-2</v>
      </c>
      <c r="M206">
        <v>0.97555555555555551</v>
      </c>
      <c r="N206">
        <v>0.97530864197530864</v>
      </c>
      <c r="O206">
        <v>0.99380996595481275</v>
      </c>
      <c r="P206">
        <v>45</v>
      </c>
      <c r="Q206">
        <v>5355284.333333333</v>
      </c>
      <c r="R206">
        <v>208250</v>
      </c>
      <c r="S206">
        <v>2</v>
      </c>
      <c r="T206">
        <v>304</v>
      </c>
      <c r="U206">
        <v>0.96962962962962962</v>
      </c>
      <c r="V206">
        <v>0.97777777777777775</v>
      </c>
      <c r="W206">
        <v>0.99195295574125653</v>
      </c>
      <c r="X206">
        <v>43.666666666666664</v>
      </c>
      <c r="Y206">
        <v>5318402</v>
      </c>
      <c r="Z206">
        <v>209545</v>
      </c>
      <c r="AA206">
        <v>2</v>
      </c>
      <c r="AB206">
        <v>305</v>
      </c>
      <c r="AD206">
        <f>Tabela3[[#This Row],[kan_params]]</f>
        <v>209173</v>
      </c>
      <c r="AE206">
        <f>Tabela3[[#This Row],[kan_train_acc]]</f>
        <v>9.3779017527898148E-2</v>
      </c>
      <c r="AF206">
        <f>Tabela3[[#This Row],[kan_val_acc]]</f>
        <v>0.30123457312583923</v>
      </c>
      <c r="AG206">
        <f>Tabela3[[#This Row],[kan_test_acc]]</f>
        <v>8.6666667213042572E-2</v>
      </c>
      <c r="AH206">
        <f>Tabela3[[#This Row],[mlp_test_acc]]</f>
        <v>0.97555555555555551</v>
      </c>
      <c r="AI206">
        <f>Tabela3[[#This Row],[mlp_val_acc]]</f>
        <v>0.97530864197530864</v>
      </c>
      <c r="AJ206">
        <f>Tabela3[[#This Row],[mlp_train_acc]]</f>
        <v>0.99380996595481275</v>
      </c>
    </row>
    <row r="207" spans="1:36" x14ac:dyDescent="0.25">
      <c r="A207" t="s">
        <v>71</v>
      </c>
      <c r="B207">
        <v>12</v>
      </c>
      <c r="C207">
        <v>3</v>
      </c>
      <c r="D207">
        <v>4</v>
      </c>
      <c r="E207">
        <v>0</v>
      </c>
      <c r="F207" t="s">
        <v>94</v>
      </c>
      <c r="G207">
        <v>210156</v>
      </c>
      <c r="H207">
        <v>114161955.59999999</v>
      </c>
      <c r="I207">
        <v>19.2</v>
      </c>
      <c r="J207">
        <v>9.4893223047256475E-2</v>
      </c>
      <c r="K207">
        <v>0.17259259521961212</v>
      </c>
      <c r="L207">
        <v>8.7555555999279028E-2</v>
      </c>
      <c r="M207">
        <v>0.97199999999999998</v>
      </c>
      <c r="N207">
        <v>0.98074074074074069</v>
      </c>
      <c r="O207">
        <v>0.99034354688950788</v>
      </c>
      <c r="P207">
        <v>39</v>
      </c>
      <c r="Q207">
        <v>6323874</v>
      </c>
      <c r="R207">
        <v>209545</v>
      </c>
      <c r="S207">
        <v>2</v>
      </c>
      <c r="T207">
        <v>305</v>
      </c>
      <c r="U207">
        <v>0.96888888888888891</v>
      </c>
      <c r="V207">
        <v>0.98148148148148151</v>
      </c>
      <c r="W207">
        <v>0.99182915506035285</v>
      </c>
      <c r="X207">
        <v>39</v>
      </c>
      <c r="Y207">
        <v>4560777</v>
      </c>
      <c r="Z207">
        <v>210844</v>
      </c>
      <c r="AA207">
        <v>2</v>
      </c>
      <c r="AB207">
        <v>306</v>
      </c>
      <c r="AD207">
        <f>Tabela3[[#This Row],[kan_params]]</f>
        <v>210156</v>
      </c>
      <c r="AE207">
        <f>Tabela3[[#This Row],[kan_train_acc]]</f>
        <v>9.4893223047256475E-2</v>
      </c>
      <c r="AF207">
        <f>Tabela3[[#This Row],[kan_val_acc]]</f>
        <v>0.17259259521961212</v>
      </c>
      <c r="AG207">
        <f>Tabela3[[#This Row],[kan_test_acc]]</f>
        <v>8.7555555999279028E-2</v>
      </c>
      <c r="AH207">
        <f>Tabela3[[#This Row],[mlp_test_acc]]</f>
        <v>0.97199999999999998</v>
      </c>
      <c r="AI207">
        <f>Tabela3[[#This Row],[mlp_val_acc]]</f>
        <v>0.98074074074074069</v>
      </c>
      <c r="AJ207">
        <f>Tabela3[[#This Row],[mlp_train_acc]]</f>
        <v>0.99034354688950788</v>
      </c>
    </row>
    <row r="208" spans="1:36" x14ac:dyDescent="0.25">
      <c r="A208" t="s">
        <v>71</v>
      </c>
      <c r="B208">
        <v>10</v>
      </c>
      <c r="C208">
        <v>3</v>
      </c>
      <c r="D208">
        <v>3</v>
      </c>
      <c r="E208">
        <v>0</v>
      </c>
      <c r="F208" t="s">
        <v>139</v>
      </c>
      <c r="G208">
        <v>210362</v>
      </c>
      <c r="H208">
        <v>88777063.599999994</v>
      </c>
      <c r="I208">
        <v>12</v>
      </c>
      <c r="J208">
        <v>9.2479109019041064E-2</v>
      </c>
      <c r="K208">
        <v>0.16444444358348848</v>
      </c>
      <c r="L208">
        <v>9.1111110895872122E-2</v>
      </c>
      <c r="M208">
        <v>0.97555555555555551</v>
      </c>
      <c r="N208">
        <v>0.97407407407407409</v>
      </c>
      <c r="O208">
        <v>0.98607242339832868</v>
      </c>
      <c r="P208">
        <v>37</v>
      </c>
      <c r="Q208">
        <v>5555041.2000000002</v>
      </c>
      <c r="R208">
        <v>209545</v>
      </c>
      <c r="S208">
        <v>2</v>
      </c>
      <c r="T208">
        <v>305</v>
      </c>
      <c r="U208">
        <v>0.97333333333333338</v>
      </c>
      <c r="V208">
        <v>0.97037037037037033</v>
      </c>
      <c r="W208">
        <v>0.9888579387186629</v>
      </c>
      <c r="X208">
        <v>35</v>
      </c>
      <c r="Y208">
        <v>4920097.8</v>
      </c>
      <c r="Z208">
        <v>210844</v>
      </c>
      <c r="AA208">
        <v>2</v>
      </c>
      <c r="AB208">
        <v>306</v>
      </c>
      <c r="AD208">
        <f>Tabela3[[#This Row],[kan_params]]</f>
        <v>210362</v>
      </c>
      <c r="AE208">
        <f>Tabela3[[#This Row],[kan_train_acc]]</f>
        <v>9.2479109019041064E-2</v>
      </c>
      <c r="AF208">
        <f>Tabela3[[#This Row],[kan_val_acc]]</f>
        <v>0.16444444358348848</v>
      </c>
      <c r="AG208">
        <f>Tabela3[[#This Row],[kan_test_acc]]</f>
        <v>9.1111110895872122E-2</v>
      </c>
      <c r="AH208">
        <f>Tabela3[[#This Row],[mlp_test_acc]]</f>
        <v>0.97555555555555551</v>
      </c>
      <c r="AI208">
        <f>Tabela3[[#This Row],[mlp_val_acc]]</f>
        <v>0.97407407407407409</v>
      </c>
      <c r="AJ208">
        <f>Tabela3[[#This Row],[mlp_train_acc]]</f>
        <v>0.98607242339832868</v>
      </c>
    </row>
    <row r="209" spans="1:36" x14ac:dyDescent="0.25">
      <c r="A209" t="s">
        <v>71</v>
      </c>
      <c r="B209">
        <v>16</v>
      </c>
      <c r="C209">
        <v>9</v>
      </c>
      <c r="D209">
        <v>3</v>
      </c>
      <c r="E209">
        <v>0</v>
      </c>
      <c r="F209" t="s">
        <v>90</v>
      </c>
      <c r="G209">
        <v>210732</v>
      </c>
      <c r="H209">
        <v>162085651</v>
      </c>
      <c r="I209">
        <v>26.8</v>
      </c>
      <c r="J209">
        <v>0.12906221151351929</v>
      </c>
      <c r="K209">
        <v>0.22592592537403106</v>
      </c>
      <c r="L209">
        <v>0.13066666722297668</v>
      </c>
      <c r="M209">
        <v>0.9635555555555555</v>
      </c>
      <c r="N209">
        <v>0.96518518518518515</v>
      </c>
      <c r="O209">
        <v>0.99517177344475394</v>
      </c>
      <c r="P209">
        <v>53.6</v>
      </c>
      <c r="Q209">
        <v>5481673.5999999996</v>
      </c>
      <c r="R209">
        <v>209545</v>
      </c>
      <c r="S209">
        <v>2</v>
      </c>
      <c r="T209">
        <v>305</v>
      </c>
      <c r="U209">
        <v>0.9608888888888889</v>
      </c>
      <c r="V209">
        <v>0.96</v>
      </c>
      <c r="W209">
        <v>0.99294336118848658</v>
      </c>
      <c r="X209">
        <v>52</v>
      </c>
      <c r="Y209">
        <v>5868231.2000000002</v>
      </c>
      <c r="Z209">
        <v>210844</v>
      </c>
      <c r="AA209">
        <v>2</v>
      </c>
      <c r="AB209">
        <v>306</v>
      </c>
      <c r="AD209">
        <f>Tabela3[[#This Row],[kan_params]]</f>
        <v>210732</v>
      </c>
      <c r="AE209">
        <f>Tabela3[[#This Row],[kan_train_acc]]</f>
        <v>0.12906221151351929</v>
      </c>
      <c r="AF209">
        <f>Tabela3[[#This Row],[kan_val_acc]]</f>
        <v>0.22592592537403106</v>
      </c>
      <c r="AG209">
        <f>Tabela3[[#This Row],[kan_test_acc]]</f>
        <v>0.13066666722297668</v>
      </c>
      <c r="AH209">
        <f>Tabela3[[#This Row],[mlp_test_acc]]</f>
        <v>0.9635555555555555</v>
      </c>
      <c r="AI209">
        <f>Tabela3[[#This Row],[mlp_val_acc]]</f>
        <v>0.96518518518518515</v>
      </c>
      <c r="AJ209">
        <f>Tabela3[[#This Row],[mlp_train_acc]]</f>
        <v>0.99517177344475394</v>
      </c>
    </row>
    <row r="210" spans="1:36" x14ac:dyDescent="0.25">
      <c r="A210" t="s">
        <v>71</v>
      </c>
      <c r="B210">
        <v>16</v>
      </c>
      <c r="C210">
        <v>9</v>
      </c>
      <c r="D210">
        <v>3</v>
      </c>
      <c r="E210">
        <v>0</v>
      </c>
      <c r="F210" t="s">
        <v>131</v>
      </c>
      <c r="G210">
        <v>211344</v>
      </c>
      <c r="H210">
        <v>173251107.19999999</v>
      </c>
      <c r="I210">
        <v>32.6</v>
      </c>
      <c r="J210">
        <v>0.19610027670860292</v>
      </c>
      <c r="K210">
        <v>0.33925926089286806</v>
      </c>
      <c r="L210">
        <v>0.18844444602727889</v>
      </c>
      <c r="M210">
        <v>0.97155555555555562</v>
      </c>
      <c r="N210">
        <v>0.97407407407407409</v>
      </c>
      <c r="O210">
        <v>0.9888579387186629</v>
      </c>
      <c r="P210">
        <v>39.200000000000003</v>
      </c>
      <c r="Q210">
        <v>3662339.2</v>
      </c>
      <c r="R210">
        <v>210844</v>
      </c>
      <c r="S210">
        <v>2</v>
      </c>
      <c r="T210">
        <v>306</v>
      </c>
      <c r="U210">
        <v>0.97466666666666668</v>
      </c>
      <c r="V210">
        <v>0.97629629629629633</v>
      </c>
      <c r="W210">
        <v>0.99015784586815225</v>
      </c>
      <c r="X210">
        <v>39.799999999999997</v>
      </c>
      <c r="Y210">
        <v>2954740</v>
      </c>
      <c r="Z210">
        <v>212147</v>
      </c>
      <c r="AA210">
        <v>2</v>
      </c>
      <c r="AB210">
        <v>307</v>
      </c>
      <c r="AD210">
        <f>Tabela3[[#This Row],[kan_params]]</f>
        <v>211344</v>
      </c>
      <c r="AE210">
        <f>Tabela3[[#This Row],[kan_train_acc]]</f>
        <v>0.19610027670860292</v>
      </c>
      <c r="AF210">
        <f>Tabela3[[#This Row],[kan_val_acc]]</f>
        <v>0.33925926089286806</v>
      </c>
      <c r="AG210">
        <f>Tabela3[[#This Row],[kan_test_acc]]</f>
        <v>0.18844444602727889</v>
      </c>
      <c r="AH210">
        <f>Tabela3[[#This Row],[mlp_test_acc]]</f>
        <v>0.97155555555555562</v>
      </c>
      <c r="AI210">
        <f>Tabela3[[#This Row],[mlp_val_acc]]</f>
        <v>0.97407407407407409</v>
      </c>
      <c r="AJ210">
        <f>Tabela3[[#This Row],[mlp_train_acc]]</f>
        <v>0.9888579387186629</v>
      </c>
    </row>
    <row r="211" spans="1:36" x14ac:dyDescent="0.25">
      <c r="A211" t="s">
        <v>71</v>
      </c>
      <c r="B211">
        <v>10</v>
      </c>
      <c r="C211">
        <v>3</v>
      </c>
      <c r="D211">
        <v>3</v>
      </c>
      <c r="E211">
        <v>0</v>
      </c>
      <c r="F211" t="s">
        <v>126</v>
      </c>
      <c r="G211">
        <v>211389</v>
      </c>
      <c r="H211">
        <v>149883442.40000001</v>
      </c>
      <c r="I211">
        <v>20.8</v>
      </c>
      <c r="J211">
        <v>0.11643453985452652</v>
      </c>
      <c r="K211">
        <v>0.19851852059364319</v>
      </c>
      <c r="L211">
        <v>0.10755555778741836</v>
      </c>
      <c r="M211">
        <v>0.97555555555555551</v>
      </c>
      <c r="N211">
        <v>0.97925925925925927</v>
      </c>
      <c r="O211">
        <v>0.99331476323119772</v>
      </c>
      <c r="P211">
        <v>45</v>
      </c>
      <c r="Q211">
        <v>4888599.5999999996</v>
      </c>
      <c r="R211">
        <v>210844</v>
      </c>
      <c r="S211">
        <v>2</v>
      </c>
      <c r="T211">
        <v>306</v>
      </c>
      <c r="U211">
        <v>0.97155555555555562</v>
      </c>
      <c r="V211">
        <v>0.97851851851851857</v>
      </c>
      <c r="W211">
        <v>0.98848653667595177</v>
      </c>
      <c r="X211">
        <v>36.6</v>
      </c>
      <c r="Y211">
        <v>3922299.8</v>
      </c>
      <c r="Z211">
        <v>212147</v>
      </c>
      <c r="AA211">
        <v>2</v>
      </c>
      <c r="AB211">
        <v>307</v>
      </c>
      <c r="AD211">
        <f>Tabela3[[#This Row],[kan_params]]</f>
        <v>211389</v>
      </c>
      <c r="AE211">
        <f>Tabela3[[#This Row],[kan_train_acc]]</f>
        <v>0.11643453985452652</v>
      </c>
      <c r="AF211">
        <f>Tabela3[[#This Row],[kan_val_acc]]</f>
        <v>0.19851852059364319</v>
      </c>
      <c r="AG211">
        <f>Tabela3[[#This Row],[kan_test_acc]]</f>
        <v>0.10755555778741836</v>
      </c>
      <c r="AH211">
        <f>Tabela3[[#This Row],[mlp_test_acc]]</f>
        <v>0.97555555555555551</v>
      </c>
      <c r="AI211">
        <f>Tabela3[[#This Row],[mlp_val_acc]]</f>
        <v>0.97925925925925927</v>
      </c>
      <c r="AJ211">
        <f>Tabela3[[#This Row],[mlp_train_acc]]</f>
        <v>0.99331476323119772</v>
      </c>
    </row>
    <row r="212" spans="1:36" x14ac:dyDescent="0.25">
      <c r="A212" t="s">
        <v>71</v>
      </c>
      <c r="B212">
        <v>10</v>
      </c>
      <c r="C212">
        <v>3</v>
      </c>
      <c r="D212">
        <v>3</v>
      </c>
      <c r="E212">
        <v>0</v>
      </c>
      <c r="F212" t="s">
        <v>113</v>
      </c>
      <c r="G212">
        <v>212096</v>
      </c>
      <c r="H212">
        <v>196541667.40000001</v>
      </c>
      <c r="I212">
        <v>30.6</v>
      </c>
      <c r="J212">
        <v>0.11662024110555649</v>
      </c>
      <c r="K212">
        <v>0.2155555546283722</v>
      </c>
      <c r="L212">
        <v>0.11777777671813965</v>
      </c>
      <c r="M212">
        <v>0.96444444444444444</v>
      </c>
      <c r="N212">
        <v>0.9748148148148148</v>
      </c>
      <c r="O212">
        <v>0.99090064995357474</v>
      </c>
      <c r="P212">
        <v>40.6</v>
      </c>
      <c r="Q212">
        <v>4552235.4000000004</v>
      </c>
      <c r="R212">
        <v>210844</v>
      </c>
      <c r="S212">
        <v>2</v>
      </c>
      <c r="T212">
        <v>306</v>
      </c>
      <c r="U212">
        <v>0.9608888888888889</v>
      </c>
      <c r="V212">
        <v>0.97703703703703704</v>
      </c>
      <c r="W212">
        <v>0.99275766016713096</v>
      </c>
      <c r="X212">
        <v>47.4</v>
      </c>
      <c r="Y212">
        <v>8276039.7999999998</v>
      </c>
      <c r="Z212">
        <v>212147</v>
      </c>
      <c r="AA212">
        <v>2</v>
      </c>
      <c r="AB212">
        <v>307</v>
      </c>
      <c r="AD212">
        <f>Tabela3[[#This Row],[kan_params]]</f>
        <v>212096</v>
      </c>
      <c r="AE212">
        <f>Tabela3[[#This Row],[kan_train_acc]]</f>
        <v>0.11662024110555649</v>
      </c>
      <c r="AF212">
        <f>Tabela3[[#This Row],[kan_val_acc]]</f>
        <v>0.2155555546283722</v>
      </c>
      <c r="AG212">
        <f>Tabela3[[#This Row],[kan_test_acc]]</f>
        <v>0.11777777671813965</v>
      </c>
      <c r="AH212">
        <f>Tabela3[[#This Row],[mlp_test_acc]]</f>
        <v>0.96444444444444444</v>
      </c>
      <c r="AI212">
        <f>Tabela3[[#This Row],[mlp_val_acc]]</f>
        <v>0.9748148148148148</v>
      </c>
      <c r="AJ212">
        <f>Tabela3[[#This Row],[mlp_train_acc]]</f>
        <v>0.99090064995357474</v>
      </c>
    </row>
    <row r="213" spans="1:36" x14ac:dyDescent="0.25">
      <c r="A213" t="s">
        <v>71</v>
      </c>
      <c r="B213">
        <v>10</v>
      </c>
      <c r="C213">
        <v>3</v>
      </c>
      <c r="D213">
        <v>3</v>
      </c>
      <c r="E213">
        <v>0</v>
      </c>
      <c r="F213" t="s">
        <v>99</v>
      </c>
      <c r="G213">
        <v>212483</v>
      </c>
      <c r="H213">
        <v>124017095.2</v>
      </c>
      <c r="I213">
        <v>19</v>
      </c>
      <c r="J213">
        <v>8.2079851627349848E-2</v>
      </c>
      <c r="K213">
        <v>0.17259259223937989</v>
      </c>
      <c r="L213">
        <v>8.4000001102685934E-2</v>
      </c>
      <c r="M213">
        <v>0.96177777777777773</v>
      </c>
      <c r="N213">
        <v>0.97555555555555551</v>
      </c>
      <c r="O213">
        <v>0.99238625812441961</v>
      </c>
      <c r="P213">
        <v>45.6</v>
      </c>
      <c r="Q213">
        <v>7153865.5999999996</v>
      </c>
      <c r="R213">
        <v>212147</v>
      </c>
      <c r="S213">
        <v>2</v>
      </c>
      <c r="T213">
        <v>307</v>
      </c>
      <c r="U213">
        <v>0.96133333333333326</v>
      </c>
      <c r="V213">
        <v>0.97407407407407409</v>
      </c>
      <c r="W213">
        <v>0.99090064995357474</v>
      </c>
      <c r="X213">
        <v>46.2</v>
      </c>
      <c r="Y213">
        <v>6109799.4000000004</v>
      </c>
      <c r="Z213">
        <v>213454</v>
      </c>
      <c r="AA213">
        <v>2</v>
      </c>
      <c r="AB213">
        <v>308</v>
      </c>
      <c r="AD213">
        <f>Tabela3[[#This Row],[kan_params]]</f>
        <v>212483</v>
      </c>
      <c r="AE213">
        <f>Tabela3[[#This Row],[kan_train_acc]]</f>
        <v>8.2079851627349848E-2</v>
      </c>
      <c r="AF213">
        <f>Tabela3[[#This Row],[kan_val_acc]]</f>
        <v>0.17259259223937989</v>
      </c>
      <c r="AG213">
        <f>Tabela3[[#This Row],[kan_test_acc]]</f>
        <v>8.4000001102685934E-2</v>
      </c>
      <c r="AH213">
        <f>Tabela3[[#This Row],[mlp_test_acc]]</f>
        <v>0.96177777777777773</v>
      </c>
      <c r="AI213">
        <f>Tabela3[[#This Row],[mlp_val_acc]]</f>
        <v>0.97555555555555551</v>
      </c>
      <c r="AJ213">
        <f>Tabela3[[#This Row],[mlp_train_acc]]</f>
        <v>0.99238625812441961</v>
      </c>
    </row>
    <row r="214" spans="1:36" x14ac:dyDescent="0.25">
      <c r="A214" t="s">
        <v>71</v>
      </c>
      <c r="B214">
        <v>10</v>
      </c>
      <c r="C214">
        <v>3</v>
      </c>
      <c r="D214">
        <v>3</v>
      </c>
      <c r="E214">
        <v>0</v>
      </c>
      <c r="F214" t="s">
        <v>86</v>
      </c>
      <c r="G214">
        <v>212550</v>
      </c>
      <c r="H214">
        <v>102363195.8</v>
      </c>
      <c r="I214">
        <v>14.4</v>
      </c>
      <c r="J214">
        <v>0.11494893282651901</v>
      </c>
      <c r="K214">
        <v>0.1651851862668991</v>
      </c>
      <c r="L214">
        <v>0.11511110961437225</v>
      </c>
      <c r="M214">
        <v>0.96711111111111114</v>
      </c>
      <c r="N214">
        <v>0.97777777777777775</v>
      </c>
      <c r="O214">
        <v>0.99108635097493036</v>
      </c>
      <c r="P214">
        <v>48.2</v>
      </c>
      <c r="Q214">
        <v>6827240.5999999996</v>
      </c>
      <c r="R214">
        <v>212147</v>
      </c>
      <c r="S214">
        <v>2</v>
      </c>
      <c r="T214">
        <v>307</v>
      </c>
      <c r="U214">
        <v>0.9582222222222222</v>
      </c>
      <c r="V214">
        <v>0.97407407407407409</v>
      </c>
      <c r="W214">
        <v>0.99331476323119772</v>
      </c>
      <c r="X214">
        <v>47.6</v>
      </c>
      <c r="Y214">
        <v>5186905.8</v>
      </c>
      <c r="Z214">
        <v>213454</v>
      </c>
      <c r="AA214">
        <v>2</v>
      </c>
      <c r="AB214">
        <v>308</v>
      </c>
      <c r="AD214">
        <f>Tabela3[[#This Row],[kan_params]]</f>
        <v>212550</v>
      </c>
      <c r="AE214">
        <f>Tabela3[[#This Row],[kan_train_acc]]</f>
        <v>0.11494893282651901</v>
      </c>
      <c r="AF214">
        <f>Tabela3[[#This Row],[kan_val_acc]]</f>
        <v>0.1651851862668991</v>
      </c>
      <c r="AG214">
        <f>Tabela3[[#This Row],[kan_test_acc]]</f>
        <v>0.11511110961437225</v>
      </c>
      <c r="AH214">
        <f>Tabela3[[#This Row],[mlp_test_acc]]</f>
        <v>0.96711111111111114</v>
      </c>
      <c r="AI214">
        <f>Tabela3[[#This Row],[mlp_val_acc]]</f>
        <v>0.97777777777777775</v>
      </c>
      <c r="AJ214">
        <f>Tabela3[[#This Row],[mlp_train_acc]]</f>
        <v>0.99108635097493036</v>
      </c>
    </row>
    <row r="215" spans="1:36" x14ac:dyDescent="0.25">
      <c r="A215" t="s">
        <v>71</v>
      </c>
      <c r="B215">
        <v>16</v>
      </c>
      <c r="C215">
        <v>9</v>
      </c>
      <c r="D215">
        <v>3</v>
      </c>
      <c r="E215">
        <v>0</v>
      </c>
      <c r="F215" t="s">
        <v>118</v>
      </c>
      <c r="G215">
        <v>214295</v>
      </c>
      <c r="H215">
        <v>154658954.19999999</v>
      </c>
      <c r="I215">
        <v>25.8</v>
      </c>
      <c r="J215">
        <v>0.13351903408765792</v>
      </c>
      <c r="K215">
        <v>0.27037037611007692</v>
      </c>
      <c r="L215">
        <v>0.13200000226497649</v>
      </c>
      <c r="M215">
        <v>0.96444444444444444</v>
      </c>
      <c r="N215">
        <v>0.96074074074074067</v>
      </c>
      <c r="O215">
        <v>0.99424326833797583</v>
      </c>
      <c r="P215">
        <v>48.8</v>
      </c>
      <c r="Q215">
        <v>6643459.4000000004</v>
      </c>
      <c r="R215">
        <v>213454</v>
      </c>
      <c r="S215">
        <v>2</v>
      </c>
      <c r="T215">
        <v>308</v>
      </c>
      <c r="U215">
        <v>0.9608888888888889</v>
      </c>
      <c r="V215">
        <v>0.96370370370370373</v>
      </c>
      <c r="W215">
        <v>0.99331476323119772</v>
      </c>
      <c r="X215">
        <v>49.2</v>
      </c>
      <c r="Y215">
        <v>7652092.4000000004</v>
      </c>
      <c r="Z215">
        <v>214765</v>
      </c>
      <c r="AA215">
        <v>2</v>
      </c>
      <c r="AB215">
        <v>309</v>
      </c>
      <c r="AD215">
        <f>Tabela3[[#This Row],[kan_params]]</f>
        <v>214295</v>
      </c>
      <c r="AE215">
        <f>Tabela3[[#This Row],[kan_train_acc]]</f>
        <v>0.13351903408765792</v>
      </c>
      <c r="AF215">
        <f>Tabela3[[#This Row],[kan_val_acc]]</f>
        <v>0.27037037611007692</v>
      </c>
      <c r="AG215">
        <f>Tabela3[[#This Row],[kan_test_acc]]</f>
        <v>0.13200000226497649</v>
      </c>
      <c r="AH215">
        <f>Tabela3[[#This Row],[mlp_test_acc]]</f>
        <v>0.96444444444444444</v>
      </c>
      <c r="AI215">
        <f>Tabela3[[#This Row],[mlp_val_acc]]</f>
        <v>0.96074074074074067</v>
      </c>
      <c r="AJ215">
        <f>Tabela3[[#This Row],[mlp_train_acc]]</f>
        <v>0.99424326833797583</v>
      </c>
    </row>
    <row r="216" spans="1:36" x14ac:dyDescent="0.25">
      <c r="A216" t="s">
        <v>71</v>
      </c>
      <c r="B216">
        <v>12</v>
      </c>
      <c r="C216">
        <v>3</v>
      </c>
      <c r="D216">
        <v>4</v>
      </c>
      <c r="E216">
        <v>0</v>
      </c>
      <c r="F216" t="s">
        <v>108</v>
      </c>
      <c r="G216">
        <v>216162</v>
      </c>
      <c r="H216">
        <v>114838564</v>
      </c>
      <c r="I216">
        <v>19</v>
      </c>
      <c r="J216">
        <v>0.10529247969388962</v>
      </c>
      <c r="K216">
        <v>0.16888888478279113</v>
      </c>
      <c r="L216">
        <v>0.11555555611848831</v>
      </c>
      <c r="M216">
        <v>0.97111111111111115</v>
      </c>
      <c r="N216">
        <v>0.9807407407407408</v>
      </c>
      <c r="O216">
        <v>0.99201485608170847</v>
      </c>
      <c r="P216">
        <v>41</v>
      </c>
      <c r="Q216">
        <v>5830685</v>
      </c>
      <c r="R216">
        <v>216080</v>
      </c>
      <c r="S216">
        <v>2</v>
      </c>
      <c r="T216">
        <v>310</v>
      </c>
      <c r="U216">
        <v>0.97066666666666668</v>
      </c>
      <c r="V216">
        <v>0.98296296296296293</v>
      </c>
      <c r="W216">
        <v>0.99182915506035285</v>
      </c>
      <c r="X216">
        <v>39</v>
      </c>
      <c r="Y216">
        <v>6043957.4000000004</v>
      </c>
      <c r="Z216">
        <v>217399</v>
      </c>
      <c r="AA216">
        <v>2</v>
      </c>
      <c r="AB216">
        <v>311</v>
      </c>
      <c r="AD216">
        <f>Tabela3[[#This Row],[kan_params]]</f>
        <v>216162</v>
      </c>
      <c r="AE216">
        <f>Tabela3[[#This Row],[kan_train_acc]]</f>
        <v>0.10529247969388962</v>
      </c>
      <c r="AF216">
        <f>Tabela3[[#This Row],[kan_val_acc]]</f>
        <v>0.16888888478279113</v>
      </c>
      <c r="AG216">
        <f>Tabela3[[#This Row],[kan_test_acc]]</f>
        <v>0.11555555611848831</v>
      </c>
      <c r="AH216">
        <f>Tabela3[[#This Row],[mlp_test_acc]]</f>
        <v>0.97111111111111115</v>
      </c>
      <c r="AI216">
        <f>Tabela3[[#This Row],[mlp_val_acc]]</f>
        <v>0.9807407407407408</v>
      </c>
      <c r="AJ216">
        <f>Tabela3[[#This Row],[mlp_train_acc]]</f>
        <v>0.99201485608170847</v>
      </c>
    </row>
    <row r="217" spans="1:36" x14ac:dyDescent="0.25">
      <c r="A217" t="s">
        <v>71</v>
      </c>
      <c r="B217">
        <v>16</v>
      </c>
      <c r="C217">
        <v>9</v>
      </c>
      <c r="D217">
        <v>3</v>
      </c>
      <c r="E217">
        <v>0</v>
      </c>
      <c r="F217" t="s">
        <v>104</v>
      </c>
      <c r="G217">
        <v>216806</v>
      </c>
      <c r="H217">
        <v>164068642.40000001</v>
      </c>
      <c r="I217">
        <v>27.8</v>
      </c>
      <c r="J217">
        <v>0.16583100855350494</v>
      </c>
      <c r="K217">
        <v>0.26000000536441803</v>
      </c>
      <c r="L217">
        <v>0.16088889241218568</v>
      </c>
      <c r="M217">
        <v>0.9608888888888889</v>
      </c>
      <c r="N217">
        <v>0.9622222222222222</v>
      </c>
      <c r="O217">
        <v>0.99350046425255334</v>
      </c>
      <c r="P217">
        <v>51</v>
      </c>
      <c r="Q217">
        <v>6955089.2000000002</v>
      </c>
      <c r="R217">
        <v>216080</v>
      </c>
      <c r="S217">
        <v>2</v>
      </c>
      <c r="T217">
        <v>310</v>
      </c>
      <c r="U217">
        <v>0.9635555555555555</v>
      </c>
      <c r="V217">
        <v>0.95851851851851855</v>
      </c>
      <c r="W217">
        <v>0.99238625812441972</v>
      </c>
      <c r="X217">
        <v>44.8</v>
      </c>
      <c r="Y217">
        <v>4317396</v>
      </c>
      <c r="Z217">
        <v>217399</v>
      </c>
      <c r="AA217">
        <v>2</v>
      </c>
      <c r="AB217">
        <v>311</v>
      </c>
      <c r="AD217">
        <f>Tabela3[[#This Row],[kan_params]]</f>
        <v>216806</v>
      </c>
      <c r="AE217">
        <f>Tabela3[[#This Row],[kan_train_acc]]</f>
        <v>0.16583100855350494</v>
      </c>
      <c r="AF217">
        <f>Tabela3[[#This Row],[kan_val_acc]]</f>
        <v>0.26000000536441803</v>
      </c>
      <c r="AG217">
        <f>Tabela3[[#This Row],[kan_test_acc]]</f>
        <v>0.16088889241218568</v>
      </c>
      <c r="AH217">
        <f>Tabela3[[#This Row],[mlp_test_acc]]</f>
        <v>0.9608888888888889</v>
      </c>
      <c r="AI217">
        <f>Tabela3[[#This Row],[mlp_val_acc]]</f>
        <v>0.9622222222222222</v>
      </c>
      <c r="AJ217">
        <f>Tabela3[[#This Row],[mlp_train_acc]]</f>
        <v>0.99350046425255334</v>
      </c>
    </row>
    <row r="218" spans="1:36" x14ac:dyDescent="0.25">
      <c r="A218" t="s">
        <v>71</v>
      </c>
      <c r="B218">
        <v>10</v>
      </c>
      <c r="C218">
        <v>3</v>
      </c>
      <c r="D218">
        <v>3</v>
      </c>
      <c r="E218">
        <v>0</v>
      </c>
      <c r="F218" t="s">
        <v>140</v>
      </c>
      <c r="G218">
        <v>216927</v>
      </c>
      <c r="H218">
        <v>196036629.19999999</v>
      </c>
      <c r="I218">
        <v>24.6</v>
      </c>
      <c r="J218">
        <v>0.11847725063562393</v>
      </c>
      <c r="K218">
        <v>0.21259259283542634</v>
      </c>
      <c r="L218">
        <v>0.12400000095367432</v>
      </c>
      <c r="M218">
        <v>0.97555555555555551</v>
      </c>
      <c r="N218">
        <v>0.98148148148148151</v>
      </c>
      <c r="O218">
        <v>0.99071494893221912</v>
      </c>
      <c r="P218">
        <v>38.799999999999997</v>
      </c>
      <c r="Q218">
        <v>5646163</v>
      </c>
      <c r="R218">
        <v>216080</v>
      </c>
      <c r="S218">
        <v>2</v>
      </c>
      <c r="T218">
        <v>310</v>
      </c>
      <c r="U218">
        <v>0.96933333333333338</v>
      </c>
      <c r="V218">
        <v>0.98148148148148151</v>
      </c>
      <c r="W218">
        <v>0.99424326833797583</v>
      </c>
      <c r="X218">
        <v>41</v>
      </c>
      <c r="Y218">
        <v>4799495.2</v>
      </c>
      <c r="Z218">
        <v>217399</v>
      </c>
      <c r="AA218">
        <v>2</v>
      </c>
      <c r="AB218">
        <v>311</v>
      </c>
      <c r="AD218">
        <f>Tabela3[[#This Row],[kan_params]]</f>
        <v>216927</v>
      </c>
      <c r="AE218">
        <f>Tabela3[[#This Row],[kan_train_acc]]</f>
        <v>0.11847725063562393</v>
      </c>
      <c r="AF218">
        <f>Tabela3[[#This Row],[kan_val_acc]]</f>
        <v>0.21259259283542634</v>
      </c>
      <c r="AG218">
        <f>Tabela3[[#This Row],[kan_test_acc]]</f>
        <v>0.12400000095367432</v>
      </c>
      <c r="AH218">
        <f>Tabela3[[#This Row],[mlp_test_acc]]</f>
        <v>0.97555555555555551</v>
      </c>
      <c r="AI218">
        <f>Tabela3[[#This Row],[mlp_val_acc]]</f>
        <v>0.98148148148148151</v>
      </c>
      <c r="AJ218">
        <f>Tabela3[[#This Row],[mlp_train_acc]]</f>
        <v>0.99071494893221912</v>
      </c>
    </row>
    <row r="219" spans="1:36" x14ac:dyDescent="0.25">
      <c r="A219" t="s">
        <v>71</v>
      </c>
      <c r="B219">
        <v>16</v>
      </c>
      <c r="C219">
        <v>9</v>
      </c>
      <c r="D219">
        <v>3</v>
      </c>
      <c r="E219">
        <v>0</v>
      </c>
      <c r="F219" t="s">
        <v>145</v>
      </c>
      <c r="G219">
        <v>216978</v>
      </c>
      <c r="H219">
        <v>168381379.19999999</v>
      </c>
      <c r="I219">
        <v>31.4</v>
      </c>
      <c r="J219">
        <v>0.1405756726861</v>
      </c>
      <c r="K219">
        <v>0.24222222715616226</v>
      </c>
      <c r="L219">
        <v>0.14133333414793015</v>
      </c>
      <c r="M219">
        <v>0.97288888888888891</v>
      </c>
      <c r="N219">
        <v>0.97703703703703704</v>
      </c>
      <c r="O219">
        <v>0.99164345403899723</v>
      </c>
      <c r="P219">
        <v>42</v>
      </c>
      <c r="Q219">
        <v>3782045.8</v>
      </c>
      <c r="R219">
        <v>216080</v>
      </c>
      <c r="S219">
        <v>2</v>
      </c>
      <c r="T219">
        <v>310</v>
      </c>
      <c r="U219">
        <v>0.97511111111111115</v>
      </c>
      <c r="V219">
        <v>0.97777777777777775</v>
      </c>
      <c r="W219">
        <v>0.98960074280408539</v>
      </c>
      <c r="X219">
        <v>42.2</v>
      </c>
      <c r="Y219">
        <v>5172600.8</v>
      </c>
      <c r="Z219">
        <v>217399</v>
      </c>
      <c r="AA219">
        <v>2</v>
      </c>
      <c r="AB219">
        <v>311</v>
      </c>
      <c r="AD219">
        <f>Tabela3[[#This Row],[kan_params]]</f>
        <v>216978</v>
      </c>
      <c r="AE219">
        <f>Tabela3[[#This Row],[kan_train_acc]]</f>
        <v>0.1405756726861</v>
      </c>
      <c r="AF219">
        <f>Tabela3[[#This Row],[kan_val_acc]]</f>
        <v>0.24222222715616226</v>
      </c>
      <c r="AG219">
        <f>Tabela3[[#This Row],[kan_test_acc]]</f>
        <v>0.14133333414793015</v>
      </c>
      <c r="AH219">
        <f>Tabela3[[#This Row],[mlp_test_acc]]</f>
        <v>0.97288888888888891</v>
      </c>
      <c r="AI219">
        <f>Tabela3[[#This Row],[mlp_val_acc]]</f>
        <v>0.97703703703703704</v>
      </c>
      <c r="AJ219">
        <f>Tabela3[[#This Row],[mlp_train_acc]]</f>
        <v>0.99164345403899723</v>
      </c>
    </row>
    <row r="220" spans="1:36" x14ac:dyDescent="0.25">
      <c r="A220" t="s">
        <v>71</v>
      </c>
      <c r="B220">
        <v>12</v>
      </c>
      <c r="C220">
        <v>3</v>
      </c>
      <c r="D220">
        <v>4</v>
      </c>
      <c r="E220">
        <v>0</v>
      </c>
      <c r="F220" t="s">
        <v>95</v>
      </c>
      <c r="G220">
        <v>217191</v>
      </c>
      <c r="H220">
        <v>137283932.40000001</v>
      </c>
      <c r="I220">
        <v>22.6</v>
      </c>
      <c r="J220">
        <v>0.11996285766363143</v>
      </c>
      <c r="K220">
        <v>0.17629629671573638</v>
      </c>
      <c r="L220">
        <v>0.10488888919353485</v>
      </c>
      <c r="M220">
        <v>0.97199999999999998</v>
      </c>
      <c r="N220">
        <v>0.98296296296296293</v>
      </c>
      <c r="O220">
        <v>0.9905292479108635</v>
      </c>
      <c r="P220">
        <v>39.200000000000003</v>
      </c>
      <c r="Q220">
        <v>5656924.5999999996</v>
      </c>
      <c r="R220">
        <v>216080</v>
      </c>
      <c r="S220">
        <v>2</v>
      </c>
      <c r="T220">
        <v>310</v>
      </c>
      <c r="U220">
        <v>0.97199999999999998</v>
      </c>
      <c r="V220">
        <v>0.98148148148148151</v>
      </c>
      <c r="W220">
        <v>0.99275766016713096</v>
      </c>
      <c r="X220">
        <v>41.4</v>
      </c>
      <c r="Y220">
        <v>6075809.7999999998</v>
      </c>
      <c r="Z220">
        <v>217399</v>
      </c>
      <c r="AA220">
        <v>2</v>
      </c>
      <c r="AB220">
        <v>311</v>
      </c>
      <c r="AD220">
        <f>Tabela3[[#This Row],[kan_params]]</f>
        <v>217191</v>
      </c>
      <c r="AE220">
        <f>Tabela3[[#This Row],[kan_train_acc]]</f>
        <v>0.11996285766363143</v>
      </c>
      <c r="AF220">
        <f>Tabela3[[#This Row],[kan_val_acc]]</f>
        <v>0.17629629671573638</v>
      </c>
      <c r="AG220">
        <f>Tabela3[[#This Row],[kan_test_acc]]</f>
        <v>0.10488888919353485</v>
      </c>
      <c r="AH220">
        <f>Tabela3[[#This Row],[mlp_test_acc]]</f>
        <v>0.97199999999999998</v>
      </c>
      <c r="AI220">
        <f>Tabela3[[#This Row],[mlp_val_acc]]</f>
        <v>0.98296296296296293</v>
      </c>
      <c r="AJ220">
        <f>Tabela3[[#This Row],[mlp_train_acc]]</f>
        <v>0.9905292479108635</v>
      </c>
    </row>
    <row r="221" spans="1:36" x14ac:dyDescent="0.25">
      <c r="A221" t="s">
        <v>71</v>
      </c>
      <c r="B221">
        <v>10</v>
      </c>
      <c r="C221">
        <v>3</v>
      </c>
      <c r="D221">
        <v>3</v>
      </c>
      <c r="E221">
        <v>0</v>
      </c>
      <c r="F221" t="s">
        <v>127</v>
      </c>
      <c r="G221">
        <v>217794</v>
      </c>
      <c r="H221">
        <v>182924573.59999999</v>
      </c>
      <c r="I221">
        <v>24.4</v>
      </c>
      <c r="J221">
        <v>0.10677808672189712</v>
      </c>
      <c r="K221">
        <v>0.23407407701015473</v>
      </c>
      <c r="L221">
        <v>0.1035555586218834</v>
      </c>
      <c r="M221">
        <v>0.96977777777777774</v>
      </c>
      <c r="N221">
        <v>0.97851851851851845</v>
      </c>
      <c r="O221">
        <v>0.99090064995357474</v>
      </c>
      <c r="P221">
        <v>36.200000000000003</v>
      </c>
      <c r="Q221">
        <v>4707801.2</v>
      </c>
      <c r="R221">
        <v>217399</v>
      </c>
      <c r="S221">
        <v>2</v>
      </c>
      <c r="T221">
        <v>311</v>
      </c>
      <c r="U221">
        <v>0.97244444444444444</v>
      </c>
      <c r="V221">
        <v>0.9807407407407408</v>
      </c>
      <c r="W221">
        <v>0.9905292479108635</v>
      </c>
      <c r="X221">
        <v>42</v>
      </c>
      <c r="Y221">
        <v>4385387</v>
      </c>
      <c r="Z221">
        <v>218722</v>
      </c>
      <c r="AA221">
        <v>2</v>
      </c>
      <c r="AB221">
        <v>312</v>
      </c>
      <c r="AD221">
        <f>Tabela3[[#This Row],[kan_params]]</f>
        <v>217794</v>
      </c>
      <c r="AE221">
        <f>Tabela3[[#This Row],[kan_train_acc]]</f>
        <v>0.10677808672189712</v>
      </c>
      <c r="AF221">
        <f>Tabela3[[#This Row],[kan_val_acc]]</f>
        <v>0.23407407701015473</v>
      </c>
      <c r="AG221">
        <f>Tabela3[[#This Row],[kan_test_acc]]</f>
        <v>0.1035555586218834</v>
      </c>
      <c r="AH221">
        <f>Tabela3[[#This Row],[mlp_test_acc]]</f>
        <v>0.96977777777777774</v>
      </c>
      <c r="AI221">
        <f>Tabela3[[#This Row],[mlp_val_acc]]</f>
        <v>0.97851851851851845</v>
      </c>
      <c r="AJ221">
        <f>Tabela3[[#This Row],[mlp_train_acc]]</f>
        <v>0.99090064995357474</v>
      </c>
    </row>
    <row r="222" spans="1:36" x14ac:dyDescent="0.25">
      <c r="A222" t="s">
        <v>71</v>
      </c>
      <c r="B222">
        <v>10</v>
      </c>
      <c r="C222">
        <v>3</v>
      </c>
      <c r="D222">
        <v>3</v>
      </c>
      <c r="E222">
        <v>0</v>
      </c>
      <c r="F222" t="s">
        <v>114</v>
      </c>
      <c r="G222">
        <v>218341</v>
      </c>
      <c r="H222">
        <v>101513215.2</v>
      </c>
      <c r="I222">
        <v>14</v>
      </c>
      <c r="J222">
        <v>0.12256267368793487</v>
      </c>
      <c r="K222">
        <v>0.20888888835906982</v>
      </c>
      <c r="L222">
        <v>0.12755555510520936</v>
      </c>
      <c r="M222">
        <v>0.96266666666666667</v>
      </c>
      <c r="N222">
        <v>0.96888888888888891</v>
      </c>
      <c r="O222">
        <v>0.99071494893221912</v>
      </c>
      <c r="P222">
        <v>39.799999999999997</v>
      </c>
      <c r="Q222">
        <v>5875819.4000000004</v>
      </c>
      <c r="R222">
        <v>217399</v>
      </c>
      <c r="S222">
        <v>2</v>
      </c>
      <c r="T222">
        <v>311</v>
      </c>
      <c r="U222">
        <v>0.96666666666666667</v>
      </c>
      <c r="V222">
        <v>0.97703703703703704</v>
      </c>
      <c r="W222">
        <v>0.99182915506035285</v>
      </c>
      <c r="X222">
        <v>44.8</v>
      </c>
      <c r="Y222">
        <v>6427372.5999999996</v>
      </c>
      <c r="Z222">
        <v>218722</v>
      </c>
      <c r="AA222">
        <v>2</v>
      </c>
      <c r="AB222">
        <v>312</v>
      </c>
      <c r="AD222">
        <f>Tabela3[[#This Row],[kan_params]]</f>
        <v>218341</v>
      </c>
      <c r="AE222">
        <f>Tabela3[[#This Row],[kan_train_acc]]</f>
        <v>0.12256267368793487</v>
      </c>
      <c r="AF222">
        <f>Tabela3[[#This Row],[kan_val_acc]]</f>
        <v>0.20888888835906982</v>
      </c>
      <c r="AG222">
        <f>Tabela3[[#This Row],[kan_test_acc]]</f>
        <v>0.12755555510520936</v>
      </c>
      <c r="AH222">
        <f>Tabela3[[#This Row],[mlp_test_acc]]</f>
        <v>0.96266666666666667</v>
      </c>
      <c r="AI222">
        <f>Tabela3[[#This Row],[mlp_val_acc]]</f>
        <v>0.96888888888888891</v>
      </c>
      <c r="AJ222">
        <f>Tabela3[[#This Row],[mlp_train_acc]]</f>
        <v>0.99071494893221912</v>
      </c>
    </row>
    <row r="223" spans="1:36" x14ac:dyDescent="0.25">
      <c r="A223" t="s">
        <v>71</v>
      </c>
      <c r="B223">
        <v>10</v>
      </c>
      <c r="C223">
        <v>3</v>
      </c>
      <c r="D223">
        <v>3</v>
      </c>
      <c r="E223">
        <v>0</v>
      </c>
      <c r="F223" t="s">
        <v>87</v>
      </c>
      <c r="G223">
        <v>218475</v>
      </c>
      <c r="H223">
        <v>188983177.19999999</v>
      </c>
      <c r="I223">
        <v>26.4</v>
      </c>
      <c r="J223">
        <v>0.11959145739674568</v>
      </c>
      <c r="K223">
        <v>0.24592593014240266</v>
      </c>
      <c r="L223">
        <v>0.11244444251060486</v>
      </c>
      <c r="M223">
        <v>0.96133333333333326</v>
      </c>
      <c r="N223">
        <v>0.97555555555555562</v>
      </c>
      <c r="O223">
        <v>0.99294336118848658</v>
      </c>
      <c r="P223">
        <v>45.6</v>
      </c>
      <c r="Q223">
        <v>4885026.2</v>
      </c>
      <c r="R223">
        <v>217399</v>
      </c>
      <c r="S223">
        <v>2</v>
      </c>
      <c r="T223">
        <v>311</v>
      </c>
      <c r="U223">
        <v>0.95911111111111114</v>
      </c>
      <c r="V223">
        <v>0.97703703703703704</v>
      </c>
      <c r="W223">
        <v>0.99071494893221912</v>
      </c>
      <c r="X223">
        <v>41.8</v>
      </c>
      <c r="Y223">
        <v>5835923</v>
      </c>
      <c r="Z223">
        <v>218722</v>
      </c>
      <c r="AA223">
        <v>2</v>
      </c>
      <c r="AB223">
        <v>312</v>
      </c>
      <c r="AD223">
        <f>Tabela3[[#This Row],[kan_params]]</f>
        <v>218475</v>
      </c>
      <c r="AE223">
        <f>Tabela3[[#This Row],[kan_train_acc]]</f>
        <v>0.11959145739674568</v>
      </c>
      <c r="AF223">
        <f>Tabela3[[#This Row],[kan_val_acc]]</f>
        <v>0.24592593014240266</v>
      </c>
      <c r="AG223">
        <f>Tabela3[[#This Row],[kan_test_acc]]</f>
        <v>0.11244444251060486</v>
      </c>
      <c r="AH223">
        <f>Tabela3[[#This Row],[mlp_test_acc]]</f>
        <v>0.96133333333333326</v>
      </c>
      <c r="AI223">
        <f>Tabela3[[#This Row],[mlp_val_acc]]</f>
        <v>0.97555555555555562</v>
      </c>
      <c r="AJ223">
        <f>Tabela3[[#This Row],[mlp_train_acc]]</f>
        <v>0.99294336118848658</v>
      </c>
    </row>
    <row r="224" spans="1:36" x14ac:dyDescent="0.25">
      <c r="A224" t="s">
        <v>71</v>
      </c>
      <c r="B224">
        <v>10</v>
      </c>
      <c r="C224">
        <v>3</v>
      </c>
      <c r="D224">
        <v>3</v>
      </c>
      <c r="E224">
        <v>0</v>
      </c>
      <c r="F224" t="s">
        <v>100</v>
      </c>
      <c r="G224">
        <v>218568</v>
      </c>
      <c r="H224">
        <v>170672644.59999999</v>
      </c>
      <c r="I224">
        <v>26</v>
      </c>
      <c r="J224">
        <v>8.1894151121377948E-2</v>
      </c>
      <c r="K224">
        <v>0.21481482088565826</v>
      </c>
      <c r="L224">
        <v>8.0888888984918597E-2</v>
      </c>
      <c r="M224">
        <v>0.96399999999999997</v>
      </c>
      <c r="N224">
        <v>0.97703703703703704</v>
      </c>
      <c r="O224">
        <v>0.99275766016713096</v>
      </c>
      <c r="P224">
        <v>47.8</v>
      </c>
      <c r="Q224">
        <v>6958099.2000000002</v>
      </c>
      <c r="R224">
        <v>217399</v>
      </c>
      <c r="S224">
        <v>2</v>
      </c>
      <c r="T224">
        <v>311</v>
      </c>
      <c r="U224">
        <v>0.9608888888888889</v>
      </c>
      <c r="V224">
        <v>0.97703703703703704</v>
      </c>
      <c r="W224">
        <v>0.99275766016713096</v>
      </c>
      <c r="X224">
        <v>48</v>
      </c>
      <c r="Y224">
        <v>5587303.4000000004</v>
      </c>
      <c r="Z224">
        <v>218722</v>
      </c>
      <c r="AA224">
        <v>2</v>
      </c>
      <c r="AB224">
        <v>312</v>
      </c>
      <c r="AD224">
        <f>Tabela3[[#This Row],[kan_params]]</f>
        <v>218568</v>
      </c>
      <c r="AE224">
        <f>Tabela3[[#This Row],[kan_train_acc]]</f>
        <v>8.1894151121377948E-2</v>
      </c>
      <c r="AF224">
        <f>Tabela3[[#This Row],[kan_val_acc]]</f>
        <v>0.21481482088565826</v>
      </c>
      <c r="AG224">
        <f>Tabela3[[#This Row],[kan_test_acc]]</f>
        <v>8.0888888984918597E-2</v>
      </c>
      <c r="AH224">
        <f>Tabela3[[#This Row],[mlp_test_acc]]</f>
        <v>0.96399999999999997</v>
      </c>
      <c r="AI224">
        <f>Tabela3[[#This Row],[mlp_val_acc]]</f>
        <v>0.97703703703703704</v>
      </c>
      <c r="AJ224">
        <f>Tabela3[[#This Row],[mlp_train_acc]]</f>
        <v>0.99275766016713096</v>
      </c>
    </row>
    <row r="225" spans="1:36" x14ac:dyDescent="0.25">
      <c r="A225" t="s">
        <v>71</v>
      </c>
      <c r="B225">
        <v>16</v>
      </c>
      <c r="C225">
        <v>9</v>
      </c>
      <c r="D225">
        <v>3</v>
      </c>
      <c r="E225">
        <v>0</v>
      </c>
      <c r="F225" t="s">
        <v>91</v>
      </c>
      <c r="G225">
        <v>218877</v>
      </c>
      <c r="H225">
        <v>173103210</v>
      </c>
      <c r="I225">
        <v>27.4</v>
      </c>
      <c r="J225">
        <v>0.21039925813674926</v>
      </c>
      <c r="K225">
        <v>0.2718518555164337</v>
      </c>
      <c r="L225">
        <v>0.21688888669013978</v>
      </c>
      <c r="M225">
        <v>0.96133333333333326</v>
      </c>
      <c r="N225">
        <v>0.96074074074074067</v>
      </c>
      <c r="O225">
        <v>0.99294336118848658</v>
      </c>
      <c r="P225">
        <v>46.4</v>
      </c>
      <c r="Q225">
        <v>4853800.2</v>
      </c>
      <c r="R225">
        <v>218722</v>
      </c>
      <c r="S225">
        <v>2</v>
      </c>
      <c r="T225">
        <v>312</v>
      </c>
      <c r="U225">
        <v>0.9622222222222222</v>
      </c>
      <c r="V225">
        <v>0.96444444444444444</v>
      </c>
      <c r="W225">
        <v>0.99405756731662021</v>
      </c>
      <c r="X225">
        <v>54.4</v>
      </c>
      <c r="Y225">
        <v>5473155</v>
      </c>
      <c r="Z225">
        <v>220049</v>
      </c>
      <c r="AA225">
        <v>2</v>
      </c>
      <c r="AB225">
        <v>313</v>
      </c>
      <c r="AD225">
        <f>Tabela3[[#This Row],[kan_params]]</f>
        <v>218877</v>
      </c>
      <c r="AE225">
        <f>Tabela3[[#This Row],[kan_train_acc]]</f>
        <v>0.21039925813674926</v>
      </c>
      <c r="AF225">
        <f>Tabela3[[#This Row],[kan_val_acc]]</f>
        <v>0.2718518555164337</v>
      </c>
      <c r="AG225">
        <f>Tabela3[[#This Row],[kan_test_acc]]</f>
        <v>0.21688888669013978</v>
      </c>
      <c r="AH225">
        <f>Tabela3[[#This Row],[mlp_test_acc]]</f>
        <v>0.96133333333333326</v>
      </c>
      <c r="AI225">
        <f>Tabela3[[#This Row],[mlp_val_acc]]</f>
        <v>0.96074074074074067</v>
      </c>
      <c r="AJ225">
        <f>Tabela3[[#This Row],[mlp_train_acc]]</f>
        <v>0.99294336118848658</v>
      </c>
    </row>
    <row r="226" spans="1:36" x14ac:dyDescent="0.25">
      <c r="A226" t="s">
        <v>71</v>
      </c>
      <c r="B226">
        <v>16</v>
      </c>
      <c r="C226">
        <v>9</v>
      </c>
      <c r="D226">
        <v>3</v>
      </c>
      <c r="E226">
        <v>0</v>
      </c>
      <c r="F226" t="s">
        <v>132</v>
      </c>
      <c r="G226">
        <v>220149</v>
      </c>
      <c r="H226">
        <v>106177522.40000001</v>
      </c>
      <c r="I226">
        <v>19</v>
      </c>
      <c r="J226">
        <v>0.11847725361585618</v>
      </c>
      <c r="K226">
        <v>0.25111110806465148</v>
      </c>
      <c r="L226">
        <v>0.12355555593967438</v>
      </c>
      <c r="M226">
        <v>0.97333333333333327</v>
      </c>
      <c r="N226">
        <v>0.97851851851851857</v>
      </c>
      <c r="O226">
        <v>0.99312906220984221</v>
      </c>
      <c r="P226">
        <v>46.2</v>
      </c>
      <c r="Q226">
        <v>5277272</v>
      </c>
      <c r="R226">
        <v>220049</v>
      </c>
      <c r="S226">
        <v>2</v>
      </c>
      <c r="T226">
        <v>313</v>
      </c>
      <c r="U226">
        <v>0.97288888888888891</v>
      </c>
      <c r="V226">
        <v>0.9748148148148148</v>
      </c>
      <c r="W226">
        <v>0.98960074280408539</v>
      </c>
      <c r="X226">
        <v>40</v>
      </c>
      <c r="Y226">
        <v>3027790.6</v>
      </c>
      <c r="Z226">
        <v>221380</v>
      </c>
      <c r="AA226">
        <v>2</v>
      </c>
      <c r="AB226">
        <v>314</v>
      </c>
      <c r="AD226">
        <f>Tabela3[[#This Row],[kan_params]]</f>
        <v>220149</v>
      </c>
      <c r="AE226">
        <f>Tabela3[[#This Row],[kan_train_acc]]</f>
        <v>0.11847725361585618</v>
      </c>
      <c r="AF226">
        <f>Tabela3[[#This Row],[kan_val_acc]]</f>
        <v>0.25111110806465148</v>
      </c>
      <c r="AG226">
        <f>Tabela3[[#This Row],[kan_test_acc]]</f>
        <v>0.12355555593967438</v>
      </c>
      <c r="AH226">
        <f>Tabela3[[#This Row],[mlp_test_acc]]</f>
        <v>0.97333333333333327</v>
      </c>
      <c r="AI226">
        <f>Tabela3[[#This Row],[mlp_val_acc]]</f>
        <v>0.97851851851851857</v>
      </c>
      <c r="AJ226">
        <f>Tabela3[[#This Row],[mlp_train_acc]]</f>
        <v>0.99312906220984221</v>
      </c>
    </row>
    <row r="227" spans="1:36" x14ac:dyDescent="0.25">
      <c r="A227" t="s">
        <v>71</v>
      </c>
      <c r="B227">
        <v>16</v>
      </c>
      <c r="C227">
        <v>9</v>
      </c>
      <c r="D227">
        <v>3</v>
      </c>
      <c r="E227">
        <v>0</v>
      </c>
      <c r="F227" t="s">
        <v>119</v>
      </c>
      <c r="G227">
        <v>222880</v>
      </c>
      <c r="H227">
        <v>240064227</v>
      </c>
      <c r="I227">
        <v>39.799999999999997</v>
      </c>
      <c r="J227">
        <v>0.28152274936437605</v>
      </c>
      <c r="K227">
        <v>0.3281481474637985</v>
      </c>
      <c r="L227">
        <v>0.27822222411632536</v>
      </c>
      <c r="M227">
        <v>0.96399999999999997</v>
      </c>
      <c r="N227">
        <v>0.95851851851851855</v>
      </c>
      <c r="O227">
        <v>0.99090064995357474</v>
      </c>
      <c r="P227">
        <v>42</v>
      </c>
      <c r="Q227">
        <v>6117358</v>
      </c>
      <c r="R227">
        <v>222715</v>
      </c>
      <c r="S227">
        <v>2</v>
      </c>
      <c r="T227">
        <v>315</v>
      </c>
      <c r="U227">
        <v>0.96399999999999997</v>
      </c>
      <c r="V227">
        <v>0.9622222222222222</v>
      </c>
      <c r="W227">
        <v>0.99368616527390896</v>
      </c>
      <c r="X227">
        <v>49</v>
      </c>
      <c r="Y227">
        <v>5997811.2000000002</v>
      </c>
      <c r="Z227">
        <v>224054</v>
      </c>
      <c r="AA227">
        <v>2</v>
      </c>
      <c r="AB227">
        <v>316</v>
      </c>
      <c r="AD227">
        <f>Tabela3[[#This Row],[kan_params]]</f>
        <v>222880</v>
      </c>
      <c r="AE227">
        <f>Tabela3[[#This Row],[kan_train_acc]]</f>
        <v>0.28152274936437605</v>
      </c>
      <c r="AF227">
        <f>Tabela3[[#This Row],[kan_val_acc]]</f>
        <v>0.3281481474637985</v>
      </c>
      <c r="AG227">
        <f>Tabela3[[#This Row],[kan_test_acc]]</f>
        <v>0.27822222411632536</v>
      </c>
      <c r="AH227">
        <f>Tabela3[[#This Row],[mlp_test_acc]]</f>
        <v>0.96399999999999997</v>
      </c>
      <c r="AI227">
        <f>Tabela3[[#This Row],[mlp_val_acc]]</f>
        <v>0.95851851851851855</v>
      </c>
      <c r="AJ227">
        <f>Tabela3[[#This Row],[mlp_train_acc]]</f>
        <v>0.99090064995357474</v>
      </c>
    </row>
    <row r="228" spans="1:36" x14ac:dyDescent="0.25">
      <c r="A228" t="s">
        <v>71</v>
      </c>
      <c r="B228">
        <v>12</v>
      </c>
      <c r="C228">
        <v>3</v>
      </c>
      <c r="D228">
        <v>4</v>
      </c>
      <c r="E228">
        <v>0</v>
      </c>
      <c r="F228" t="s">
        <v>109</v>
      </c>
      <c r="G228">
        <v>223387</v>
      </c>
      <c r="H228">
        <v>115365611.40000001</v>
      </c>
      <c r="I228">
        <v>18.8</v>
      </c>
      <c r="J228">
        <v>9.5821724832057947E-2</v>
      </c>
      <c r="K228">
        <v>0.17777777463197708</v>
      </c>
      <c r="L228">
        <v>9.2444445192813876E-2</v>
      </c>
      <c r="M228">
        <v>0.97288888888888891</v>
      </c>
      <c r="N228">
        <v>0.98148148148148151</v>
      </c>
      <c r="O228">
        <v>0.99145775301764161</v>
      </c>
      <c r="P228">
        <v>40.799999999999997</v>
      </c>
      <c r="Q228">
        <v>5946085.4000000004</v>
      </c>
      <c r="R228">
        <v>222715</v>
      </c>
      <c r="S228">
        <v>2</v>
      </c>
      <c r="T228">
        <v>315</v>
      </c>
      <c r="U228">
        <v>0.97155555555555551</v>
      </c>
      <c r="V228">
        <v>0.98148148148148151</v>
      </c>
      <c r="W228">
        <v>0.98960074280408539</v>
      </c>
      <c r="X228">
        <v>38.200000000000003</v>
      </c>
      <c r="Y228">
        <v>5637420.2000000002</v>
      </c>
      <c r="Z228">
        <v>224054</v>
      </c>
      <c r="AA228">
        <v>2</v>
      </c>
      <c r="AB228">
        <v>316</v>
      </c>
      <c r="AD228">
        <f>Tabela3[[#This Row],[kan_params]]</f>
        <v>223387</v>
      </c>
      <c r="AE228">
        <f>Tabela3[[#This Row],[kan_train_acc]]</f>
        <v>9.5821724832057947E-2</v>
      </c>
      <c r="AF228">
        <f>Tabela3[[#This Row],[kan_val_acc]]</f>
        <v>0.17777777463197708</v>
      </c>
      <c r="AG228">
        <f>Tabela3[[#This Row],[kan_test_acc]]</f>
        <v>9.2444445192813876E-2</v>
      </c>
      <c r="AH228">
        <f>Tabela3[[#This Row],[mlp_test_acc]]</f>
        <v>0.97288888888888891</v>
      </c>
      <c r="AI228">
        <f>Tabela3[[#This Row],[mlp_val_acc]]</f>
        <v>0.98148148148148151</v>
      </c>
      <c r="AJ228">
        <f>Tabela3[[#This Row],[mlp_train_acc]]</f>
        <v>0.99145775301764161</v>
      </c>
    </row>
    <row r="229" spans="1:36" x14ac:dyDescent="0.25">
      <c r="A229" t="s">
        <v>71</v>
      </c>
      <c r="B229">
        <v>10</v>
      </c>
      <c r="C229">
        <v>3</v>
      </c>
      <c r="D229">
        <v>3</v>
      </c>
      <c r="E229">
        <v>0</v>
      </c>
      <c r="F229" t="s">
        <v>141</v>
      </c>
      <c r="G229">
        <v>223492</v>
      </c>
      <c r="H229">
        <v>226588817</v>
      </c>
      <c r="I229">
        <v>26.6</v>
      </c>
      <c r="J229">
        <v>0.10603528469800949</v>
      </c>
      <c r="K229">
        <v>0.2207407385110855</v>
      </c>
      <c r="L229">
        <v>0.10399999916553497</v>
      </c>
      <c r="M229">
        <v>0.97333333333333338</v>
      </c>
      <c r="N229">
        <v>0.97703703703703704</v>
      </c>
      <c r="O229">
        <v>0.99145775301764161</v>
      </c>
      <c r="P229">
        <v>38.4</v>
      </c>
      <c r="Q229">
        <v>3926940.8</v>
      </c>
      <c r="R229">
        <v>222715</v>
      </c>
      <c r="S229">
        <v>2</v>
      </c>
      <c r="T229">
        <v>315</v>
      </c>
      <c r="U229">
        <v>0.97022222222222221</v>
      </c>
      <c r="V229">
        <v>0.98074074074074069</v>
      </c>
      <c r="W229">
        <v>0.9888579387186629</v>
      </c>
      <c r="X229">
        <v>37.200000000000003</v>
      </c>
      <c r="Y229">
        <v>5028435.2</v>
      </c>
      <c r="Z229">
        <v>224054</v>
      </c>
      <c r="AA229">
        <v>2</v>
      </c>
      <c r="AB229">
        <v>316</v>
      </c>
      <c r="AD229">
        <f>Tabela3[[#This Row],[kan_params]]</f>
        <v>223492</v>
      </c>
      <c r="AE229">
        <f>Tabela3[[#This Row],[kan_train_acc]]</f>
        <v>0.10603528469800949</v>
      </c>
      <c r="AF229">
        <f>Tabela3[[#This Row],[kan_val_acc]]</f>
        <v>0.2207407385110855</v>
      </c>
      <c r="AG229">
        <f>Tabela3[[#This Row],[kan_test_acc]]</f>
        <v>0.10399999916553497</v>
      </c>
      <c r="AH229">
        <f>Tabela3[[#This Row],[mlp_test_acc]]</f>
        <v>0.97333333333333338</v>
      </c>
      <c r="AI229">
        <f>Tabela3[[#This Row],[mlp_val_acc]]</f>
        <v>0.97703703703703704</v>
      </c>
      <c r="AJ229">
        <f>Tabela3[[#This Row],[mlp_train_acc]]</f>
        <v>0.99145775301764161</v>
      </c>
    </row>
    <row r="230" spans="1:36" x14ac:dyDescent="0.25">
      <c r="A230" t="s">
        <v>71</v>
      </c>
      <c r="B230">
        <v>10</v>
      </c>
      <c r="C230">
        <v>3</v>
      </c>
      <c r="D230">
        <v>3</v>
      </c>
      <c r="E230">
        <v>0</v>
      </c>
      <c r="F230" t="s">
        <v>128</v>
      </c>
      <c r="G230">
        <v>224199</v>
      </c>
      <c r="H230">
        <v>168309463.40000001</v>
      </c>
      <c r="I230">
        <v>20.399999999999999</v>
      </c>
      <c r="J230">
        <v>0.10399257317185402</v>
      </c>
      <c r="K230">
        <v>0.19777777791023254</v>
      </c>
      <c r="L230">
        <v>0.10666666626930237</v>
      </c>
      <c r="M230">
        <v>0.97599999999999998</v>
      </c>
      <c r="N230">
        <v>0.9807407407407408</v>
      </c>
      <c r="O230">
        <v>0.99480037140204269</v>
      </c>
      <c r="P230">
        <v>48.6</v>
      </c>
      <c r="Q230">
        <v>7534472.2000000002</v>
      </c>
      <c r="R230">
        <v>224054</v>
      </c>
      <c r="S230">
        <v>2</v>
      </c>
      <c r="T230">
        <v>316</v>
      </c>
      <c r="U230">
        <v>0.97022222222222221</v>
      </c>
      <c r="V230">
        <v>0.98296296296296293</v>
      </c>
      <c r="W230">
        <v>0.99294336118848647</v>
      </c>
      <c r="X230">
        <v>42.2</v>
      </c>
      <c r="Y230">
        <v>5420925.5999999996</v>
      </c>
      <c r="Z230">
        <v>225397</v>
      </c>
      <c r="AA230">
        <v>2</v>
      </c>
      <c r="AB230">
        <v>317</v>
      </c>
      <c r="AD230">
        <f>Tabela3[[#This Row],[kan_params]]</f>
        <v>224199</v>
      </c>
      <c r="AE230">
        <f>Tabela3[[#This Row],[kan_train_acc]]</f>
        <v>0.10399257317185402</v>
      </c>
      <c r="AF230">
        <f>Tabela3[[#This Row],[kan_val_acc]]</f>
        <v>0.19777777791023254</v>
      </c>
      <c r="AG230">
        <f>Tabela3[[#This Row],[kan_test_acc]]</f>
        <v>0.10666666626930237</v>
      </c>
      <c r="AH230">
        <f>Tabela3[[#This Row],[mlp_test_acc]]</f>
        <v>0.97599999999999998</v>
      </c>
      <c r="AI230">
        <f>Tabela3[[#This Row],[mlp_val_acc]]</f>
        <v>0.9807407407407408</v>
      </c>
      <c r="AJ230">
        <f>Tabela3[[#This Row],[mlp_train_acc]]</f>
        <v>0.99480037140204269</v>
      </c>
    </row>
    <row r="231" spans="1:36" x14ac:dyDescent="0.25">
      <c r="A231" t="s">
        <v>71</v>
      </c>
      <c r="B231">
        <v>12</v>
      </c>
      <c r="C231">
        <v>3</v>
      </c>
      <c r="D231">
        <v>4</v>
      </c>
      <c r="E231">
        <v>0</v>
      </c>
      <c r="F231" t="s">
        <v>82</v>
      </c>
      <c r="G231">
        <v>224226</v>
      </c>
      <c r="H231">
        <v>128830106.40000001</v>
      </c>
      <c r="I231">
        <v>20.6</v>
      </c>
      <c r="J231">
        <v>0.10547817945480346</v>
      </c>
      <c r="K231">
        <v>0.22518518567085266</v>
      </c>
      <c r="L231">
        <v>0.11155555546283721</v>
      </c>
      <c r="M231">
        <v>0.97377777777777785</v>
      </c>
      <c r="N231">
        <v>0.98148148148148151</v>
      </c>
      <c r="O231">
        <v>0.99442896935933145</v>
      </c>
      <c r="P231">
        <v>48.8</v>
      </c>
      <c r="Q231">
        <v>5980388.4000000004</v>
      </c>
      <c r="R231">
        <v>224054</v>
      </c>
      <c r="S231">
        <v>2</v>
      </c>
      <c r="T231">
        <v>316</v>
      </c>
      <c r="U231">
        <v>0.96888888888888891</v>
      </c>
      <c r="V231">
        <v>0.98148148148148151</v>
      </c>
      <c r="W231">
        <v>0.9922005571030641</v>
      </c>
      <c r="X231">
        <v>39</v>
      </c>
      <c r="Y231">
        <v>5370931.2000000002</v>
      </c>
      <c r="Z231">
        <v>225397</v>
      </c>
      <c r="AA231">
        <v>2</v>
      </c>
      <c r="AB231">
        <v>317</v>
      </c>
      <c r="AD231">
        <f>Tabela3[[#This Row],[kan_params]]</f>
        <v>224226</v>
      </c>
      <c r="AE231">
        <f>Tabela3[[#This Row],[kan_train_acc]]</f>
        <v>0.10547817945480346</v>
      </c>
      <c r="AF231">
        <f>Tabela3[[#This Row],[kan_val_acc]]</f>
        <v>0.22518518567085266</v>
      </c>
      <c r="AG231">
        <f>Tabela3[[#This Row],[kan_test_acc]]</f>
        <v>0.11155555546283721</v>
      </c>
      <c r="AH231">
        <f>Tabela3[[#This Row],[mlp_test_acc]]</f>
        <v>0.97377777777777785</v>
      </c>
      <c r="AI231">
        <f>Tabela3[[#This Row],[mlp_val_acc]]</f>
        <v>0.98148148148148151</v>
      </c>
      <c r="AJ231">
        <f>Tabela3[[#This Row],[mlp_train_acc]]</f>
        <v>0.99442896935933145</v>
      </c>
    </row>
    <row r="232" spans="1:36" x14ac:dyDescent="0.25">
      <c r="A232" t="s">
        <v>71</v>
      </c>
      <c r="B232">
        <v>10</v>
      </c>
      <c r="C232">
        <v>3</v>
      </c>
      <c r="D232">
        <v>3</v>
      </c>
      <c r="E232">
        <v>0</v>
      </c>
      <c r="F232" t="s">
        <v>115</v>
      </c>
      <c r="G232">
        <v>224586</v>
      </c>
      <c r="H232">
        <v>204499843</v>
      </c>
      <c r="I232">
        <v>27.4</v>
      </c>
      <c r="J232">
        <v>8.8950788974761968E-2</v>
      </c>
      <c r="K232">
        <v>0.20740740895271301</v>
      </c>
      <c r="L232">
        <v>9.155555665493012E-2</v>
      </c>
      <c r="M232">
        <v>0.96711111111111114</v>
      </c>
      <c r="N232">
        <v>0.97407407407407409</v>
      </c>
      <c r="O232">
        <v>0.99108635097493036</v>
      </c>
      <c r="P232">
        <v>41.4</v>
      </c>
      <c r="Q232">
        <v>6367452.7999999998</v>
      </c>
      <c r="R232">
        <v>224054</v>
      </c>
      <c r="S232">
        <v>2</v>
      </c>
      <c r="T232">
        <v>316</v>
      </c>
      <c r="U232">
        <v>0.9608888888888889</v>
      </c>
      <c r="V232">
        <v>0.97555555555555551</v>
      </c>
      <c r="W232">
        <v>0.99294336118848658</v>
      </c>
      <c r="X232">
        <v>43</v>
      </c>
      <c r="Y232">
        <v>7176115.2000000002</v>
      </c>
      <c r="Z232">
        <v>225397</v>
      </c>
      <c r="AA232">
        <v>2</v>
      </c>
      <c r="AB232">
        <v>317</v>
      </c>
      <c r="AD232">
        <f>Tabela3[[#This Row],[kan_params]]</f>
        <v>224586</v>
      </c>
      <c r="AE232">
        <f>Tabela3[[#This Row],[kan_train_acc]]</f>
        <v>8.8950788974761968E-2</v>
      </c>
      <c r="AF232">
        <f>Tabela3[[#This Row],[kan_val_acc]]</f>
        <v>0.20740740895271301</v>
      </c>
      <c r="AG232">
        <f>Tabela3[[#This Row],[kan_test_acc]]</f>
        <v>9.155555665493012E-2</v>
      </c>
      <c r="AH232">
        <f>Tabela3[[#This Row],[mlp_test_acc]]</f>
        <v>0.96711111111111114</v>
      </c>
      <c r="AI232">
        <f>Tabela3[[#This Row],[mlp_val_acc]]</f>
        <v>0.97407407407407409</v>
      </c>
      <c r="AJ232">
        <f>Tabela3[[#This Row],[mlp_train_acc]]</f>
        <v>0.99108635097493036</v>
      </c>
    </row>
    <row r="233" spans="1:36" x14ac:dyDescent="0.25">
      <c r="A233" t="s">
        <v>71</v>
      </c>
      <c r="B233">
        <v>10</v>
      </c>
      <c r="C233">
        <v>3</v>
      </c>
      <c r="D233">
        <v>3</v>
      </c>
      <c r="E233">
        <v>0</v>
      </c>
      <c r="F233" t="s">
        <v>101</v>
      </c>
      <c r="G233">
        <v>224653</v>
      </c>
      <c r="H233">
        <v>158519416.19999999</v>
      </c>
      <c r="I233">
        <v>22.8</v>
      </c>
      <c r="J233">
        <v>0.10882080048322677</v>
      </c>
      <c r="K233">
        <v>0.19777777791023254</v>
      </c>
      <c r="L233">
        <v>0.11599999964237213</v>
      </c>
      <c r="M233">
        <v>0.96533333333333338</v>
      </c>
      <c r="N233">
        <v>0.9748148148148148</v>
      </c>
      <c r="O233">
        <v>0.99257195914577534</v>
      </c>
      <c r="P233">
        <v>46</v>
      </c>
      <c r="Q233">
        <v>5094624.2</v>
      </c>
      <c r="R233">
        <v>224054</v>
      </c>
      <c r="S233">
        <v>2</v>
      </c>
      <c r="T233">
        <v>316</v>
      </c>
      <c r="U233">
        <v>0.9622222222222222</v>
      </c>
      <c r="V233">
        <v>0.9748148148148148</v>
      </c>
      <c r="W233">
        <v>0.99275766016713096</v>
      </c>
      <c r="X233">
        <v>45.6</v>
      </c>
      <c r="Y233">
        <v>7086871.5999999996</v>
      </c>
      <c r="Z233">
        <v>225397</v>
      </c>
      <c r="AA233">
        <v>2</v>
      </c>
      <c r="AB233">
        <v>317</v>
      </c>
      <c r="AD233">
        <f>Tabela3[[#This Row],[kan_params]]</f>
        <v>224653</v>
      </c>
      <c r="AE233">
        <f>Tabela3[[#This Row],[kan_train_acc]]</f>
        <v>0.10882080048322677</v>
      </c>
      <c r="AF233">
        <f>Tabela3[[#This Row],[kan_val_acc]]</f>
        <v>0.19777777791023254</v>
      </c>
      <c r="AG233">
        <f>Tabela3[[#This Row],[kan_test_acc]]</f>
        <v>0.11599999964237213</v>
      </c>
      <c r="AH233">
        <f>Tabela3[[#This Row],[mlp_test_acc]]</f>
        <v>0.96533333333333338</v>
      </c>
      <c r="AI233">
        <f>Tabela3[[#This Row],[mlp_val_acc]]</f>
        <v>0.9748148148148148</v>
      </c>
      <c r="AJ233">
        <f>Tabela3[[#This Row],[mlp_train_acc]]</f>
        <v>0.99257195914577534</v>
      </c>
    </row>
    <row r="234" spans="1:36" x14ac:dyDescent="0.25">
      <c r="A234" t="s">
        <v>71</v>
      </c>
      <c r="B234">
        <v>16</v>
      </c>
      <c r="C234">
        <v>9</v>
      </c>
      <c r="D234">
        <v>3</v>
      </c>
      <c r="E234">
        <v>0</v>
      </c>
      <c r="F234" t="s">
        <v>105</v>
      </c>
      <c r="G234">
        <v>225171</v>
      </c>
      <c r="H234">
        <v>149825537.80000001</v>
      </c>
      <c r="I234">
        <v>24.2</v>
      </c>
      <c r="J234">
        <v>0.20241411626338959</v>
      </c>
      <c r="K234">
        <v>0.26444444954395296</v>
      </c>
      <c r="L234">
        <v>0.19866666793823243</v>
      </c>
      <c r="M234">
        <v>0.96133333333333326</v>
      </c>
      <c r="N234">
        <v>0.9622222222222222</v>
      </c>
      <c r="O234">
        <v>0.99368616527390896</v>
      </c>
      <c r="P234">
        <v>44.4</v>
      </c>
      <c r="Q234">
        <v>4547504.8</v>
      </c>
      <c r="R234">
        <v>224054</v>
      </c>
      <c r="S234">
        <v>2</v>
      </c>
      <c r="T234">
        <v>316</v>
      </c>
      <c r="U234">
        <v>0.96711111111111114</v>
      </c>
      <c r="V234">
        <v>0.95925925925925926</v>
      </c>
      <c r="W234">
        <v>0.99145775301764161</v>
      </c>
      <c r="X234">
        <v>41.8</v>
      </c>
      <c r="Y234">
        <v>4437002.8</v>
      </c>
      <c r="Z234">
        <v>225397</v>
      </c>
      <c r="AA234">
        <v>2</v>
      </c>
      <c r="AB234">
        <v>317</v>
      </c>
      <c r="AD234">
        <f>Tabela3[[#This Row],[kan_params]]</f>
        <v>225171</v>
      </c>
      <c r="AE234">
        <f>Tabela3[[#This Row],[kan_train_acc]]</f>
        <v>0.20241411626338959</v>
      </c>
      <c r="AF234">
        <f>Tabela3[[#This Row],[kan_val_acc]]</f>
        <v>0.26444444954395296</v>
      </c>
      <c r="AG234">
        <f>Tabela3[[#This Row],[kan_test_acc]]</f>
        <v>0.19866666793823243</v>
      </c>
      <c r="AH234">
        <f>Tabela3[[#This Row],[mlp_test_acc]]</f>
        <v>0.96133333333333326</v>
      </c>
      <c r="AI234">
        <f>Tabela3[[#This Row],[mlp_val_acc]]</f>
        <v>0.9622222222222222</v>
      </c>
      <c r="AJ234">
        <f>Tabela3[[#This Row],[mlp_train_acc]]</f>
        <v>0.99368616527390896</v>
      </c>
    </row>
    <row r="235" spans="1:36" x14ac:dyDescent="0.25">
      <c r="A235" t="s">
        <v>71</v>
      </c>
      <c r="B235">
        <v>16</v>
      </c>
      <c r="C235">
        <v>9</v>
      </c>
      <c r="D235">
        <v>3</v>
      </c>
      <c r="E235">
        <v>0</v>
      </c>
      <c r="F235" t="s">
        <v>146</v>
      </c>
      <c r="G235">
        <v>226003</v>
      </c>
      <c r="H235">
        <v>139960992</v>
      </c>
      <c r="I235">
        <v>24.8</v>
      </c>
      <c r="J235">
        <v>0.10584958344697952</v>
      </c>
      <c r="K235">
        <v>0.22074074149131775</v>
      </c>
      <c r="L235">
        <v>0.11111111044883729</v>
      </c>
      <c r="M235">
        <v>0.96888888888888891</v>
      </c>
      <c r="N235">
        <v>0.97259259259259256</v>
      </c>
      <c r="O235">
        <v>0.99127205199628599</v>
      </c>
      <c r="P235">
        <v>42</v>
      </c>
      <c r="Q235">
        <v>4223888.5999999996</v>
      </c>
      <c r="R235">
        <v>225397</v>
      </c>
      <c r="S235">
        <v>2</v>
      </c>
      <c r="T235">
        <v>317</v>
      </c>
      <c r="U235">
        <v>0.97688888888888892</v>
      </c>
      <c r="V235">
        <v>0.97851851851851845</v>
      </c>
      <c r="W235">
        <v>0.99034354688950788</v>
      </c>
      <c r="X235">
        <v>40.799999999999997</v>
      </c>
      <c r="Y235">
        <v>4324901.5999999996</v>
      </c>
      <c r="Z235">
        <v>226744</v>
      </c>
      <c r="AA235">
        <v>2</v>
      </c>
      <c r="AB235">
        <v>318</v>
      </c>
      <c r="AD235">
        <f>Tabela3[[#This Row],[kan_params]]</f>
        <v>226003</v>
      </c>
      <c r="AE235">
        <f>Tabela3[[#This Row],[kan_train_acc]]</f>
        <v>0.10584958344697952</v>
      </c>
      <c r="AF235">
        <f>Tabela3[[#This Row],[kan_val_acc]]</f>
        <v>0.22074074149131775</v>
      </c>
      <c r="AG235">
        <f>Tabela3[[#This Row],[kan_test_acc]]</f>
        <v>0.11111111044883729</v>
      </c>
      <c r="AH235">
        <f>Tabela3[[#This Row],[mlp_test_acc]]</f>
        <v>0.96888888888888891</v>
      </c>
      <c r="AI235">
        <f>Tabela3[[#This Row],[mlp_val_acc]]</f>
        <v>0.97259259259259256</v>
      </c>
      <c r="AJ235">
        <f>Tabela3[[#This Row],[mlp_train_acc]]</f>
        <v>0.99127205199628599</v>
      </c>
    </row>
    <row r="236" spans="1:36" x14ac:dyDescent="0.25">
      <c r="A236" t="s">
        <v>71</v>
      </c>
      <c r="B236">
        <v>16</v>
      </c>
      <c r="C236">
        <v>9</v>
      </c>
      <c r="D236">
        <v>3</v>
      </c>
      <c r="E236">
        <v>0</v>
      </c>
      <c r="F236" t="s">
        <v>92</v>
      </c>
      <c r="G236">
        <v>227022</v>
      </c>
      <c r="H236">
        <v>144470460.80000001</v>
      </c>
      <c r="I236">
        <v>22.4</v>
      </c>
      <c r="J236">
        <v>0.15023212879896164</v>
      </c>
      <c r="K236">
        <v>0.21777777969837189</v>
      </c>
      <c r="L236">
        <v>0.14711111187934875</v>
      </c>
      <c r="M236">
        <v>0.96577777777777774</v>
      </c>
      <c r="N236">
        <v>0.9555555555555556</v>
      </c>
      <c r="O236">
        <v>0.9896007428040855</v>
      </c>
      <c r="P236">
        <v>37</v>
      </c>
      <c r="Q236">
        <v>3991910.3999999999</v>
      </c>
      <c r="R236">
        <v>226744</v>
      </c>
      <c r="S236">
        <v>2</v>
      </c>
      <c r="T236">
        <v>318</v>
      </c>
      <c r="U236">
        <v>0.9622222222222222</v>
      </c>
      <c r="V236">
        <v>0.96370370370370373</v>
      </c>
      <c r="W236">
        <v>0.99610027855153205</v>
      </c>
      <c r="X236">
        <v>54.4</v>
      </c>
      <c r="Y236">
        <v>5786917.4000000004</v>
      </c>
      <c r="Z236">
        <v>228095</v>
      </c>
      <c r="AA236">
        <v>2</v>
      </c>
      <c r="AB236">
        <v>319</v>
      </c>
      <c r="AD236">
        <f>Tabela3[[#This Row],[kan_params]]</f>
        <v>227022</v>
      </c>
      <c r="AE236">
        <f>Tabela3[[#This Row],[kan_train_acc]]</f>
        <v>0.15023212879896164</v>
      </c>
      <c r="AF236">
        <f>Tabela3[[#This Row],[kan_val_acc]]</f>
        <v>0.21777777969837189</v>
      </c>
      <c r="AG236">
        <f>Tabela3[[#This Row],[kan_test_acc]]</f>
        <v>0.14711111187934875</v>
      </c>
      <c r="AH236">
        <f>Tabela3[[#This Row],[mlp_test_acc]]</f>
        <v>0.96577777777777774</v>
      </c>
      <c r="AI236">
        <f>Tabela3[[#This Row],[mlp_val_acc]]</f>
        <v>0.9555555555555556</v>
      </c>
      <c r="AJ236">
        <f>Tabela3[[#This Row],[mlp_train_acc]]</f>
        <v>0.9896007428040855</v>
      </c>
    </row>
    <row r="237" spans="1:36" x14ac:dyDescent="0.25">
      <c r="A237" t="s">
        <v>71</v>
      </c>
      <c r="B237">
        <v>16</v>
      </c>
      <c r="C237">
        <v>9</v>
      </c>
      <c r="D237">
        <v>3</v>
      </c>
      <c r="E237">
        <v>0</v>
      </c>
      <c r="F237" t="s">
        <v>133</v>
      </c>
      <c r="G237">
        <v>228954</v>
      </c>
      <c r="H237">
        <v>176320087.80000001</v>
      </c>
      <c r="I237">
        <v>31.6</v>
      </c>
      <c r="J237">
        <v>0.15803157091140746</v>
      </c>
      <c r="K237">
        <v>0.26296296715736389</v>
      </c>
      <c r="L237">
        <v>0.15599999874830245</v>
      </c>
      <c r="M237">
        <v>0.97155555555555562</v>
      </c>
      <c r="N237">
        <v>0.9748148148148148</v>
      </c>
      <c r="O237">
        <v>0.98830083565459603</v>
      </c>
      <c r="P237">
        <v>38.799999999999997</v>
      </c>
      <c r="Q237">
        <v>4129731.2</v>
      </c>
      <c r="R237">
        <v>228095</v>
      </c>
      <c r="S237">
        <v>2</v>
      </c>
      <c r="T237">
        <v>319</v>
      </c>
      <c r="U237">
        <v>0.97599999999999998</v>
      </c>
      <c r="V237">
        <v>0.97851851851851845</v>
      </c>
      <c r="W237">
        <v>0.99312906220984221</v>
      </c>
      <c r="X237">
        <v>48.2</v>
      </c>
      <c r="Y237">
        <v>4921552</v>
      </c>
      <c r="Z237">
        <v>229450</v>
      </c>
      <c r="AA237">
        <v>2</v>
      </c>
      <c r="AB237">
        <v>320</v>
      </c>
      <c r="AD237">
        <f>Tabela3[[#This Row],[kan_params]]</f>
        <v>228954</v>
      </c>
      <c r="AE237">
        <f>Tabela3[[#This Row],[kan_train_acc]]</f>
        <v>0.15803157091140746</v>
      </c>
      <c r="AF237">
        <f>Tabela3[[#This Row],[kan_val_acc]]</f>
        <v>0.26296296715736389</v>
      </c>
      <c r="AG237">
        <f>Tabela3[[#This Row],[kan_test_acc]]</f>
        <v>0.15599999874830245</v>
      </c>
      <c r="AH237">
        <f>Tabela3[[#This Row],[mlp_test_acc]]</f>
        <v>0.97155555555555562</v>
      </c>
      <c r="AI237">
        <f>Tabela3[[#This Row],[mlp_val_acc]]</f>
        <v>0.9748148148148148</v>
      </c>
      <c r="AJ237">
        <f>Tabela3[[#This Row],[mlp_train_acc]]</f>
        <v>0.98830083565459603</v>
      </c>
    </row>
    <row r="238" spans="1:36" x14ac:dyDescent="0.25">
      <c r="A238" t="s">
        <v>71</v>
      </c>
      <c r="B238">
        <v>10</v>
      </c>
      <c r="C238">
        <v>3</v>
      </c>
      <c r="D238">
        <v>3</v>
      </c>
      <c r="E238">
        <v>0</v>
      </c>
      <c r="F238" t="s">
        <v>142</v>
      </c>
      <c r="G238">
        <v>230057</v>
      </c>
      <c r="H238">
        <v>229223980.59999999</v>
      </c>
      <c r="I238">
        <v>25.6</v>
      </c>
      <c r="J238">
        <v>0.10993500500917434</v>
      </c>
      <c r="K238">
        <v>0.22740741074085236</v>
      </c>
      <c r="L238">
        <v>0.10355555415153503</v>
      </c>
      <c r="M238">
        <v>0.97155555555555562</v>
      </c>
      <c r="N238">
        <v>0.9807407407407408</v>
      </c>
      <c r="O238">
        <v>0.99127205199628599</v>
      </c>
      <c r="P238">
        <v>38.6</v>
      </c>
      <c r="Q238">
        <v>5200413.5999999996</v>
      </c>
      <c r="R238">
        <v>229450</v>
      </c>
      <c r="S238">
        <v>2</v>
      </c>
      <c r="T238">
        <v>320</v>
      </c>
      <c r="U238">
        <v>0.97466666666666668</v>
      </c>
      <c r="V238">
        <v>0.9807407407407408</v>
      </c>
      <c r="W238">
        <v>0.99238625812441961</v>
      </c>
      <c r="X238">
        <v>40.6</v>
      </c>
      <c r="Y238">
        <v>5134809.2</v>
      </c>
      <c r="Z238">
        <v>230809</v>
      </c>
      <c r="AA238">
        <v>2</v>
      </c>
      <c r="AB238">
        <v>321</v>
      </c>
      <c r="AD238">
        <f>Tabela3[[#This Row],[kan_params]]</f>
        <v>230057</v>
      </c>
      <c r="AE238">
        <f>Tabela3[[#This Row],[kan_train_acc]]</f>
        <v>0.10993500500917434</v>
      </c>
      <c r="AF238">
        <f>Tabela3[[#This Row],[kan_val_acc]]</f>
        <v>0.22740741074085236</v>
      </c>
      <c r="AG238">
        <f>Tabela3[[#This Row],[kan_test_acc]]</f>
        <v>0.10355555415153503</v>
      </c>
      <c r="AH238">
        <f>Tabela3[[#This Row],[mlp_test_acc]]</f>
        <v>0.97155555555555562</v>
      </c>
      <c r="AI238">
        <f>Tabela3[[#This Row],[mlp_val_acc]]</f>
        <v>0.9807407407407408</v>
      </c>
      <c r="AJ238">
        <f>Tabela3[[#This Row],[mlp_train_acc]]</f>
        <v>0.99127205199628599</v>
      </c>
    </row>
    <row r="239" spans="1:36" x14ac:dyDescent="0.25">
      <c r="A239" t="s">
        <v>71</v>
      </c>
      <c r="B239">
        <v>10</v>
      </c>
      <c r="C239">
        <v>3</v>
      </c>
      <c r="D239">
        <v>3</v>
      </c>
      <c r="E239">
        <v>0</v>
      </c>
      <c r="F239" t="s">
        <v>129</v>
      </c>
      <c r="G239">
        <v>230604</v>
      </c>
      <c r="H239">
        <v>217000511.19999999</v>
      </c>
      <c r="I239">
        <v>23.6</v>
      </c>
      <c r="J239">
        <v>0.13277623206377029</v>
      </c>
      <c r="K239">
        <v>0.25925925374031067</v>
      </c>
      <c r="L239">
        <v>0.12844444215297698</v>
      </c>
      <c r="M239">
        <v>0.97244444444444444</v>
      </c>
      <c r="N239">
        <v>0.97777777777777775</v>
      </c>
      <c r="O239">
        <v>0.98960074280408539</v>
      </c>
      <c r="P239">
        <v>37.4</v>
      </c>
      <c r="Q239">
        <v>4168047</v>
      </c>
      <c r="R239">
        <v>229450</v>
      </c>
      <c r="S239">
        <v>2</v>
      </c>
      <c r="T239">
        <v>320</v>
      </c>
      <c r="U239">
        <v>0.97377777777777774</v>
      </c>
      <c r="V239">
        <v>0.98370370370370375</v>
      </c>
      <c r="W239">
        <v>0.99275766016713085</v>
      </c>
      <c r="X239">
        <v>41.8</v>
      </c>
      <c r="Y239">
        <v>4784548.2</v>
      </c>
      <c r="Z239">
        <v>230809</v>
      </c>
      <c r="AA239">
        <v>2</v>
      </c>
      <c r="AB239">
        <v>321</v>
      </c>
      <c r="AD239">
        <f>Tabela3[[#This Row],[kan_params]]</f>
        <v>230604</v>
      </c>
      <c r="AE239">
        <f>Tabela3[[#This Row],[kan_train_acc]]</f>
        <v>0.13277623206377029</v>
      </c>
      <c r="AF239">
        <f>Tabela3[[#This Row],[kan_val_acc]]</f>
        <v>0.25925925374031067</v>
      </c>
      <c r="AG239">
        <f>Tabela3[[#This Row],[kan_test_acc]]</f>
        <v>0.12844444215297698</v>
      </c>
      <c r="AH239">
        <f>Tabela3[[#This Row],[mlp_test_acc]]</f>
        <v>0.97244444444444444</v>
      </c>
      <c r="AI239">
        <f>Tabela3[[#This Row],[mlp_val_acc]]</f>
        <v>0.97777777777777775</v>
      </c>
      <c r="AJ239">
        <f>Tabela3[[#This Row],[mlp_train_acc]]</f>
        <v>0.98960074280408539</v>
      </c>
    </row>
    <row r="240" spans="1:36" x14ac:dyDescent="0.25">
      <c r="A240" t="s">
        <v>71</v>
      </c>
      <c r="B240">
        <v>12</v>
      </c>
      <c r="C240">
        <v>3</v>
      </c>
      <c r="D240">
        <v>4</v>
      </c>
      <c r="E240">
        <v>0</v>
      </c>
      <c r="F240" t="s">
        <v>96</v>
      </c>
      <c r="G240">
        <v>230612</v>
      </c>
      <c r="H240">
        <v>130981734.2</v>
      </c>
      <c r="I240">
        <v>21.4</v>
      </c>
      <c r="J240">
        <v>8.1151346117258077E-2</v>
      </c>
      <c r="K240">
        <v>0.16814814507961273</v>
      </c>
      <c r="L240">
        <v>8.3555556088685992E-2</v>
      </c>
      <c r="M240">
        <v>0.97200000000000009</v>
      </c>
      <c r="N240">
        <v>0.98296296296296293</v>
      </c>
      <c r="O240">
        <v>0.99145775301764161</v>
      </c>
      <c r="P240">
        <v>39</v>
      </c>
      <c r="Q240">
        <v>7597869.7999999998</v>
      </c>
      <c r="R240">
        <v>229450</v>
      </c>
      <c r="S240">
        <v>2</v>
      </c>
      <c r="T240">
        <v>320</v>
      </c>
      <c r="U240">
        <v>0.97422222222222221</v>
      </c>
      <c r="V240">
        <v>0.98296296296296293</v>
      </c>
      <c r="W240">
        <v>0.99071494893221912</v>
      </c>
      <c r="X240">
        <v>39.200000000000003</v>
      </c>
      <c r="Y240">
        <v>6435418.2000000002</v>
      </c>
      <c r="Z240">
        <v>230809</v>
      </c>
      <c r="AA240">
        <v>2</v>
      </c>
      <c r="AB240">
        <v>321</v>
      </c>
      <c r="AD240">
        <f>Tabela3[[#This Row],[kan_params]]</f>
        <v>230612</v>
      </c>
      <c r="AE240">
        <f>Tabela3[[#This Row],[kan_train_acc]]</f>
        <v>8.1151346117258077E-2</v>
      </c>
      <c r="AF240">
        <f>Tabela3[[#This Row],[kan_val_acc]]</f>
        <v>0.16814814507961273</v>
      </c>
      <c r="AG240">
        <f>Tabela3[[#This Row],[kan_test_acc]]</f>
        <v>8.3555556088685992E-2</v>
      </c>
      <c r="AH240">
        <f>Tabela3[[#This Row],[mlp_test_acc]]</f>
        <v>0.97200000000000009</v>
      </c>
      <c r="AI240">
        <f>Tabela3[[#This Row],[mlp_val_acc]]</f>
        <v>0.98296296296296293</v>
      </c>
      <c r="AJ240">
        <f>Tabela3[[#This Row],[mlp_train_acc]]</f>
        <v>0.99145775301764161</v>
      </c>
    </row>
    <row r="241" spans="1:36" x14ac:dyDescent="0.25">
      <c r="A241" t="s">
        <v>71</v>
      </c>
      <c r="B241">
        <v>10</v>
      </c>
      <c r="C241">
        <v>3</v>
      </c>
      <c r="D241">
        <v>3</v>
      </c>
      <c r="E241">
        <v>0</v>
      </c>
      <c r="F241" t="s">
        <v>116</v>
      </c>
      <c r="G241">
        <v>230831</v>
      </c>
      <c r="H241">
        <v>213691415.40000001</v>
      </c>
      <c r="I241">
        <v>27.6</v>
      </c>
      <c r="J241">
        <v>0.13649025261402131</v>
      </c>
      <c r="K241">
        <v>0.22444444298744201</v>
      </c>
      <c r="L241">
        <v>0.13377777636051177</v>
      </c>
      <c r="M241">
        <v>0.96488888888888891</v>
      </c>
      <c r="N241">
        <v>0.97629629629629633</v>
      </c>
      <c r="O241">
        <v>0.99331476323119772</v>
      </c>
      <c r="P241">
        <v>45.8</v>
      </c>
      <c r="Q241">
        <v>6090707.4000000004</v>
      </c>
      <c r="R241">
        <v>230809</v>
      </c>
      <c r="S241">
        <v>2</v>
      </c>
      <c r="T241">
        <v>321</v>
      </c>
      <c r="U241">
        <v>0.9635555555555555</v>
      </c>
      <c r="V241">
        <v>0.9748148148148148</v>
      </c>
      <c r="W241">
        <v>0.99405756731662021</v>
      </c>
      <c r="X241">
        <v>46.6</v>
      </c>
      <c r="Y241">
        <v>7879096.5999999996</v>
      </c>
      <c r="Z241">
        <v>232172</v>
      </c>
      <c r="AA241">
        <v>2</v>
      </c>
      <c r="AB241">
        <v>322</v>
      </c>
      <c r="AD241">
        <f>Tabela3[[#This Row],[kan_params]]</f>
        <v>230831</v>
      </c>
      <c r="AE241">
        <f>Tabela3[[#This Row],[kan_train_acc]]</f>
        <v>0.13649025261402131</v>
      </c>
      <c r="AF241">
        <f>Tabela3[[#This Row],[kan_val_acc]]</f>
        <v>0.22444444298744201</v>
      </c>
      <c r="AG241">
        <f>Tabela3[[#This Row],[kan_test_acc]]</f>
        <v>0.13377777636051177</v>
      </c>
      <c r="AH241">
        <f>Tabela3[[#This Row],[mlp_test_acc]]</f>
        <v>0.96488888888888891</v>
      </c>
      <c r="AI241">
        <f>Tabela3[[#This Row],[mlp_val_acc]]</f>
        <v>0.97629629629629633</v>
      </c>
      <c r="AJ241">
        <f>Tabela3[[#This Row],[mlp_train_acc]]</f>
        <v>0.99331476323119772</v>
      </c>
    </row>
    <row r="242" spans="1:36" x14ac:dyDescent="0.25">
      <c r="A242" t="s">
        <v>71</v>
      </c>
      <c r="B242">
        <v>12</v>
      </c>
      <c r="C242">
        <v>3</v>
      </c>
      <c r="D242">
        <v>4</v>
      </c>
      <c r="E242">
        <v>0</v>
      </c>
      <c r="F242" t="s">
        <v>83</v>
      </c>
      <c r="G242">
        <v>231261</v>
      </c>
      <c r="H242">
        <v>131865515</v>
      </c>
      <c r="I242">
        <v>20.6</v>
      </c>
      <c r="J242">
        <v>0.10473537445068359</v>
      </c>
      <c r="K242">
        <v>0.17555555701255798</v>
      </c>
      <c r="L242">
        <v>0.10044444352388382</v>
      </c>
      <c r="M242">
        <v>0.97288888888888891</v>
      </c>
      <c r="N242">
        <v>0.9807407407407408</v>
      </c>
      <c r="O242">
        <v>0.99090064995357474</v>
      </c>
      <c r="P242">
        <v>38.200000000000003</v>
      </c>
      <c r="Q242">
        <v>4430805.8</v>
      </c>
      <c r="R242">
        <v>230809</v>
      </c>
      <c r="S242">
        <v>2</v>
      </c>
      <c r="T242">
        <v>321</v>
      </c>
      <c r="U242">
        <v>0.97288888888888891</v>
      </c>
      <c r="V242">
        <v>0.97925925925925927</v>
      </c>
      <c r="W242">
        <v>0.99015784586815225</v>
      </c>
      <c r="X242">
        <v>37.4</v>
      </c>
      <c r="Y242">
        <v>6268201.5999999996</v>
      </c>
      <c r="Z242">
        <v>232172</v>
      </c>
      <c r="AA242">
        <v>2</v>
      </c>
      <c r="AB242">
        <v>322</v>
      </c>
      <c r="AD242">
        <f>Tabela3[[#This Row],[kan_params]]</f>
        <v>231261</v>
      </c>
      <c r="AE242">
        <f>Tabela3[[#This Row],[kan_train_acc]]</f>
        <v>0.10473537445068359</v>
      </c>
      <c r="AF242">
        <f>Tabela3[[#This Row],[kan_val_acc]]</f>
        <v>0.17555555701255798</v>
      </c>
      <c r="AG242">
        <f>Tabela3[[#This Row],[kan_test_acc]]</f>
        <v>0.10044444352388382</v>
      </c>
      <c r="AH242">
        <f>Tabela3[[#This Row],[mlp_test_acc]]</f>
        <v>0.97288888888888891</v>
      </c>
      <c r="AI242">
        <f>Tabela3[[#This Row],[mlp_val_acc]]</f>
        <v>0.9807407407407408</v>
      </c>
      <c r="AJ242">
        <f>Tabela3[[#This Row],[mlp_train_acc]]</f>
        <v>0.99090064995357474</v>
      </c>
    </row>
    <row r="243" spans="1:36" x14ac:dyDescent="0.25">
      <c r="A243" t="s">
        <v>71</v>
      </c>
      <c r="B243">
        <v>16</v>
      </c>
      <c r="C243">
        <v>9</v>
      </c>
      <c r="D243">
        <v>3</v>
      </c>
      <c r="E243">
        <v>0</v>
      </c>
      <c r="F243" t="s">
        <v>120</v>
      </c>
      <c r="G243">
        <v>231465</v>
      </c>
      <c r="H243">
        <v>151184972.80000001</v>
      </c>
      <c r="I243">
        <v>23.6</v>
      </c>
      <c r="J243">
        <v>0.19294336140155793</v>
      </c>
      <c r="K243">
        <v>0.27777777314186097</v>
      </c>
      <c r="L243">
        <v>0.17955555766820908</v>
      </c>
      <c r="M243">
        <v>0.96533333333333338</v>
      </c>
      <c r="N243">
        <v>0.96148148148148149</v>
      </c>
      <c r="O243">
        <v>0.98978644382544101</v>
      </c>
      <c r="P243">
        <v>41.2</v>
      </c>
      <c r="Q243">
        <v>6658389.2000000002</v>
      </c>
      <c r="R243">
        <v>230809</v>
      </c>
      <c r="S243">
        <v>2</v>
      </c>
      <c r="T243">
        <v>321</v>
      </c>
      <c r="U243">
        <v>0.96311111111111114</v>
      </c>
      <c r="V243">
        <v>0.96074074074074078</v>
      </c>
      <c r="W243">
        <v>0.99591457753017643</v>
      </c>
      <c r="X243">
        <v>52.2</v>
      </c>
      <c r="Y243">
        <v>9464064</v>
      </c>
      <c r="Z243">
        <v>232172</v>
      </c>
      <c r="AA243">
        <v>2</v>
      </c>
      <c r="AB243">
        <v>322</v>
      </c>
      <c r="AD243">
        <f>Tabela3[[#This Row],[kan_params]]</f>
        <v>231465</v>
      </c>
      <c r="AE243">
        <f>Tabela3[[#This Row],[kan_train_acc]]</f>
        <v>0.19294336140155793</v>
      </c>
      <c r="AF243">
        <f>Tabela3[[#This Row],[kan_val_acc]]</f>
        <v>0.27777777314186097</v>
      </c>
      <c r="AG243">
        <f>Tabela3[[#This Row],[kan_test_acc]]</f>
        <v>0.17955555766820908</v>
      </c>
      <c r="AH243">
        <f>Tabela3[[#This Row],[mlp_test_acc]]</f>
        <v>0.96533333333333338</v>
      </c>
      <c r="AI243">
        <f>Tabela3[[#This Row],[mlp_val_acc]]</f>
        <v>0.96148148148148149</v>
      </c>
      <c r="AJ243">
        <f>Tabela3[[#This Row],[mlp_train_acc]]</f>
        <v>0.98978644382544101</v>
      </c>
    </row>
    <row r="244" spans="1:36" x14ac:dyDescent="0.25">
      <c r="A244" t="s">
        <v>71</v>
      </c>
      <c r="B244">
        <v>16</v>
      </c>
      <c r="C244">
        <v>9</v>
      </c>
      <c r="D244">
        <v>3</v>
      </c>
      <c r="E244">
        <v>0</v>
      </c>
      <c r="F244" t="s">
        <v>106</v>
      </c>
      <c r="G244">
        <v>233536</v>
      </c>
      <c r="H244">
        <v>251404916.80000001</v>
      </c>
      <c r="I244">
        <v>39</v>
      </c>
      <c r="J244">
        <v>0.23491179049015046</v>
      </c>
      <c r="K244">
        <v>0.30370370447635653</v>
      </c>
      <c r="L244">
        <v>0.24399999678134918</v>
      </c>
      <c r="M244">
        <v>0.96177777777777773</v>
      </c>
      <c r="N244">
        <v>0.96296296296296291</v>
      </c>
      <c r="O244">
        <v>0.99442896935933145</v>
      </c>
      <c r="P244">
        <v>47.4</v>
      </c>
      <c r="Q244">
        <v>6464259.4000000004</v>
      </c>
      <c r="R244">
        <v>232172</v>
      </c>
      <c r="S244">
        <v>2</v>
      </c>
      <c r="T244">
        <v>322</v>
      </c>
      <c r="U244">
        <v>0.96399999999999997</v>
      </c>
      <c r="V244">
        <v>0.96074074074074078</v>
      </c>
      <c r="W244">
        <v>0.99368616527390896</v>
      </c>
      <c r="X244">
        <v>48</v>
      </c>
      <c r="Y244">
        <v>5773249.2000000002</v>
      </c>
      <c r="Z244">
        <v>233539</v>
      </c>
      <c r="AA244">
        <v>2</v>
      </c>
      <c r="AB244">
        <v>323</v>
      </c>
      <c r="AD244">
        <f>Tabela3[[#This Row],[kan_params]]</f>
        <v>233536</v>
      </c>
      <c r="AE244">
        <f>Tabela3[[#This Row],[kan_train_acc]]</f>
        <v>0.23491179049015046</v>
      </c>
      <c r="AF244">
        <f>Tabela3[[#This Row],[kan_val_acc]]</f>
        <v>0.30370370447635653</v>
      </c>
      <c r="AG244">
        <f>Tabela3[[#This Row],[kan_test_acc]]</f>
        <v>0.24399999678134918</v>
      </c>
      <c r="AH244">
        <f>Tabela3[[#This Row],[mlp_test_acc]]</f>
        <v>0.96177777777777773</v>
      </c>
      <c r="AI244">
        <f>Tabela3[[#This Row],[mlp_val_acc]]</f>
        <v>0.96296296296296291</v>
      </c>
      <c r="AJ244">
        <f>Tabela3[[#This Row],[mlp_train_acc]]</f>
        <v>0.99442896935933145</v>
      </c>
    </row>
    <row r="245" spans="1:36" x14ac:dyDescent="0.25">
      <c r="A245" t="s">
        <v>71</v>
      </c>
      <c r="B245">
        <v>16</v>
      </c>
      <c r="C245">
        <v>9</v>
      </c>
      <c r="D245">
        <v>3</v>
      </c>
      <c r="E245">
        <v>0</v>
      </c>
      <c r="F245" t="s">
        <v>147</v>
      </c>
      <c r="G245">
        <v>235028</v>
      </c>
      <c r="H245">
        <v>200443735</v>
      </c>
      <c r="I245">
        <v>34.799999999999997</v>
      </c>
      <c r="J245">
        <v>0.2228412300348282</v>
      </c>
      <c r="K245">
        <v>0.28888889551162722</v>
      </c>
      <c r="L245">
        <v>0.21111111342906952</v>
      </c>
      <c r="M245">
        <v>0.97377777777777774</v>
      </c>
      <c r="N245">
        <v>0.97703703703703704</v>
      </c>
      <c r="O245">
        <v>0.99275766016713085</v>
      </c>
      <c r="P245">
        <v>43</v>
      </c>
      <c r="Q245">
        <v>4958378.4000000004</v>
      </c>
      <c r="R245">
        <v>234910</v>
      </c>
      <c r="S245">
        <v>2</v>
      </c>
      <c r="T245">
        <v>324</v>
      </c>
      <c r="U245">
        <v>0.97511111111111115</v>
      </c>
      <c r="V245">
        <v>0.97851851851851857</v>
      </c>
      <c r="W245">
        <v>0.99294336118848658</v>
      </c>
      <c r="X245">
        <v>46.2</v>
      </c>
      <c r="Y245">
        <v>4908142.4000000004</v>
      </c>
      <c r="Z245">
        <v>236285</v>
      </c>
      <c r="AA245">
        <v>2</v>
      </c>
      <c r="AB245">
        <v>325</v>
      </c>
      <c r="AD245">
        <f>Tabela3[[#This Row],[kan_params]]</f>
        <v>235028</v>
      </c>
      <c r="AE245">
        <f>Tabela3[[#This Row],[kan_train_acc]]</f>
        <v>0.2228412300348282</v>
      </c>
      <c r="AF245">
        <f>Tabela3[[#This Row],[kan_val_acc]]</f>
        <v>0.28888889551162722</v>
      </c>
      <c r="AG245">
        <f>Tabela3[[#This Row],[kan_test_acc]]</f>
        <v>0.21111111342906952</v>
      </c>
      <c r="AH245">
        <f>Tabela3[[#This Row],[mlp_test_acc]]</f>
        <v>0.97377777777777774</v>
      </c>
      <c r="AI245">
        <f>Tabela3[[#This Row],[mlp_val_acc]]</f>
        <v>0.97703703703703704</v>
      </c>
      <c r="AJ245">
        <f>Tabela3[[#This Row],[mlp_train_acc]]</f>
        <v>0.99275766016713085</v>
      </c>
    </row>
    <row r="246" spans="1:36" x14ac:dyDescent="0.25">
      <c r="A246" t="s">
        <v>71</v>
      </c>
      <c r="B246">
        <v>16</v>
      </c>
      <c r="C246">
        <v>9</v>
      </c>
      <c r="D246">
        <v>3</v>
      </c>
      <c r="E246">
        <v>0</v>
      </c>
      <c r="F246" t="s">
        <v>93</v>
      </c>
      <c r="G246">
        <v>235167</v>
      </c>
      <c r="H246">
        <v>259087898.80000001</v>
      </c>
      <c r="I246">
        <v>38.799999999999997</v>
      </c>
      <c r="J246">
        <v>0.28616527915000917</v>
      </c>
      <c r="K246">
        <v>0.37333332896232607</v>
      </c>
      <c r="L246">
        <v>0.26399999856948853</v>
      </c>
      <c r="M246">
        <v>0.96533333333333338</v>
      </c>
      <c r="N246">
        <v>0.95777777777777773</v>
      </c>
      <c r="O246">
        <v>0.99071494893221912</v>
      </c>
      <c r="P246">
        <v>39.200000000000003</v>
      </c>
      <c r="Q246">
        <v>4866674.8</v>
      </c>
      <c r="R246">
        <v>234910</v>
      </c>
      <c r="S246">
        <v>2</v>
      </c>
      <c r="T246">
        <v>324</v>
      </c>
      <c r="U246">
        <v>0.9622222222222222</v>
      </c>
      <c r="V246">
        <v>0.96</v>
      </c>
      <c r="W246">
        <v>0.99182915506035285</v>
      </c>
      <c r="X246">
        <v>45.4</v>
      </c>
      <c r="Y246">
        <v>4968992.8</v>
      </c>
      <c r="Z246">
        <v>236285</v>
      </c>
      <c r="AA246">
        <v>2</v>
      </c>
      <c r="AB246">
        <v>325</v>
      </c>
      <c r="AD246">
        <f>Tabela3[[#This Row],[kan_params]]</f>
        <v>235167</v>
      </c>
      <c r="AE246">
        <f>Tabela3[[#This Row],[kan_train_acc]]</f>
        <v>0.28616527915000917</v>
      </c>
      <c r="AF246">
        <f>Tabela3[[#This Row],[kan_val_acc]]</f>
        <v>0.37333332896232607</v>
      </c>
      <c r="AG246">
        <f>Tabela3[[#This Row],[kan_test_acc]]</f>
        <v>0.26399999856948853</v>
      </c>
      <c r="AH246">
        <f>Tabela3[[#This Row],[mlp_test_acc]]</f>
        <v>0.96533333333333338</v>
      </c>
      <c r="AI246">
        <f>Tabela3[[#This Row],[mlp_val_acc]]</f>
        <v>0.95777777777777773</v>
      </c>
      <c r="AJ246">
        <f>Tabela3[[#This Row],[mlp_train_acc]]</f>
        <v>0.99071494893221912</v>
      </c>
    </row>
    <row r="247" spans="1:36" x14ac:dyDescent="0.25">
      <c r="A247" t="s">
        <v>71</v>
      </c>
      <c r="B247">
        <v>10</v>
      </c>
      <c r="C247">
        <v>3</v>
      </c>
      <c r="D247">
        <v>3</v>
      </c>
      <c r="E247">
        <v>0</v>
      </c>
      <c r="F247" t="s">
        <v>143</v>
      </c>
      <c r="G247">
        <v>236622</v>
      </c>
      <c r="H247">
        <v>268943816.39999998</v>
      </c>
      <c r="I247">
        <v>29.6</v>
      </c>
      <c r="J247">
        <v>0.12739089876413345</v>
      </c>
      <c r="K247">
        <v>0.24296296536922454</v>
      </c>
      <c r="L247">
        <v>0.11733333468437195</v>
      </c>
      <c r="M247">
        <v>0.97288888888888891</v>
      </c>
      <c r="N247">
        <v>0.98296296296296293</v>
      </c>
      <c r="O247">
        <v>0.99275766016713096</v>
      </c>
      <c r="P247">
        <v>40.6</v>
      </c>
      <c r="Q247">
        <v>4768280.8</v>
      </c>
      <c r="R247">
        <v>236285</v>
      </c>
      <c r="S247">
        <v>2</v>
      </c>
      <c r="T247">
        <v>325</v>
      </c>
      <c r="U247">
        <v>0.97377777777777774</v>
      </c>
      <c r="V247">
        <v>0.98148148148148151</v>
      </c>
      <c r="W247">
        <v>0.99164345403899723</v>
      </c>
      <c r="X247">
        <v>41.2</v>
      </c>
      <c r="Y247">
        <v>5977057.4000000004</v>
      </c>
      <c r="Z247">
        <v>237664</v>
      </c>
      <c r="AA247">
        <v>2</v>
      </c>
      <c r="AB247">
        <v>326</v>
      </c>
      <c r="AD247">
        <f>Tabela3[[#This Row],[kan_params]]</f>
        <v>236622</v>
      </c>
      <c r="AE247">
        <f>Tabela3[[#This Row],[kan_train_acc]]</f>
        <v>0.12739089876413345</v>
      </c>
      <c r="AF247">
        <f>Tabela3[[#This Row],[kan_val_acc]]</f>
        <v>0.24296296536922454</v>
      </c>
      <c r="AG247">
        <f>Tabela3[[#This Row],[kan_test_acc]]</f>
        <v>0.11733333468437195</v>
      </c>
      <c r="AH247">
        <f>Tabela3[[#This Row],[mlp_test_acc]]</f>
        <v>0.97288888888888891</v>
      </c>
      <c r="AI247">
        <f>Tabela3[[#This Row],[mlp_val_acc]]</f>
        <v>0.98296296296296293</v>
      </c>
      <c r="AJ247">
        <f>Tabela3[[#This Row],[mlp_train_acc]]</f>
        <v>0.99275766016713096</v>
      </c>
    </row>
    <row r="248" spans="1:36" x14ac:dyDescent="0.25">
      <c r="A248" t="s">
        <v>71</v>
      </c>
      <c r="B248">
        <v>10</v>
      </c>
      <c r="C248">
        <v>3</v>
      </c>
      <c r="D248">
        <v>3</v>
      </c>
      <c r="E248">
        <v>0</v>
      </c>
      <c r="F248" t="s">
        <v>130</v>
      </c>
      <c r="G248">
        <v>237009</v>
      </c>
      <c r="H248">
        <v>186572668</v>
      </c>
      <c r="I248">
        <v>19.8</v>
      </c>
      <c r="J248">
        <v>9.7864438593387601E-2</v>
      </c>
      <c r="K248">
        <v>0.19925926029682159</v>
      </c>
      <c r="L248">
        <v>0.10755555629730225</v>
      </c>
      <c r="M248">
        <v>0.97422222222222221</v>
      </c>
      <c r="N248">
        <v>0.9807407407407408</v>
      </c>
      <c r="O248">
        <v>0.99275766016713096</v>
      </c>
      <c r="P248">
        <v>41.6</v>
      </c>
      <c r="Q248">
        <v>3931549</v>
      </c>
      <c r="R248">
        <v>236285</v>
      </c>
      <c r="S248">
        <v>2</v>
      </c>
      <c r="T248">
        <v>325</v>
      </c>
      <c r="U248">
        <v>0.97777777777777775</v>
      </c>
      <c r="V248">
        <v>0.97777777777777775</v>
      </c>
      <c r="W248">
        <v>0.99182915506035285</v>
      </c>
      <c r="X248">
        <v>39.799999999999997</v>
      </c>
      <c r="Y248">
        <v>6035259.5999999996</v>
      </c>
      <c r="Z248">
        <v>237664</v>
      </c>
      <c r="AA248">
        <v>2</v>
      </c>
      <c r="AB248">
        <v>326</v>
      </c>
      <c r="AD248">
        <f>Tabela3[[#This Row],[kan_params]]</f>
        <v>237009</v>
      </c>
      <c r="AE248">
        <f>Tabela3[[#This Row],[kan_train_acc]]</f>
        <v>9.7864438593387601E-2</v>
      </c>
      <c r="AF248">
        <f>Tabela3[[#This Row],[kan_val_acc]]</f>
        <v>0.19925926029682159</v>
      </c>
      <c r="AG248">
        <f>Tabela3[[#This Row],[kan_test_acc]]</f>
        <v>0.10755555629730225</v>
      </c>
      <c r="AH248">
        <f>Tabela3[[#This Row],[mlp_test_acc]]</f>
        <v>0.97422222222222221</v>
      </c>
      <c r="AI248">
        <f>Tabela3[[#This Row],[mlp_val_acc]]</f>
        <v>0.9807407407407408</v>
      </c>
      <c r="AJ248">
        <f>Tabela3[[#This Row],[mlp_train_acc]]</f>
        <v>0.99275766016713096</v>
      </c>
    </row>
    <row r="249" spans="1:36" x14ac:dyDescent="0.25">
      <c r="A249" t="s">
        <v>71</v>
      </c>
      <c r="B249">
        <v>16</v>
      </c>
      <c r="C249">
        <v>9</v>
      </c>
      <c r="D249">
        <v>3</v>
      </c>
      <c r="E249">
        <v>0</v>
      </c>
      <c r="F249" t="s">
        <v>134</v>
      </c>
      <c r="G249">
        <v>237759</v>
      </c>
      <c r="H249">
        <v>163337562</v>
      </c>
      <c r="I249">
        <v>27.6</v>
      </c>
      <c r="J249">
        <v>0.16137418597936631</v>
      </c>
      <c r="K249">
        <v>0.27037037611007692</v>
      </c>
      <c r="L249">
        <v>0.16133333295583724</v>
      </c>
      <c r="M249">
        <v>0.97422222222222221</v>
      </c>
      <c r="N249">
        <v>0.97629629629629633</v>
      </c>
      <c r="O249">
        <v>0.99090064995357474</v>
      </c>
      <c r="P249">
        <v>42.4</v>
      </c>
      <c r="Q249">
        <v>5196035.5999999996</v>
      </c>
      <c r="R249">
        <v>237664</v>
      </c>
      <c r="S249">
        <v>2</v>
      </c>
      <c r="T249">
        <v>326</v>
      </c>
      <c r="U249">
        <v>0.97377777777777774</v>
      </c>
      <c r="V249">
        <v>0.97851851851851845</v>
      </c>
      <c r="W249">
        <v>0.99127205199628599</v>
      </c>
      <c r="X249">
        <v>42.8</v>
      </c>
      <c r="Y249">
        <v>3606834</v>
      </c>
      <c r="Z249">
        <v>239047</v>
      </c>
      <c r="AA249">
        <v>2</v>
      </c>
      <c r="AB249">
        <v>327</v>
      </c>
      <c r="AD249">
        <f>Tabela3[[#This Row],[kan_params]]</f>
        <v>237759</v>
      </c>
      <c r="AE249">
        <f>Tabela3[[#This Row],[kan_train_acc]]</f>
        <v>0.16137418597936631</v>
      </c>
      <c r="AF249">
        <f>Tabela3[[#This Row],[kan_val_acc]]</f>
        <v>0.27037037611007692</v>
      </c>
      <c r="AG249">
        <f>Tabela3[[#This Row],[kan_test_acc]]</f>
        <v>0.16133333295583724</v>
      </c>
      <c r="AH249">
        <f>Tabela3[[#This Row],[mlp_test_acc]]</f>
        <v>0.97422222222222221</v>
      </c>
      <c r="AI249">
        <f>Tabela3[[#This Row],[mlp_val_acc]]</f>
        <v>0.97629629629629633</v>
      </c>
      <c r="AJ249">
        <f>Tabela3[[#This Row],[mlp_train_acc]]</f>
        <v>0.99090064995357474</v>
      </c>
    </row>
    <row r="250" spans="1:36" x14ac:dyDescent="0.25">
      <c r="A250" t="s">
        <v>71</v>
      </c>
      <c r="B250">
        <v>12</v>
      </c>
      <c r="C250">
        <v>3</v>
      </c>
      <c r="D250">
        <v>4</v>
      </c>
      <c r="E250">
        <v>0</v>
      </c>
      <c r="F250" t="s">
        <v>97</v>
      </c>
      <c r="G250">
        <v>237837</v>
      </c>
      <c r="H250">
        <v>132217038</v>
      </c>
      <c r="I250">
        <v>20.2</v>
      </c>
      <c r="J250">
        <v>0.10139275789260864</v>
      </c>
      <c r="K250">
        <v>0.19555555582046508</v>
      </c>
      <c r="L250">
        <v>0.10666666775941849</v>
      </c>
      <c r="M250">
        <v>0.97555555555555551</v>
      </c>
      <c r="N250">
        <v>0.9807407407407408</v>
      </c>
      <c r="O250">
        <v>0.99182915506035285</v>
      </c>
      <c r="P250">
        <v>40.4</v>
      </c>
      <c r="Q250">
        <v>5229576.4000000004</v>
      </c>
      <c r="R250">
        <v>237664</v>
      </c>
      <c r="S250">
        <v>2</v>
      </c>
      <c r="T250">
        <v>326</v>
      </c>
      <c r="U250">
        <v>0.97466666666666668</v>
      </c>
      <c r="V250">
        <v>0.97851851851851857</v>
      </c>
      <c r="W250">
        <v>0.99015784586815225</v>
      </c>
      <c r="X250">
        <v>37.6</v>
      </c>
      <c r="Y250">
        <v>6644165.7999999998</v>
      </c>
      <c r="Z250">
        <v>239047</v>
      </c>
      <c r="AA250">
        <v>2</v>
      </c>
      <c r="AB250">
        <v>327</v>
      </c>
      <c r="AD250">
        <f>Tabela3[[#This Row],[kan_params]]</f>
        <v>237837</v>
      </c>
      <c r="AE250">
        <f>Tabela3[[#This Row],[kan_train_acc]]</f>
        <v>0.10139275789260864</v>
      </c>
      <c r="AF250">
        <f>Tabela3[[#This Row],[kan_val_acc]]</f>
        <v>0.19555555582046508</v>
      </c>
      <c r="AG250">
        <f>Tabela3[[#This Row],[kan_test_acc]]</f>
        <v>0.10666666775941849</v>
      </c>
      <c r="AH250">
        <f>Tabela3[[#This Row],[mlp_test_acc]]</f>
        <v>0.97555555555555551</v>
      </c>
      <c r="AI250">
        <f>Tabela3[[#This Row],[mlp_val_acc]]</f>
        <v>0.9807407407407408</v>
      </c>
      <c r="AJ250">
        <f>Tabela3[[#This Row],[mlp_train_acc]]</f>
        <v>0.99182915506035285</v>
      </c>
    </row>
    <row r="251" spans="1:36" x14ac:dyDescent="0.25">
      <c r="A251" t="s">
        <v>71</v>
      </c>
      <c r="B251">
        <v>12</v>
      </c>
      <c r="C251">
        <v>3</v>
      </c>
      <c r="D251">
        <v>4</v>
      </c>
      <c r="E251">
        <v>0</v>
      </c>
      <c r="F251" t="s">
        <v>84</v>
      </c>
      <c r="G251">
        <v>238296</v>
      </c>
      <c r="H251">
        <v>110047604.2</v>
      </c>
      <c r="I251">
        <v>16.2</v>
      </c>
      <c r="J251">
        <v>0.13091922104358672</v>
      </c>
      <c r="K251">
        <v>0.19851852059364319</v>
      </c>
      <c r="L251">
        <v>0.12711111158132554</v>
      </c>
      <c r="M251">
        <v>0.97422222222222221</v>
      </c>
      <c r="N251">
        <v>0.98148148148148151</v>
      </c>
      <c r="O251">
        <v>0.9922005571030641</v>
      </c>
      <c r="P251">
        <v>41.2</v>
      </c>
      <c r="Q251">
        <v>5449045</v>
      </c>
      <c r="R251">
        <v>237664</v>
      </c>
      <c r="S251">
        <v>2</v>
      </c>
      <c r="T251">
        <v>326</v>
      </c>
      <c r="U251">
        <v>0.97555555555555551</v>
      </c>
      <c r="V251">
        <v>0.97629629629629633</v>
      </c>
      <c r="W251">
        <v>0.99108635097493036</v>
      </c>
      <c r="X251">
        <v>39.799999999999997</v>
      </c>
      <c r="Y251">
        <v>5794661.2000000002</v>
      </c>
      <c r="Z251">
        <v>239047</v>
      </c>
      <c r="AA251">
        <v>2</v>
      </c>
      <c r="AB251">
        <v>327</v>
      </c>
      <c r="AD251">
        <f>Tabela3[[#This Row],[kan_params]]</f>
        <v>238296</v>
      </c>
      <c r="AE251">
        <f>Tabela3[[#This Row],[kan_train_acc]]</f>
        <v>0.13091922104358672</v>
      </c>
      <c r="AF251">
        <f>Tabela3[[#This Row],[kan_val_acc]]</f>
        <v>0.19851852059364319</v>
      </c>
      <c r="AG251">
        <f>Tabela3[[#This Row],[kan_test_acc]]</f>
        <v>0.12711111158132554</v>
      </c>
      <c r="AH251">
        <f>Tabela3[[#This Row],[mlp_test_acc]]</f>
        <v>0.97422222222222221</v>
      </c>
      <c r="AI251">
        <f>Tabela3[[#This Row],[mlp_val_acc]]</f>
        <v>0.98148148148148151</v>
      </c>
      <c r="AJ251">
        <f>Tabela3[[#This Row],[mlp_train_acc]]</f>
        <v>0.9922005571030641</v>
      </c>
    </row>
    <row r="252" spans="1:36" x14ac:dyDescent="0.25">
      <c r="A252" t="s">
        <v>71</v>
      </c>
      <c r="B252">
        <v>16</v>
      </c>
      <c r="C252">
        <v>9</v>
      </c>
      <c r="D252">
        <v>3</v>
      </c>
      <c r="E252">
        <v>0</v>
      </c>
      <c r="F252" t="s">
        <v>121</v>
      </c>
      <c r="G252">
        <v>240050</v>
      </c>
      <c r="H252">
        <v>186615687</v>
      </c>
      <c r="I252">
        <v>27.8</v>
      </c>
      <c r="J252">
        <v>0.18031569123268126</v>
      </c>
      <c r="K252">
        <v>0.27851852178573611</v>
      </c>
      <c r="L252">
        <v>0.16088888943195342</v>
      </c>
      <c r="M252">
        <v>0.96133333333333326</v>
      </c>
      <c r="N252">
        <v>0.9622222222222222</v>
      </c>
      <c r="O252">
        <v>0.9957288765088208</v>
      </c>
      <c r="P252">
        <v>49.6</v>
      </c>
      <c r="Q252">
        <v>6990569.7999999998</v>
      </c>
      <c r="R252">
        <v>239047</v>
      </c>
      <c r="S252">
        <v>2</v>
      </c>
      <c r="T252">
        <v>327</v>
      </c>
      <c r="U252">
        <v>0.96133333333333326</v>
      </c>
      <c r="V252">
        <v>0.96444444444444444</v>
      </c>
      <c r="W252">
        <v>0.99535747446610956</v>
      </c>
      <c r="X252">
        <v>55.6</v>
      </c>
      <c r="Y252">
        <v>8817985.1999999993</v>
      </c>
      <c r="Z252">
        <v>240434</v>
      </c>
      <c r="AA252">
        <v>2</v>
      </c>
      <c r="AB252">
        <v>328</v>
      </c>
      <c r="AD252">
        <f>Tabela3[[#This Row],[kan_params]]</f>
        <v>240050</v>
      </c>
      <c r="AE252">
        <f>Tabela3[[#This Row],[kan_train_acc]]</f>
        <v>0.18031569123268126</v>
      </c>
      <c r="AF252">
        <f>Tabela3[[#This Row],[kan_val_acc]]</f>
        <v>0.27851852178573611</v>
      </c>
      <c r="AG252">
        <f>Tabela3[[#This Row],[kan_test_acc]]</f>
        <v>0.16088888943195342</v>
      </c>
      <c r="AH252">
        <f>Tabela3[[#This Row],[mlp_test_acc]]</f>
        <v>0.96133333333333326</v>
      </c>
      <c r="AI252">
        <f>Tabela3[[#This Row],[mlp_val_acc]]</f>
        <v>0.9622222222222222</v>
      </c>
      <c r="AJ252">
        <f>Tabela3[[#This Row],[mlp_train_acc]]</f>
        <v>0.9957288765088208</v>
      </c>
    </row>
    <row r="253" spans="1:36" x14ac:dyDescent="0.25">
      <c r="A253" t="s">
        <v>71</v>
      </c>
      <c r="B253">
        <v>16</v>
      </c>
      <c r="C253">
        <v>9</v>
      </c>
      <c r="D253">
        <v>3</v>
      </c>
      <c r="E253">
        <v>0</v>
      </c>
      <c r="F253" t="s">
        <v>107</v>
      </c>
      <c r="G253">
        <v>241901</v>
      </c>
      <c r="H253">
        <v>319561519.39999998</v>
      </c>
      <c r="I253">
        <v>47</v>
      </c>
      <c r="J253">
        <v>0.27539461702108381</v>
      </c>
      <c r="K253">
        <v>0.33777777850627899</v>
      </c>
      <c r="L253">
        <v>0.26533333063125608</v>
      </c>
      <c r="M253">
        <v>0.96266666666666667</v>
      </c>
      <c r="N253">
        <v>0.96148148148148149</v>
      </c>
      <c r="O253">
        <v>0.99387186629526458</v>
      </c>
      <c r="P253">
        <v>46</v>
      </c>
      <c r="Q253">
        <v>6314594.2000000002</v>
      </c>
      <c r="R253">
        <v>241825</v>
      </c>
      <c r="S253">
        <v>2</v>
      </c>
      <c r="T253">
        <v>329</v>
      </c>
      <c r="U253">
        <v>0.9608888888888889</v>
      </c>
      <c r="V253">
        <v>0.95925925925925926</v>
      </c>
      <c r="W253">
        <v>0.99145775301764161</v>
      </c>
      <c r="X253">
        <v>41.4</v>
      </c>
      <c r="Y253">
        <v>5930185.5999999996</v>
      </c>
      <c r="Z253">
        <v>243220</v>
      </c>
      <c r="AA253">
        <v>2</v>
      </c>
      <c r="AB253">
        <v>330</v>
      </c>
      <c r="AD253">
        <f>Tabela3[[#This Row],[kan_params]]</f>
        <v>241901</v>
      </c>
      <c r="AE253">
        <f>Tabela3[[#This Row],[kan_train_acc]]</f>
        <v>0.27539461702108381</v>
      </c>
      <c r="AF253">
        <f>Tabela3[[#This Row],[kan_val_acc]]</f>
        <v>0.33777777850627899</v>
      </c>
      <c r="AG253">
        <f>Tabela3[[#This Row],[kan_test_acc]]</f>
        <v>0.26533333063125608</v>
      </c>
      <c r="AH253">
        <f>Tabela3[[#This Row],[mlp_test_acc]]</f>
        <v>0.96266666666666667</v>
      </c>
      <c r="AI253">
        <f>Tabela3[[#This Row],[mlp_val_acc]]</f>
        <v>0.96148148148148149</v>
      </c>
      <c r="AJ253">
        <f>Tabela3[[#This Row],[mlp_train_acc]]</f>
        <v>0.99387186629526458</v>
      </c>
    </row>
    <row r="254" spans="1:36" x14ac:dyDescent="0.25">
      <c r="A254" t="s">
        <v>71</v>
      </c>
      <c r="B254">
        <v>10</v>
      </c>
      <c r="C254">
        <v>3</v>
      </c>
      <c r="D254">
        <v>3</v>
      </c>
      <c r="E254">
        <v>0</v>
      </c>
      <c r="F254" t="s">
        <v>144</v>
      </c>
      <c r="G254">
        <v>243187</v>
      </c>
      <c r="H254">
        <v>178371829.59999999</v>
      </c>
      <c r="I254">
        <v>18.399999999999999</v>
      </c>
      <c r="J254">
        <v>0.11606313809752464</v>
      </c>
      <c r="K254">
        <v>0.23185185492038726</v>
      </c>
      <c r="L254">
        <v>0.12266666740179062</v>
      </c>
      <c r="M254">
        <v>0.97244444444444444</v>
      </c>
      <c r="N254">
        <v>0.98148148148148151</v>
      </c>
      <c r="O254">
        <v>0.9905292479108635</v>
      </c>
      <c r="P254">
        <v>37.6</v>
      </c>
      <c r="Q254">
        <v>5453085.7999999998</v>
      </c>
      <c r="R254">
        <v>241825</v>
      </c>
      <c r="S254">
        <v>2</v>
      </c>
      <c r="T254">
        <v>329</v>
      </c>
      <c r="U254">
        <v>0.97555555555555551</v>
      </c>
      <c r="V254">
        <v>0.98222222222222222</v>
      </c>
      <c r="W254">
        <v>0.99127205199628599</v>
      </c>
      <c r="X254">
        <v>38</v>
      </c>
      <c r="Y254">
        <v>6297089.4000000004</v>
      </c>
      <c r="Z254">
        <v>243220</v>
      </c>
      <c r="AA254">
        <v>2</v>
      </c>
      <c r="AB254">
        <v>330</v>
      </c>
      <c r="AD254">
        <f>Tabela3[[#This Row],[kan_params]]</f>
        <v>243187</v>
      </c>
      <c r="AE254">
        <f>Tabela3[[#This Row],[kan_train_acc]]</f>
        <v>0.11606313809752464</v>
      </c>
      <c r="AF254">
        <f>Tabela3[[#This Row],[kan_val_acc]]</f>
        <v>0.23185185492038726</v>
      </c>
      <c r="AG254">
        <f>Tabela3[[#This Row],[kan_test_acc]]</f>
        <v>0.12266666740179062</v>
      </c>
      <c r="AH254">
        <f>Tabela3[[#This Row],[mlp_test_acc]]</f>
        <v>0.97244444444444444</v>
      </c>
      <c r="AI254">
        <f>Tabela3[[#This Row],[mlp_val_acc]]</f>
        <v>0.98148148148148151</v>
      </c>
      <c r="AJ254">
        <f>Tabela3[[#This Row],[mlp_train_acc]]</f>
        <v>0.9905292479108635</v>
      </c>
    </row>
    <row r="255" spans="1:36" x14ac:dyDescent="0.25">
      <c r="A255" t="s">
        <v>71</v>
      </c>
      <c r="B255">
        <v>16</v>
      </c>
      <c r="C255">
        <v>9</v>
      </c>
      <c r="D255">
        <v>3</v>
      </c>
      <c r="E255">
        <v>0</v>
      </c>
      <c r="F255" t="s">
        <v>94</v>
      </c>
      <c r="G255">
        <v>243312</v>
      </c>
      <c r="H255">
        <v>223412430.59999999</v>
      </c>
      <c r="I255">
        <v>32.799999999999997</v>
      </c>
      <c r="J255">
        <v>0.21504178643226624</v>
      </c>
      <c r="K255">
        <v>0.33333333730697634</v>
      </c>
      <c r="L255">
        <v>0.20933333337306975</v>
      </c>
      <c r="M255">
        <v>0.96177777777777773</v>
      </c>
      <c r="N255">
        <v>0.96148148148148149</v>
      </c>
      <c r="O255">
        <v>0.99610027855153205</v>
      </c>
      <c r="P255">
        <v>51.8</v>
      </c>
      <c r="Q255">
        <v>4841607.8</v>
      </c>
      <c r="R255">
        <v>243220</v>
      </c>
      <c r="S255">
        <v>2</v>
      </c>
      <c r="T255">
        <v>330</v>
      </c>
      <c r="U255">
        <v>0.96444444444444444</v>
      </c>
      <c r="V255">
        <v>0.96074074074074067</v>
      </c>
      <c r="W255">
        <v>0.99127205199628599</v>
      </c>
      <c r="X255">
        <v>40</v>
      </c>
      <c r="Y255">
        <v>6498072</v>
      </c>
      <c r="Z255">
        <v>244619</v>
      </c>
      <c r="AA255">
        <v>2</v>
      </c>
      <c r="AB255">
        <v>331</v>
      </c>
      <c r="AD255">
        <f>Tabela3[[#This Row],[kan_params]]</f>
        <v>243312</v>
      </c>
      <c r="AE255">
        <f>Tabela3[[#This Row],[kan_train_acc]]</f>
        <v>0.21504178643226624</v>
      </c>
      <c r="AF255">
        <f>Tabela3[[#This Row],[kan_val_acc]]</f>
        <v>0.33333333730697634</v>
      </c>
      <c r="AG255">
        <f>Tabela3[[#This Row],[kan_test_acc]]</f>
        <v>0.20933333337306975</v>
      </c>
      <c r="AH255">
        <f>Tabela3[[#This Row],[mlp_test_acc]]</f>
        <v>0.96177777777777773</v>
      </c>
      <c r="AI255">
        <f>Tabela3[[#This Row],[mlp_val_acc]]</f>
        <v>0.96148148148148149</v>
      </c>
      <c r="AJ255">
        <f>Tabela3[[#This Row],[mlp_train_acc]]</f>
        <v>0.99610027855153205</v>
      </c>
    </row>
    <row r="256" spans="1:36" x14ac:dyDescent="0.25">
      <c r="A256" t="s">
        <v>71</v>
      </c>
      <c r="B256">
        <v>16</v>
      </c>
      <c r="C256">
        <v>9</v>
      </c>
      <c r="D256">
        <v>3</v>
      </c>
      <c r="E256">
        <v>0</v>
      </c>
      <c r="F256" t="s">
        <v>148</v>
      </c>
      <c r="G256">
        <v>244053</v>
      </c>
      <c r="H256">
        <v>196051933.59999999</v>
      </c>
      <c r="I256">
        <v>32.200000000000003</v>
      </c>
      <c r="J256">
        <v>0.1877437338232994</v>
      </c>
      <c r="K256">
        <v>0.27999999821186067</v>
      </c>
      <c r="L256">
        <v>0.17422222197055817</v>
      </c>
      <c r="M256">
        <v>0.97377777777777774</v>
      </c>
      <c r="N256">
        <v>0.97703703703703704</v>
      </c>
      <c r="O256">
        <v>0.99368616527390896</v>
      </c>
      <c r="P256">
        <v>43.2</v>
      </c>
      <c r="Q256">
        <v>4243891</v>
      </c>
      <c r="R256">
        <v>243220</v>
      </c>
      <c r="S256">
        <v>2</v>
      </c>
      <c r="T256">
        <v>330</v>
      </c>
      <c r="U256">
        <v>0.97377777777777774</v>
      </c>
      <c r="V256">
        <v>0.9748148148148148</v>
      </c>
      <c r="W256">
        <v>0.9922005571030641</v>
      </c>
      <c r="X256">
        <v>44</v>
      </c>
      <c r="Y256">
        <v>4827221.2</v>
      </c>
      <c r="Z256">
        <v>244619</v>
      </c>
      <c r="AA256">
        <v>2</v>
      </c>
      <c r="AB256">
        <v>331</v>
      </c>
      <c r="AD256">
        <f>Tabela3[[#This Row],[kan_params]]</f>
        <v>244053</v>
      </c>
      <c r="AE256">
        <f>Tabela3[[#This Row],[kan_train_acc]]</f>
        <v>0.1877437338232994</v>
      </c>
      <c r="AF256">
        <f>Tabela3[[#This Row],[kan_val_acc]]</f>
        <v>0.27999999821186067</v>
      </c>
      <c r="AG256">
        <f>Tabela3[[#This Row],[kan_test_acc]]</f>
        <v>0.17422222197055817</v>
      </c>
      <c r="AH256">
        <f>Tabela3[[#This Row],[mlp_test_acc]]</f>
        <v>0.97377777777777774</v>
      </c>
      <c r="AI256">
        <f>Tabela3[[#This Row],[mlp_val_acc]]</f>
        <v>0.97703703703703704</v>
      </c>
      <c r="AJ256">
        <f>Tabela3[[#This Row],[mlp_train_acc]]</f>
        <v>0.99368616527390896</v>
      </c>
    </row>
    <row r="257" spans="1:36" x14ac:dyDescent="0.25">
      <c r="A257" t="s">
        <v>71</v>
      </c>
      <c r="B257">
        <v>12</v>
      </c>
      <c r="C257">
        <v>3</v>
      </c>
      <c r="D257">
        <v>4</v>
      </c>
      <c r="E257">
        <v>0</v>
      </c>
      <c r="F257" t="s">
        <v>98</v>
      </c>
      <c r="G257">
        <v>245062</v>
      </c>
      <c r="H257">
        <v>150517985.75</v>
      </c>
      <c r="I257">
        <v>22.5</v>
      </c>
      <c r="J257">
        <v>8.5886724293231964E-2</v>
      </c>
      <c r="K257">
        <v>0.18703703582286835</v>
      </c>
      <c r="L257">
        <v>9.388889092952013E-2</v>
      </c>
      <c r="M257">
        <v>0.96944444444444444</v>
      </c>
      <c r="N257">
        <v>0.9824074074074074</v>
      </c>
      <c r="O257">
        <v>0.99233983286908078</v>
      </c>
      <c r="P257">
        <v>39.75</v>
      </c>
      <c r="Q257">
        <v>5650257.25</v>
      </c>
      <c r="R257">
        <v>244619</v>
      </c>
      <c r="S257">
        <v>2</v>
      </c>
      <c r="T257">
        <v>331</v>
      </c>
      <c r="U257">
        <v>0.97333333333333338</v>
      </c>
      <c r="V257">
        <v>0.98148148148148151</v>
      </c>
      <c r="W257">
        <v>0.99350046425255334</v>
      </c>
      <c r="X257">
        <v>45</v>
      </c>
      <c r="Y257">
        <v>7796057.5</v>
      </c>
      <c r="Z257">
        <v>246022</v>
      </c>
      <c r="AA257">
        <v>2</v>
      </c>
      <c r="AB257">
        <v>332</v>
      </c>
      <c r="AD257">
        <f>Tabela3[[#This Row],[kan_params]]</f>
        <v>245062</v>
      </c>
      <c r="AE257">
        <f>Tabela3[[#This Row],[kan_train_acc]]</f>
        <v>8.5886724293231964E-2</v>
      </c>
      <c r="AF257">
        <f>Tabela3[[#This Row],[kan_val_acc]]</f>
        <v>0.18703703582286835</v>
      </c>
      <c r="AG257">
        <f>Tabela3[[#This Row],[kan_test_acc]]</f>
        <v>9.388889092952013E-2</v>
      </c>
      <c r="AH257">
        <f>Tabela3[[#This Row],[mlp_test_acc]]</f>
        <v>0.96944444444444444</v>
      </c>
      <c r="AI257">
        <f>Tabela3[[#This Row],[mlp_val_acc]]</f>
        <v>0.9824074074074074</v>
      </c>
      <c r="AJ257">
        <f>Tabela3[[#This Row],[mlp_train_acc]]</f>
        <v>0.99233983286908078</v>
      </c>
    </row>
    <row r="258" spans="1:36" x14ac:dyDescent="0.25">
      <c r="A258" t="s">
        <v>71</v>
      </c>
      <c r="B258">
        <v>12</v>
      </c>
      <c r="C258">
        <v>3</v>
      </c>
      <c r="D258">
        <v>4</v>
      </c>
      <c r="E258">
        <v>0</v>
      </c>
      <c r="F258" t="s">
        <v>85</v>
      </c>
      <c r="G258">
        <v>245331</v>
      </c>
      <c r="H258">
        <v>92517694.400000006</v>
      </c>
      <c r="I258">
        <v>12.8</v>
      </c>
      <c r="J258">
        <v>6.3695449382066727E-2</v>
      </c>
      <c r="K258">
        <v>0.21629630029201508</v>
      </c>
      <c r="L258">
        <v>6.3111110776662829E-2</v>
      </c>
      <c r="M258">
        <v>0.97733333333333328</v>
      </c>
      <c r="N258">
        <v>0.98444444444444446</v>
      </c>
      <c r="O258">
        <v>0.99238625812441972</v>
      </c>
      <c r="P258">
        <v>39.4</v>
      </c>
      <c r="Q258">
        <v>5680828.5999999996</v>
      </c>
      <c r="R258">
        <v>244619</v>
      </c>
      <c r="S258">
        <v>2</v>
      </c>
      <c r="T258">
        <v>331</v>
      </c>
      <c r="U258">
        <v>0.97599999999999998</v>
      </c>
      <c r="V258">
        <v>0.97555555555555562</v>
      </c>
      <c r="W258">
        <v>0.99145775301764161</v>
      </c>
      <c r="X258">
        <v>40.4</v>
      </c>
      <c r="Y258">
        <v>6603277.7999999998</v>
      </c>
      <c r="Z258">
        <v>246022</v>
      </c>
      <c r="AA258">
        <v>2</v>
      </c>
      <c r="AB258">
        <v>332</v>
      </c>
      <c r="AD258">
        <f>Tabela3[[#This Row],[kan_params]]</f>
        <v>245331</v>
      </c>
      <c r="AE258">
        <f>Tabela3[[#This Row],[kan_train_acc]]</f>
        <v>6.3695449382066727E-2</v>
      </c>
      <c r="AF258">
        <f>Tabela3[[#This Row],[kan_val_acc]]</f>
        <v>0.21629630029201508</v>
      </c>
      <c r="AG258">
        <f>Tabela3[[#This Row],[kan_test_acc]]</f>
        <v>6.3111110776662829E-2</v>
      </c>
      <c r="AH258">
        <f>Tabela3[[#This Row],[mlp_test_acc]]</f>
        <v>0.97733333333333328</v>
      </c>
      <c r="AI258">
        <f>Tabela3[[#This Row],[mlp_val_acc]]</f>
        <v>0.98444444444444446</v>
      </c>
      <c r="AJ258">
        <f>Tabela3[[#This Row],[mlp_train_acc]]</f>
        <v>0.99238625812441972</v>
      </c>
    </row>
    <row r="259" spans="1:36" x14ac:dyDescent="0.25">
      <c r="A259" t="s">
        <v>71</v>
      </c>
      <c r="B259">
        <v>16</v>
      </c>
      <c r="C259">
        <v>9</v>
      </c>
      <c r="D259">
        <v>3</v>
      </c>
      <c r="E259">
        <v>0</v>
      </c>
      <c r="F259" t="s">
        <v>135</v>
      </c>
      <c r="G259">
        <v>246564</v>
      </c>
      <c r="H259">
        <v>235946431.80000001</v>
      </c>
      <c r="I259">
        <v>39.6</v>
      </c>
      <c r="J259">
        <v>0.2189415067434311</v>
      </c>
      <c r="K259">
        <v>0.32740740776062011</v>
      </c>
      <c r="L259">
        <v>0.21555555313825608</v>
      </c>
      <c r="M259">
        <v>0.97066666666666668</v>
      </c>
      <c r="N259">
        <v>0.97555555555555551</v>
      </c>
      <c r="O259">
        <v>0.98941504178272976</v>
      </c>
      <c r="P259">
        <v>37.200000000000003</v>
      </c>
      <c r="Q259">
        <v>3897044.4</v>
      </c>
      <c r="R259">
        <v>246022</v>
      </c>
      <c r="S259">
        <v>2</v>
      </c>
      <c r="T259">
        <v>332</v>
      </c>
      <c r="U259">
        <v>0.97422222222222221</v>
      </c>
      <c r="V259">
        <v>0.97851851851851857</v>
      </c>
      <c r="W259">
        <v>0.99350046425255345</v>
      </c>
      <c r="X259">
        <v>43</v>
      </c>
      <c r="Y259">
        <v>4386565.2</v>
      </c>
      <c r="Z259">
        <v>247429</v>
      </c>
      <c r="AA259">
        <v>2</v>
      </c>
      <c r="AB259">
        <v>333</v>
      </c>
      <c r="AD259">
        <f>Tabela3[[#This Row],[kan_params]]</f>
        <v>246564</v>
      </c>
      <c r="AE259">
        <f>Tabela3[[#This Row],[kan_train_acc]]</f>
        <v>0.2189415067434311</v>
      </c>
      <c r="AF259">
        <f>Tabela3[[#This Row],[kan_val_acc]]</f>
        <v>0.32740740776062011</v>
      </c>
      <c r="AG259">
        <f>Tabela3[[#This Row],[kan_test_acc]]</f>
        <v>0.21555555313825608</v>
      </c>
      <c r="AH259">
        <f>Tabela3[[#This Row],[mlp_test_acc]]</f>
        <v>0.97066666666666668</v>
      </c>
      <c r="AI259">
        <f>Tabela3[[#This Row],[mlp_val_acc]]</f>
        <v>0.97555555555555551</v>
      </c>
      <c r="AJ259">
        <f>Tabela3[[#This Row],[mlp_train_acc]]</f>
        <v>0.98941504178272976</v>
      </c>
    </row>
    <row r="260" spans="1:36" x14ac:dyDescent="0.25">
      <c r="A260" t="s">
        <v>71</v>
      </c>
      <c r="B260">
        <v>16</v>
      </c>
      <c r="C260">
        <v>9</v>
      </c>
      <c r="D260">
        <v>3</v>
      </c>
      <c r="E260">
        <v>0</v>
      </c>
      <c r="F260" t="s">
        <v>122</v>
      </c>
      <c r="G260">
        <v>248635</v>
      </c>
      <c r="H260">
        <v>402671798.19999999</v>
      </c>
      <c r="I260">
        <v>59.2</v>
      </c>
      <c r="J260">
        <v>0.33630454540252686</v>
      </c>
      <c r="K260">
        <v>0.39777776598930359</v>
      </c>
      <c r="L260">
        <v>0.30711110532283781</v>
      </c>
      <c r="M260">
        <v>0.96399999999999997</v>
      </c>
      <c r="N260">
        <v>0.95925925925925926</v>
      </c>
      <c r="O260">
        <v>0.99331476323119783</v>
      </c>
      <c r="P260">
        <v>44.2</v>
      </c>
      <c r="Q260">
        <v>6814099.7999999998</v>
      </c>
      <c r="R260">
        <v>247429</v>
      </c>
      <c r="S260">
        <v>2</v>
      </c>
      <c r="T260">
        <v>333</v>
      </c>
      <c r="U260">
        <v>0.96311111111111114</v>
      </c>
      <c r="V260">
        <v>0.95851851851851855</v>
      </c>
      <c r="W260">
        <v>0.99442896935933145</v>
      </c>
      <c r="X260">
        <v>46</v>
      </c>
      <c r="Y260">
        <v>7557531.7999999998</v>
      </c>
      <c r="Z260">
        <v>248840</v>
      </c>
      <c r="AA260">
        <v>2</v>
      </c>
      <c r="AB260">
        <v>334</v>
      </c>
      <c r="AD260">
        <f>Tabela3[[#This Row],[kan_params]]</f>
        <v>248635</v>
      </c>
      <c r="AE260">
        <f>Tabela3[[#This Row],[kan_train_acc]]</f>
        <v>0.33630454540252686</v>
      </c>
      <c r="AF260">
        <f>Tabela3[[#This Row],[kan_val_acc]]</f>
        <v>0.39777776598930359</v>
      </c>
      <c r="AG260">
        <f>Tabela3[[#This Row],[kan_test_acc]]</f>
        <v>0.30711110532283781</v>
      </c>
      <c r="AH260">
        <f>Tabela3[[#This Row],[mlp_test_acc]]</f>
        <v>0.96399999999999997</v>
      </c>
      <c r="AI260">
        <f>Tabela3[[#This Row],[mlp_val_acc]]</f>
        <v>0.95925925925925926</v>
      </c>
      <c r="AJ260">
        <f>Tabela3[[#This Row],[mlp_train_acc]]</f>
        <v>0.99331476323119783</v>
      </c>
    </row>
    <row r="261" spans="1:36" x14ac:dyDescent="0.25">
      <c r="A261" t="s">
        <v>71</v>
      </c>
      <c r="B261">
        <v>16</v>
      </c>
      <c r="C261">
        <v>9</v>
      </c>
      <c r="D261">
        <v>3</v>
      </c>
      <c r="E261">
        <v>0</v>
      </c>
      <c r="F261" t="s">
        <v>108</v>
      </c>
      <c r="G261">
        <v>250266</v>
      </c>
      <c r="H261">
        <v>254417686</v>
      </c>
      <c r="I261">
        <v>37.200000000000003</v>
      </c>
      <c r="J261">
        <v>0.22766945213079454</v>
      </c>
      <c r="K261">
        <v>0.3088888883590698</v>
      </c>
      <c r="L261">
        <v>0.21422221958637239</v>
      </c>
      <c r="M261">
        <v>0.96399999999999997</v>
      </c>
      <c r="N261">
        <v>0.95777777777777784</v>
      </c>
      <c r="O261">
        <v>0.99145775301764161</v>
      </c>
      <c r="P261">
        <v>38.799999999999997</v>
      </c>
      <c r="Q261">
        <v>6625710.7999999998</v>
      </c>
      <c r="R261">
        <v>250255</v>
      </c>
      <c r="S261">
        <v>2</v>
      </c>
      <c r="T261">
        <v>335</v>
      </c>
      <c r="U261">
        <v>0.9622222222222222</v>
      </c>
      <c r="V261">
        <v>0.96148148148148149</v>
      </c>
      <c r="W261">
        <v>0.99554317548746518</v>
      </c>
      <c r="X261">
        <v>50.6</v>
      </c>
      <c r="Y261">
        <v>7331719.4000000004</v>
      </c>
      <c r="Z261">
        <v>251674</v>
      </c>
      <c r="AA261">
        <v>2</v>
      </c>
      <c r="AB261">
        <v>336</v>
      </c>
      <c r="AD261">
        <f>Tabela3[[#This Row],[kan_params]]</f>
        <v>250266</v>
      </c>
      <c r="AE261">
        <f>Tabela3[[#This Row],[kan_train_acc]]</f>
        <v>0.22766945213079454</v>
      </c>
      <c r="AF261">
        <f>Tabela3[[#This Row],[kan_val_acc]]</f>
        <v>0.3088888883590698</v>
      </c>
      <c r="AG261">
        <f>Tabela3[[#This Row],[kan_test_acc]]</f>
        <v>0.21422221958637239</v>
      </c>
      <c r="AH261">
        <f>Tabela3[[#This Row],[mlp_test_acc]]</f>
        <v>0.96399999999999997</v>
      </c>
      <c r="AI261">
        <f>Tabela3[[#This Row],[mlp_val_acc]]</f>
        <v>0.95777777777777784</v>
      </c>
      <c r="AJ261">
        <f>Tabela3[[#This Row],[mlp_train_acc]]</f>
        <v>0.99145775301764161</v>
      </c>
    </row>
    <row r="262" spans="1:36" x14ac:dyDescent="0.25">
      <c r="A262" t="s">
        <v>71</v>
      </c>
      <c r="B262">
        <v>16</v>
      </c>
      <c r="C262">
        <v>9</v>
      </c>
      <c r="D262">
        <v>3</v>
      </c>
      <c r="E262">
        <v>0</v>
      </c>
      <c r="F262" t="s">
        <v>95</v>
      </c>
      <c r="G262">
        <v>251457</v>
      </c>
      <c r="H262">
        <v>141619165.80000001</v>
      </c>
      <c r="I262">
        <v>19.2</v>
      </c>
      <c r="J262">
        <v>0.14261838644742966</v>
      </c>
      <c r="K262">
        <v>0.21629629731178285</v>
      </c>
      <c r="L262">
        <v>0.14533333331346512</v>
      </c>
      <c r="M262">
        <v>0.96488888888888891</v>
      </c>
      <c r="N262">
        <v>0.95777777777777773</v>
      </c>
      <c r="O262">
        <v>0.99257195914577534</v>
      </c>
      <c r="P262">
        <v>46.2</v>
      </c>
      <c r="Q262">
        <v>7435529.7999999998</v>
      </c>
      <c r="R262">
        <v>250255</v>
      </c>
      <c r="S262">
        <v>2</v>
      </c>
      <c r="T262">
        <v>335</v>
      </c>
      <c r="U262">
        <v>0.96711111111111114</v>
      </c>
      <c r="V262">
        <v>0.96370370370370373</v>
      </c>
      <c r="W262">
        <v>0.99647168059424329</v>
      </c>
      <c r="X262">
        <v>56.2</v>
      </c>
      <c r="Y262">
        <v>5421019</v>
      </c>
      <c r="Z262">
        <v>251674</v>
      </c>
      <c r="AA262">
        <v>2</v>
      </c>
      <c r="AB262">
        <v>336</v>
      </c>
      <c r="AD262">
        <f>Tabela3[[#This Row],[kan_params]]</f>
        <v>251457</v>
      </c>
      <c r="AE262">
        <f>Tabela3[[#This Row],[kan_train_acc]]</f>
        <v>0.14261838644742966</v>
      </c>
      <c r="AF262">
        <f>Tabela3[[#This Row],[kan_val_acc]]</f>
        <v>0.21629629731178285</v>
      </c>
      <c r="AG262">
        <f>Tabela3[[#This Row],[kan_test_acc]]</f>
        <v>0.14533333331346512</v>
      </c>
      <c r="AH262">
        <f>Tabela3[[#This Row],[mlp_test_acc]]</f>
        <v>0.96488888888888891</v>
      </c>
      <c r="AI262">
        <f>Tabela3[[#This Row],[mlp_val_acc]]</f>
        <v>0.95777777777777773</v>
      </c>
      <c r="AJ262">
        <f>Tabela3[[#This Row],[mlp_train_acc]]</f>
        <v>0.99257195914577534</v>
      </c>
    </row>
    <row r="263" spans="1:36" x14ac:dyDescent="0.25">
      <c r="A263" t="s">
        <v>71</v>
      </c>
      <c r="B263">
        <v>12</v>
      </c>
      <c r="C263">
        <v>3</v>
      </c>
      <c r="D263">
        <v>4</v>
      </c>
      <c r="E263">
        <v>0</v>
      </c>
      <c r="F263" t="s">
        <v>86</v>
      </c>
      <c r="G263">
        <v>252366</v>
      </c>
      <c r="H263">
        <v>160051840.40000001</v>
      </c>
      <c r="I263">
        <v>22</v>
      </c>
      <c r="J263">
        <v>9.1922004520893094E-2</v>
      </c>
      <c r="K263">
        <v>0.1733333334326744</v>
      </c>
      <c r="L263">
        <v>8.5333333909511561E-2</v>
      </c>
      <c r="M263">
        <v>0.97244444444444444</v>
      </c>
      <c r="N263">
        <v>0.98</v>
      </c>
      <c r="O263">
        <v>0.98997214484679663</v>
      </c>
      <c r="P263">
        <v>37</v>
      </c>
      <c r="Q263">
        <v>4646188.4000000004</v>
      </c>
      <c r="R263">
        <v>251674</v>
      </c>
      <c r="S263">
        <v>2</v>
      </c>
      <c r="T263">
        <v>336</v>
      </c>
      <c r="U263">
        <v>0.97333333333333338</v>
      </c>
      <c r="V263">
        <v>0.98</v>
      </c>
      <c r="W263">
        <v>0.99182915506035285</v>
      </c>
      <c r="X263">
        <v>39</v>
      </c>
      <c r="Y263">
        <v>6576956.2000000002</v>
      </c>
      <c r="Z263">
        <v>253097</v>
      </c>
      <c r="AA263">
        <v>2</v>
      </c>
      <c r="AB263">
        <v>337</v>
      </c>
      <c r="AD263">
        <f>Tabela3[[#This Row],[kan_params]]</f>
        <v>252366</v>
      </c>
      <c r="AE263">
        <f>Tabela3[[#This Row],[kan_train_acc]]</f>
        <v>9.1922004520893094E-2</v>
      </c>
      <c r="AF263">
        <f>Tabela3[[#This Row],[kan_val_acc]]</f>
        <v>0.1733333334326744</v>
      </c>
      <c r="AG263">
        <f>Tabela3[[#This Row],[kan_test_acc]]</f>
        <v>8.5333333909511561E-2</v>
      </c>
      <c r="AH263">
        <f>Tabela3[[#This Row],[mlp_test_acc]]</f>
        <v>0.97244444444444444</v>
      </c>
      <c r="AI263">
        <f>Tabela3[[#This Row],[mlp_val_acc]]</f>
        <v>0.98</v>
      </c>
      <c r="AJ263">
        <f>Tabela3[[#This Row],[mlp_train_acc]]</f>
        <v>0.98997214484679663</v>
      </c>
    </row>
    <row r="264" spans="1:36" x14ac:dyDescent="0.25">
      <c r="A264" t="s">
        <v>71</v>
      </c>
      <c r="B264">
        <v>16</v>
      </c>
      <c r="C264">
        <v>9</v>
      </c>
      <c r="D264">
        <v>3</v>
      </c>
      <c r="E264">
        <v>0</v>
      </c>
      <c r="F264" t="s">
        <v>149</v>
      </c>
      <c r="G264">
        <v>253078</v>
      </c>
      <c r="H264">
        <v>214227063.80000001</v>
      </c>
      <c r="I264">
        <v>34.799999999999997</v>
      </c>
      <c r="J264">
        <v>0.23714020997285842</v>
      </c>
      <c r="K264">
        <v>0.31999999880790708</v>
      </c>
      <c r="L264">
        <v>0.23244443982839585</v>
      </c>
      <c r="M264">
        <v>0.97555555555555551</v>
      </c>
      <c r="N264">
        <v>0.9748148148148148</v>
      </c>
      <c r="O264">
        <v>0.99461467038068707</v>
      </c>
      <c r="P264">
        <v>45</v>
      </c>
      <c r="Q264">
        <v>7553916.2000000002</v>
      </c>
      <c r="R264">
        <v>251674</v>
      </c>
      <c r="S264">
        <v>2</v>
      </c>
      <c r="T264">
        <v>336</v>
      </c>
      <c r="U264">
        <v>0.97288888888888891</v>
      </c>
      <c r="V264">
        <v>0.9748148148148148</v>
      </c>
      <c r="W264">
        <v>0.99312906220984221</v>
      </c>
      <c r="X264">
        <v>41.6</v>
      </c>
      <c r="Y264">
        <v>3968568.6</v>
      </c>
      <c r="Z264">
        <v>253097</v>
      </c>
      <c r="AA264">
        <v>2</v>
      </c>
      <c r="AB264">
        <v>337</v>
      </c>
      <c r="AD264">
        <f>Tabela3[[#This Row],[kan_params]]</f>
        <v>253078</v>
      </c>
      <c r="AE264">
        <f>Tabela3[[#This Row],[kan_train_acc]]</f>
        <v>0.23714020997285842</v>
      </c>
      <c r="AF264">
        <f>Tabela3[[#This Row],[kan_val_acc]]</f>
        <v>0.31999999880790708</v>
      </c>
      <c r="AG264">
        <f>Tabela3[[#This Row],[kan_test_acc]]</f>
        <v>0.23244443982839585</v>
      </c>
      <c r="AH264">
        <f>Tabela3[[#This Row],[mlp_test_acc]]</f>
        <v>0.97555555555555551</v>
      </c>
      <c r="AI264">
        <f>Tabela3[[#This Row],[mlp_val_acc]]</f>
        <v>0.9748148148148148</v>
      </c>
      <c r="AJ264">
        <f>Tabela3[[#This Row],[mlp_train_acc]]</f>
        <v>0.99461467038068707</v>
      </c>
    </row>
    <row r="265" spans="1:36" x14ac:dyDescent="0.25">
      <c r="A265" t="s">
        <v>71</v>
      </c>
      <c r="B265">
        <v>16</v>
      </c>
      <c r="C265">
        <v>9</v>
      </c>
      <c r="D265">
        <v>3</v>
      </c>
      <c r="E265">
        <v>0</v>
      </c>
      <c r="F265" t="s">
        <v>136</v>
      </c>
      <c r="G265">
        <v>255369</v>
      </c>
      <c r="H265">
        <v>168207490.40000001</v>
      </c>
      <c r="I265">
        <v>26.6</v>
      </c>
      <c r="J265">
        <v>0.18644382655620576</v>
      </c>
      <c r="K265">
        <v>0.31185185313224795</v>
      </c>
      <c r="L265">
        <v>0.18088889122009277</v>
      </c>
      <c r="M265">
        <v>0.97599999999999998</v>
      </c>
      <c r="N265">
        <v>0.97851851851851857</v>
      </c>
      <c r="O265">
        <v>0.99294336118848658</v>
      </c>
      <c r="P265">
        <v>43.2</v>
      </c>
      <c r="Q265">
        <v>5090162.5999999996</v>
      </c>
      <c r="R265">
        <v>254524</v>
      </c>
      <c r="S265">
        <v>2</v>
      </c>
      <c r="T265">
        <v>338</v>
      </c>
      <c r="U265">
        <v>0.97422222222222221</v>
      </c>
      <c r="V265">
        <v>0.97333333333333338</v>
      </c>
      <c r="W265">
        <v>0.99331476323119772</v>
      </c>
      <c r="X265">
        <v>42.4</v>
      </c>
      <c r="Y265">
        <v>5067324.5999999996</v>
      </c>
      <c r="Z265">
        <v>255955</v>
      </c>
      <c r="AA265">
        <v>2</v>
      </c>
      <c r="AB265">
        <v>339</v>
      </c>
      <c r="AD265">
        <f>Tabela3[[#This Row],[kan_params]]</f>
        <v>255369</v>
      </c>
      <c r="AE265">
        <f>Tabela3[[#This Row],[kan_train_acc]]</f>
        <v>0.18644382655620576</v>
      </c>
      <c r="AF265">
        <f>Tabela3[[#This Row],[kan_val_acc]]</f>
        <v>0.31185185313224795</v>
      </c>
      <c r="AG265">
        <f>Tabela3[[#This Row],[kan_test_acc]]</f>
        <v>0.18088889122009277</v>
      </c>
      <c r="AH265">
        <f>Tabela3[[#This Row],[mlp_test_acc]]</f>
        <v>0.97599999999999998</v>
      </c>
      <c r="AI265">
        <f>Tabela3[[#This Row],[mlp_val_acc]]</f>
        <v>0.97851851851851857</v>
      </c>
      <c r="AJ265">
        <f>Tabela3[[#This Row],[mlp_train_acc]]</f>
        <v>0.99294336118848658</v>
      </c>
    </row>
    <row r="266" spans="1:36" x14ac:dyDescent="0.25">
      <c r="A266" t="s">
        <v>71</v>
      </c>
      <c r="B266">
        <v>16</v>
      </c>
      <c r="C266">
        <v>9</v>
      </c>
      <c r="D266">
        <v>3</v>
      </c>
      <c r="E266">
        <v>0</v>
      </c>
      <c r="F266" t="s">
        <v>123</v>
      </c>
      <c r="G266">
        <v>257220</v>
      </c>
      <c r="H266">
        <v>169741456.40000001</v>
      </c>
      <c r="I266">
        <v>23.4</v>
      </c>
      <c r="J266">
        <v>0.1604456827044487</v>
      </c>
      <c r="K266">
        <v>0.25259259045124055</v>
      </c>
      <c r="L266">
        <v>0.14444444626569747</v>
      </c>
      <c r="M266">
        <v>0.96311111111111114</v>
      </c>
      <c r="N266">
        <v>0.96444444444444444</v>
      </c>
      <c r="O266">
        <v>0.9957288765088208</v>
      </c>
      <c r="P266">
        <v>50.4</v>
      </c>
      <c r="Q266">
        <v>8068980</v>
      </c>
      <c r="R266">
        <v>255955</v>
      </c>
      <c r="S266">
        <v>2</v>
      </c>
      <c r="T266">
        <v>339</v>
      </c>
      <c r="U266">
        <v>0.96311111111111114</v>
      </c>
      <c r="V266">
        <v>0.96296296296296291</v>
      </c>
      <c r="W266">
        <v>0.99387186629526469</v>
      </c>
      <c r="X266">
        <v>46.2</v>
      </c>
      <c r="Y266">
        <v>7503752</v>
      </c>
      <c r="Z266">
        <v>257390</v>
      </c>
      <c r="AA266">
        <v>2</v>
      </c>
      <c r="AB266">
        <v>340</v>
      </c>
      <c r="AD266">
        <f>Tabela3[[#This Row],[kan_params]]</f>
        <v>257220</v>
      </c>
      <c r="AE266">
        <f>Tabela3[[#This Row],[kan_train_acc]]</f>
        <v>0.1604456827044487</v>
      </c>
      <c r="AF266">
        <f>Tabela3[[#This Row],[kan_val_acc]]</f>
        <v>0.25259259045124055</v>
      </c>
      <c r="AG266">
        <f>Tabela3[[#This Row],[kan_test_acc]]</f>
        <v>0.14444444626569747</v>
      </c>
      <c r="AH266">
        <f>Tabela3[[#This Row],[mlp_test_acc]]</f>
        <v>0.96311111111111114</v>
      </c>
      <c r="AI266">
        <f>Tabela3[[#This Row],[mlp_val_acc]]</f>
        <v>0.96444444444444444</v>
      </c>
      <c r="AJ266">
        <f>Tabela3[[#This Row],[mlp_train_acc]]</f>
        <v>0.9957288765088208</v>
      </c>
    </row>
    <row r="267" spans="1:36" x14ac:dyDescent="0.25">
      <c r="A267" t="s">
        <v>71</v>
      </c>
      <c r="B267">
        <v>16</v>
      </c>
      <c r="C267">
        <v>9</v>
      </c>
      <c r="D267">
        <v>3</v>
      </c>
      <c r="E267">
        <v>0</v>
      </c>
      <c r="F267" t="s">
        <v>109</v>
      </c>
      <c r="G267">
        <v>258631</v>
      </c>
      <c r="H267">
        <v>239167487.40000001</v>
      </c>
      <c r="I267">
        <v>34.200000000000003</v>
      </c>
      <c r="J267">
        <v>0.21448467969894408</v>
      </c>
      <c r="K267">
        <v>0.30888889431953431</v>
      </c>
      <c r="L267">
        <v>0.20666666328907013</v>
      </c>
      <c r="M267">
        <v>0.96311111111111114</v>
      </c>
      <c r="N267">
        <v>0.95703703703703702</v>
      </c>
      <c r="O267">
        <v>0.99201485608170847</v>
      </c>
      <c r="P267">
        <v>42</v>
      </c>
      <c r="Q267">
        <v>8523486.5999999996</v>
      </c>
      <c r="R267">
        <v>257390</v>
      </c>
      <c r="S267">
        <v>2</v>
      </c>
      <c r="T267">
        <v>340</v>
      </c>
      <c r="U267">
        <v>0.9622222222222222</v>
      </c>
      <c r="V267">
        <v>0.96370370370370362</v>
      </c>
      <c r="W267">
        <v>0.99554317548746518</v>
      </c>
      <c r="X267">
        <v>50.2</v>
      </c>
      <c r="Y267">
        <v>7130456.2000000002</v>
      </c>
      <c r="Z267">
        <v>258829</v>
      </c>
      <c r="AA267">
        <v>2</v>
      </c>
      <c r="AB267">
        <v>341</v>
      </c>
      <c r="AD267">
        <f>Tabela3[[#This Row],[kan_params]]</f>
        <v>258631</v>
      </c>
      <c r="AE267">
        <f>Tabela3[[#This Row],[kan_train_acc]]</f>
        <v>0.21448467969894408</v>
      </c>
      <c r="AF267">
        <f>Tabela3[[#This Row],[kan_val_acc]]</f>
        <v>0.30888889431953431</v>
      </c>
      <c r="AG267">
        <f>Tabela3[[#This Row],[kan_test_acc]]</f>
        <v>0.20666666328907013</v>
      </c>
      <c r="AH267">
        <f>Tabela3[[#This Row],[mlp_test_acc]]</f>
        <v>0.96311111111111114</v>
      </c>
      <c r="AI267">
        <f>Tabela3[[#This Row],[mlp_val_acc]]</f>
        <v>0.95703703703703702</v>
      </c>
      <c r="AJ267">
        <f>Tabela3[[#This Row],[mlp_train_acc]]</f>
        <v>0.99201485608170847</v>
      </c>
    </row>
    <row r="268" spans="1:36" x14ac:dyDescent="0.25">
      <c r="A268" t="s">
        <v>71</v>
      </c>
      <c r="B268">
        <v>12</v>
      </c>
      <c r="C268">
        <v>3</v>
      </c>
      <c r="D268">
        <v>4</v>
      </c>
      <c r="E268">
        <v>0</v>
      </c>
      <c r="F268" t="s">
        <v>87</v>
      </c>
      <c r="G268">
        <v>259401</v>
      </c>
      <c r="H268">
        <v>134092022</v>
      </c>
      <c r="I268">
        <v>17.2</v>
      </c>
      <c r="J268">
        <v>8.8207984715700155E-2</v>
      </c>
      <c r="K268">
        <v>0.17185184955596924</v>
      </c>
      <c r="L268">
        <v>8.3111112564802164E-2</v>
      </c>
      <c r="M268">
        <v>0.97377777777777774</v>
      </c>
      <c r="N268">
        <v>0.98074074074074069</v>
      </c>
      <c r="O268">
        <v>0.99238625812441972</v>
      </c>
      <c r="P268">
        <v>40.4</v>
      </c>
      <c r="Q268">
        <v>6184843.5999999996</v>
      </c>
      <c r="R268">
        <v>258829</v>
      </c>
      <c r="S268">
        <v>2</v>
      </c>
      <c r="T268">
        <v>341</v>
      </c>
      <c r="U268">
        <v>0.97422222222222221</v>
      </c>
      <c r="V268">
        <v>0.98222222222222222</v>
      </c>
      <c r="W268">
        <v>0.99201485608170847</v>
      </c>
      <c r="X268">
        <v>40.799999999999997</v>
      </c>
      <c r="Y268">
        <v>6305306.7999999998</v>
      </c>
      <c r="Z268">
        <v>260272</v>
      </c>
      <c r="AA268">
        <v>2</v>
      </c>
      <c r="AB268">
        <v>342</v>
      </c>
      <c r="AD268">
        <f>Tabela3[[#This Row],[kan_params]]</f>
        <v>259401</v>
      </c>
      <c r="AE268">
        <f>Tabela3[[#This Row],[kan_train_acc]]</f>
        <v>8.8207984715700155E-2</v>
      </c>
      <c r="AF268">
        <f>Tabela3[[#This Row],[kan_val_acc]]</f>
        <v>0.17185184955596924</v>
      </c>
      <c r="AG268">
        <f>Tabela3[[#This Row],[kan_test_acc]]</f>
        <v>8.3111112564802164E-2</v>
      </c>
      <c r="AH268">
        <f>Tabela3[[#This Row],[mlp_test_acc]]</f>
        <v>0.97377777777777774</v>
      </c>
      <c r="AI268">
        <f>Tabela3[[#This Row],[mlp_val_acc]]</f>
        <v>0.98074074074074069</v>
      </c>
      <c r="AJ268">
        <f>Tabela3[[#This Row],[mlp_train_acc]]</f>
        <v>0.99238625812441972</v>
      </c>
    </row>
    <row r="269" spans="1:36" x14ac:dyDescent="0.25">
      <c r="A269" t="s">
        <v>71</v>
      </c>
      <c r="B269">
        <v>16</v>
      </c>
      <c r="C269">
        <v>9</v>
      </c>
      <c r="D269">
        <v>3</v>
      </c>
      <c r="E269">
        <v>0</v>
      </c>
      <c r="F269" t="s">
        <v>82</v>
      </c>
      <c r="G269">
        <v>259602</v>
      </c>
      <c r="H269">
        <v>105256981.59999999</v>
      </c>
      <c r="I269">
        <v>13.8</v>
      </c>
      <c r="J269">
        <v>0.15078922957181931</v>
      </c>
      <c r="K269">
        <v>0.2222222238779068</v>
      </c>
      <c r="L269">
        <v>0.14133333265781403</v>
      </c>
      <c r="M269">
        <v>0.96311111111111114</v>
      </c>
      <c r="N269">
        <v>0.95925925925925926</v>
      </c>
      <c r="O269">
        <v>0.99554317548746518</v>
      </c>
      <c r="P269">
        <v>44.6</v>
      </c>
      <c r="Q269">
        <v>5721344.7999999998</v>
      </c>
      <c r="R269">
        <v>258829</v>
      </c>
      <c r="S269">
        <v>2</v>
      </c>
      <c r="T269">
        <v>341</v>
      </c>
      <c r="U269">
        <v>0.96488888888888891</v>
      </c>
      <c r="V269">
        <v>0.95925925925925926</v>
      </c>
      <c r="W269">
        <v>0.99368616527390896</v>
      </c>
      <c r="X269">
        <v>42.6</v>
      </c>
      <c r="Y269">
        <v>5486123.4000000004</v>
      </c>
      <c r="Z269">
        <v>260272</v>
      </c>
      <c r="AA269">
        <v>2</v>
      </c>
      <c r="AB269">
        <v>342</v>
      </c>
      <c r="AD269">
        <f>Tabela3[[#This Row],[kan_params]]</f>
        <v>259602</v>
      </c>
      <c r="AE269">
        <f>Tabela3[[#This Row],[kan_train_acc]]</f>
        <v>0.15078922957181931</v>
      </c>
      <c r="AF269">
        <f>Tabela3[[#This Row],[kan_val_acc]]</f>
        <v>0.2222222238779068</v>
      </c>
      <c r="AG269">
        <f>Tabela3[[#This Row],[kan_test_acc]]</f>
        <v>0.14133333265781403</v>
      </c>
      <c r="AH269">
        <f>Tabela3[[#This Row],[mlp_test_acc]]</f>
        <v>0.96311111111111114</v>
      </c>
      <c r="AI269">
        <f>Tabela3[[#This Row],[mlp_val_acc]]</f>
        <v>0.95925925925925926</v>
      </c>
      <c r="AJ269">
        <f>Tabela3[[#This Row],[mlp_train_acc]]</f>
        <v>0.99554317548746518</v>
      </c>
    </row>
    <row r="270" spans="1:36" x14ac:dyDescent="0.25">
      <c r="A270" t="s">
        <v>71</v>
      </c>
      <c r="B270">
        <v>16</v>
      </c>
      <c r="C270">
        <v>9</v>
      </c>
      <c r="D270">
        <v>3</v>
      </c>
      <c r="E270">
        <v>0</v>
      </c>
      <c r="F270" t="s">
        <v>150</v>
      </c>
      <c r="G270">
        <v>262103</v>
      </c>
      <c r="H270">
        <v>222746493</v>
      </c>
      <c r="I270">
        <v>34.799999999999997</v>
      </c>
      <c r="J270">
        <v>0.23119777292013169</v>
      </c>
      <c r="K270">
        <v>0.27851852476596833</v>
      </c>
      <c r="L270">
        <v>0.22800000011920929</v>
      </c>
      <c r="M270">
        <v>0.97911111111111104</v>
      </c>
      <c r="N270">
        <v>0.98</v>
      </c>
      <c r="O270">
        <v>0.99424326833797583</v>
      </c>
      <c r="P270">
        <v>47</v>
      </c>
      <c r="Q270">
        <v>6023631.7999999998</v>
      </c>
      <c r="R270">
        <v>261719</v>
      </c>
      <c r="S270">
        <v>2</v>
      </c>
      <c r="T270">
        <v>343</v>
      </c>
      <c r="U270">
        <v>0.97377777777777774</v>
      </c>
      <c r="V270">
        <v>0.97629629629629633</v>
      </c>
      <c r="W270">
        <v>0.99275766016713096</v>
      </c>
      <c r="X270">
        <v>43</v>
      </c>
      <c r="Y270">
        <v>5944834.5999999996</v>
      </c>
      <c r="Z270">
        <v>263170</v>
      </c>
      <c r="AA270">
        <v>2</v>
      </c>
      <c r="AB270">
        <v>344</v>
      </c>
      <c r="AD270">
        <f>Tabela3[[#This Row],[kan_params]]</f>
        <v>262103</v>
      </c>
      <c r="AE270">
        <f>Tabela3[[#This Row],[kan_train_acc]]</f>
        <v>0.23119777292013169</v>
      </c>
      <c r="AF270">
        <f>Tabela3[[#This Row],[kan_val_acc]]</f>
        <v>0.27851852476596833</v>
      </c>
      <c r="AG270">
        <f>Tabela3[[#This Row],[kan_test_acc]]</f>
        <v>0.22800000011920929</v>
      </c>
      <c r="AH270">
        <f>Tabela3[[#This Row],[mlp_test_acc]]</f>
        <v>0.97911111111111104</v>
      </c>
      <c r="AI270">
        <f>Tabela3[[#This Row],[mlp_val_acc]]</f>
        <v>0.98</v>
      </c>
      <c r="AJ270">
        <f>Tabela3[[#This Row],[mlp_train_acc]]</f>
        <v>0.99424326833797583</v>
      </c>
    </row>
    <row r="271" spans="1:36" x14ac:dyDescent="0.25">
      <c r="A271" t="s">
        <v>71</v>
      </c>
      <c r="B271">
        <v>16</v>
      </c>
      <c r="C271">
        <v>9</v>
      </c>
      <c r="D271">
        <v>3</v>
      </c>
      <c r="E271">
        <v>0</v>
      </c>
      <c r="F271" t="s">
        <v>137</v>
      </c>
      <c r="G271">
        <v>264174</v>
      </c>
      <c r="H271">
        <v>102607097.8</v>
      </c>
      <c r="I271">
        <v>15.2</v>
      </c>
      <c r="J271">
        <v>0.15896007418632507</v>
      </c>
      <c r="K271">
        <v>0.22296296358108519</v>
      </c>
      <c r="L271">
        <v>0.15422222167253494</v>
      </c>
      <c r="M271">
        <v>0.97599999999999998</v>
      </c>
      <c r="N271">
        <v>0.97777777777777775</v>
      </c>
      <c r="O271">
        <v>0.99331476323119783</v>
      </c>
      <c r="P271">
        <v>46.4</v>
      </c>
      <c r="Q271">
        <v>5529936.5999999996</v>
      </c>
      <c r="R271">
        <v>263170</v>
      </c>
      <c r="S271">
        <v>2</v>
      </c>
      <c r="T271">
        <v>344</v>
      </c>
      <c r="U271">
        <v>0.97022222222222221</v>
      </c>
      <c r="V271">
        <v>0.97777777777777775</v>
      </c>
      <c r="W271">
        <v>0.99294336118848647</v>
      </c>
      <c r="X271">
        <v>39.6</v>
      </c>
      <c r="Y271">
        <v>4209419.2</v>
      </c>
      <c r="Z271">
        <v>264625</v>
      </c>
      <c r="AA271">
        <v>2</v>
      </c>
      <c r="AB271">
        <v>345</v>
      </c>
      <c r="AD271">
        <f>Tabela3[[#This Row],[kan_params]]</f>
        <v>264174</v>
      </c>
      <c r="AE271">
        <f>Tabela3[[#This Row],[kan_train_acc]]</f>
        <v>0.15896007418632507</v>
      </c>
      <c r="AF271">
        <f>Tabela3[[#This Row],[kan_val_acc]]</f>
        <v>0.22296296358108519</v>
      </c>
      <c r="AG271">
        <f>Tabela3[[#This Row],[kan_test_acc]]</f>
        <v>0.15422222167253494</v>
      </c>
      <c r="AH271">
        <f>Tabela3[[#This Row],[mlp_test_acc]]</f>
        <v>0.97599999999999998</v>
      </c>
      <c r="AI271">
        <f>Tabela3[[#This Row],[mlp_val_acc]]</f>
        <v>0.97777777777777775</v>
      </c>
      <c r="AJ271">
        <f>Tabela3[[#This Row],[mlp_train_acc]]</f>
        <v>0.99331476323119783</v>
      </c>
    </row>
    <row r="272" spans="1:36" x14ac:dyDescent="0.25">
      <c r="A272" t="s">
        <v>71</v>
      </c>
      <c r="B272">
        <v>16</v>
      </c>
      <c r="C272">
        <v>9</v>
      </c>
      <c r="D272">
        <v>3</v>
      </c>
      <c r="E272">
        <v>0</v>
      </c>
      <c r="F272" t="s">
        <v>124</v>
      </c>
      <c r="G272">
        <v>265805</v>
      </c>
      <c r="H272">
        <v>267869579.80000001</v>
      </c>
      <c r="I272">
        <v>37</v>
      </c>
      <c r="J272">
        <v>0.27632311582565305</v>
      </c>
      <c r="K272">
        <v>0.31777778565883635</v>
      </c>
      <c r="L272">
        <v>0.27288889288902285</v>
      </c>
      <c r="M272">
        <v>0.96444444444444444</v>
      </c>
      <c r="N272">
        <v>0.96444444444444444</v>
      </c>
      <c r="O272">
        <v>0.99294336118848658</v>
      </c>
      <c r="P272">
        <v>41.4</v>
      </c>
      <c r="Q272">
        <v>6149826.2000000002</v>
      </c>
      <c r="R272">
        <v>264625</v>
      </c>
      <c r="S272">
        <v>2</v>
      </c>
      <c r="T272">
        <v>345</v>
      </c>
      <c r="U272">
        <v>0.96533333333333338</v>
      </c>
      <c r="V272">
        <v>0.96148148148148149</v>
      </c>
      <c r="W272">
        <v>0.98997214484679663</v>
      </c>
      <c r="X272">
        <v>38.4</v>
      </c>
      <c r="Y272">
        <v>7421812.4000000004</v>
      </c>
      <c r="Z272">
        <v>266084</v>
      </c>
      <c r="AA272">
        <v>2</v>
      </c>
      <c r="AB272">
        <v>346</v>
      </c>
      <c r="AD272">
        <f>Tabela3[[#This Row],[kan_params]]</f>
        <v>265805</v>
      </c>
      <c r="AE272">
        <f>Tabela3[[#This Row],[kan_train_acc]]</f>
        <v>0.27632311582565305</v>
      </c>
      <c r="AF272">
        <f>Tabela3[[#This Row],[kan_val_acc]]</f>
        <v>0.31777778565883635</v>
      </c>
      <c r="AG272">
        <f>Tabela3[[#This Row],[kan_test_acc]]</f>
        <v>0.27288889288902285</v>
      </c>
      <c r="AH272">
        <f>Tabela3[[#This Row],[mlp_test_acc]]</f>
        <v>0.96444444444444444</v>
      </c>
      <c r="AI272">
        <f>Tabela3[[#This Row],[mlp_val_acc]]</f>
        <v>0.96444444444444444</v>
      </c>
      <c r="AJ272">
        <f>Tabela3[[#This Row],[mlp_train_acc]]</f>
        <v>0.99294336118848658</v>
      </c>
    </row>
    <row r="273" spans="1:36" x14ac:dyDescent="0.25">
      <c r="A273" t="s">
        <v>71</v>
      </c>
      <c r="B273">
        <v>16</v>
      </c>
      <c r="C273">
        <v>9</v>
      </c>
      <c r="D273">
        <v>3</v>
      </c>
      <c r="E273">
        <v>0</v>
      </c>
      <c r="F273" t="s">
        <v>96</v>
      </c>
      <c r="G273">
        <v>266996</v>
      </c>
      <c r="H273">
        <v>172660573.19999999</v>
      </c>
      <c r="I273">
        <v>23.2</v>
      </c>
      <c r="J273">
        <v>0.14893221855163574</v>
      </c>
      <c r="K273">
        <v>0.22666666209697722</v>
      </c>
      <c r="L273">
        <v>0.14844444245100022</v>
      </c>
      <c r="M273">
        <v>0.96266666666666667</v>
      </c>
      <c r="N273">
        <v>0.96148148148148149</v>
      </c>
      <c r="O273">
        <v>0.99312906220984221</v>
      </c>
      <c r="P273">
        <v>42.2</v>
      </c>
      <c r="Q273">
        <v>6862226.7999999998</v>
      </c>
      <c r="R273">
        <v>266084</v>
      </c>
      <c r="S273">
        <v>2</v>
      </c>
      <c r="T273">
        <v>346</v>
      </c>
      <c r="U273">
        <v>0.96133333333333326</v>
      </c>
      <c r="V273">
        <v>0.95851851851851855</v>
      </c>
      <c r="W273">
        <v>0.9922005571030641</v>
      </c>
      <c r="X273">
        <v>40.6</v>
      </c>
      <c r="Y273">
        <v>6084052.2000000002</v>
      </c>
      <c r="Z273">
        <v>267547</v>
      </c>
      <c r="AA273">
        <v>2</v>
      </c>
      <c r="AB273">
        <v>347</v>
      </c>
      <c r="AD273">
        <f>Tabela3[[#This Row],[kan_params]]</f>
        <v>266996</v>
      </c>
      <c r="AE273">
        <f>Tabela3[[#This Row],[kan_train_acc]]</f>
        <v>0.14893221855163574</v>
      </c>
      <c r="AF273">
        <f>Tabela3[[#This Row],[kan_val_acc]]</f>
        <v>0.22666666209697722</v>
      </c>
      <c r="AG273">
        <f>Tabela3[[#This Row],[kan_test_acc]]</f>
        <v>0.14844444245100022</v>
      </c>
      <c r="AH273">
        <f>Tabela3[[#This Row],[mlp_test_acc]]</f>
        <v>0.96266666666666667</v>
      </c>
      <c r="AI273">
        <f>Tabela3[[#This Row],[mlp_val_acc]]</f>
        <v>0.96148148148148149</v>
      </c>
      <c r="AJ273">
        <f>Tabela3[[#This Row],[mlp_train_acc]]</f>
        <v>0.99312906220984221</v>
      </c>
    </row>
    <row r="274" spans="1:36" x14ac:dyDescent="0.25">
      <c r="A274" t="s">
        <v>71</v>
      </c>
      <c r="B274">
        <v>16</v>
      </c>
      <c r="C274">
        <v>9</v>
      </c>
      <c r="D274">
        <v>3</v>
      </c>
      <c r="E274">
        <v>0</v>
      </c>
      <c r="F274" t="s">
        <v>83</v>
      </c>
      <c r="G274">
        <v>267747</v>
      </c>
      <c r="H274">
        <v>313426276.60000002</v>
      </c>
      <c r="I274">
        <v>41.8</v>
      </c>
      <c r="J274">
        <v>0.28820798397064207</v>
      </c>
      <c r="K274">
        <v>0.37259259223937991</v>
      </c>
      <c r="L274">
        <v>0.27733333110809327</v>
      </c>
      <c r="M274">
        <v>0.96399999999999997</v>
      </c>
      <c r="N274">
        <v>0.96148148148148149</v>
      </c>
      <c r="O274">
        <v>0.9922005571030641</v>
      </c>
      <c r="P274">
        <v>41.4</v>
      </c>
      <c r="Q274">
        <v>6974881.4000000004</v>
      </c>
      <c r="R274">
        <v>267547</v>
      </c>
      <c r="S274">
        <v>2</v>
      </c>
      <c r="T274">
        <v>347</v>
      </c>
      <c r="U274">
        <v>0.96266666666666667</v>
      </c>
      <c r="V274">
        <v>0.96074074074074067</v>
      </c>
      <c r="W274">
        <v>0.99127205199628599</v>
      </c>
      <c r="X274">
        <v>40.6</v>
      </c>
      <c r="Y274">
        <v>4931961.8</v>
      </c>
      <c r="Z274">
        <v>269014</v>
      </c>
      <c r="AA274">
        <v>2</v>
      </c>
      <c r="AB274">
        <v>348</v>
      </c>
      <c r="AD274">
        <f>Tabela3[[#This Row],[kan_params]]</f>
        <v>267747</v>
      </c>
      <c r="AE274">
        <f>Tabela3[[#This Row],[kan_train_acc]]</f>
        <v>0.28820798397064207</v>
      </c>
      <c r="AF274">
        <f>Tabela3[[#This Row],[kan_val_acc]]</f>
        <v>0.37259259223937991</v>
      </c>
      <c r="AG274">
        <f>Tabela3[[#This Row],[kan_test_acc]]</f>
        <v>0.27733333110809327</v>
      </c>
      <c r="AH274">
        <f>Tabela3[[#This Row],[mlp_test_acc]]</f>
        <v>0.96399999999999997</v>
      </c>
      <c r="AI274">
        <f>Tabela3[[#This Row],[mlp_val_acc]]</f>
        <v>0.96148148148148149</v>
      </c>
      <c r="AJ274">
        <f>Tabela3[[#This Row],[mlp_train_acc]]</f>
        <v>0.9922005571030641</v>
      </c>
    </row>
    <row r="275" spans="1:36" x14ac:dyDescent="0.25">
      <c r="A275" t="s">
        <v>71</v>
      </c>
      <c r="B275">
        <v>16</v>
      </c>
      <c r="C275">
        <v>9</v>
      </c>
      <c r="D275">
        <v>3</v>
      </c>
      <c r="E275">
        <v>0</v>
      </c>
      <c r="F275" t="s">
        <v>151</v>
      </c>
      <c r="G275">
        <v>271128</v>
      </c>
      <c r="H275">
        <v>113748354.8</v>
      </c>
      <c r="I275">
        <v>16.399999999999999</v>
      </c>
      <c r="J275">
        <v>0.14298978447914124</v>
      </c>
      <c r="K275">
        <v>0.21703703701496124</v>
      </c>
      <c r="L275">
        <v>0.13555555492639543</v>
      </c>
      <c r="M275">
        <v>0.97733333333333339</v>
      </c>
      <c r="N275">
        <v>0.97555555555555551</v>
      </c>
      <c r="O275">
        <v>0.99368616527390896</v>
      </c>
      <c r="P275">
        <v>52.8</v>
      </c>
      <c r="Q275">
        <v>7138118.2000000002</v>
      </c>
      <c r="R275">
        <v>270485</v>
      </c>
      <c r="S275">
        <v>2</v>
      </c>
      <c r="T275">
        <v>349</v>
      </c>
      <c r="U275">
        <v>0.97733333333333339</v>
      </c>
      <c r="V275">
        <v>0.97777777777777775</v>
      </c>
      <c r="W275">
        <v>0.99220055710306398</v>
      </c>
      <c r="X275">
        <v>46.2</v>
      </c>
      <c r="Y275">
        <v>5077603</v>
      </c>
      <c r="Z275">
        <v>271960</v>
      </c>
      <c r="AA275">
        <v>2</v>
      </c>
      <c r="AB275">
        <v>350</v>
      </c>
      <c r="AD275">
        <f>Tabela3[[#This Row],[kan_params]]</f>
        <v>271128</v>
      </c>
      <c r="AE275">
        <f>Tabela3[[#This Row],[kan_train_acc]]</f>
        <v>0.14298978447914124</v>
      </c>
      <c r="AF275">
        <f>Tabela3[[#This Row],[kan_val_acc]]</f>
        <v>0.21703703701496124</v>
      </c>
      <c r="AG275">
        <f>Tabela3[[#This Row],[kan_test_acc]]</f>
        <v>0.13555555492639543</v>
      </c>
      <c r="AH275">
        <f>Tabela3[[#This Row],[mlp_test_acc]]</f>
        <v>0.97733333333333339</v>
      </c>
      <c r="AI275">
        <f>Tabela3[[#This Row],[mlp_val_acc]]</f>
        <v>0.97555555555555551</v>
      </c>
      <c r="AJ275">
        <f>Tabela3[[#This Row],[mlp_train_acc]]</f>
        <v>0.99368616527390896</v>
      </c>
    </row>
    <row r="276" spans="1:36" x14ac:dyDescent="0.25">
      <c r="A276" t="s">
        <v>71</v>
      </c>
      <c r="B276">
        <v>16</v>
      </c>
      <c r="C276">
        <v>9</v>
      </c>
      <c r="D276">
        <v>3</v>
      </c>
      <c r="E276">
        <v>0</v>
      </c>
      <c r="F276" t="s">
        <v>138</v>
      </c>
      <c r="G276">
        <v>272979</v>
      </c>
      <c r="H276">
        <v>201273923</v>
      </c>
      <c r="I276">
        <v>29.6</v>
      </c>
      <c r="J276">
        <v>0.22878365814685822</v>
      </c>
      <c r="K276">
        <v>0.30740740597248079</v>
      </c>
      <c r="L276">
        <v>0.21866666972637178</v>
      </c>
      <c r="M276">
        <v>0.97688888888888892</v>
      </c>
      <c r="N276">
        <v>0.97629629629629633</v>
      </c>
      <c r="O276">
        <v>0.99238625812441972</v>
      </c>
      <c r="P276">
        <v>42.2</v>
      </c>
      <c r="Q276">
        <v>5251401.8</v>
      </c>
      <c r="R276">
        <v>271960</v>
      </c>
      <c r="S276">
        <v>2</v>
      </c>
      <c r="T276">
        <v>350</v>
      </c>
      <c r="U276">
        <v>0.97066666666666668</v>
      </c>
      <c r="V276">
        <v>0.97703703703703704</v>
      </c>
      <c r="W276">
        <v>0.99090064995357474</v>
      </c>
      <c r="X276">
        <v>37.799999999999997</v>
      </c>
      <c r="Y276">
        <v>4171663.6</v>
      </c>
      <c r="Z276">
        <v>273439</v>
      </c>
      <c r="AA276">
        <v>2</v>
      </c>
      <c r="AB276">
        <v>351</v>
      </c>
      <c r="AD276">
        <f>Tabela3[[#This Row],[kan_params]]</f>
        <v>272979</v>
      </c>
      <c r="AE276">
        <f>Tabela3[[#This Row],[kan_train_acc]]</f>
        <v>0.22878365814685822</v>
      </c>
      <c r="AF276">
        <f>Tabela3[[#This Row],[kan_val_acc]]</f>
        <v>0.30740740597248079</v>
      </c>
      <c r="AG276">
        <f>Tabela3[[#This Row],[kan_test_acc]]</f>
        <v>0.21866666972637178</v>
      </c>
      <c r="AH276">
        <f>Tabela3[[#This Row],[mlp_test_acc]]</f>
        <v>0.97688888888888892</v>
      </c>
      <c r="AI276">
        <f>Tabela3[[#This Row],[mlp_val_acc]]</f>
        <v>0.97629629629629633</v>
      </c>
      <c r="AJ276">
        <f>Tabela3[[#This Row],[mlp_train_acc]]</f>
        <v>0.99238625812441972</v>
      </c>
    </row>
    <row r="277" spans="1:36" x14ac:dyDescent="0.25">
      <c r="A277" t="s">
        <v>71</v>
      </c>
      <c r="B277">
        <v>16</v>
      </c>
      <c r="C277">
        <v>9</v>
      </c>
      <c r="D277">
        <v>3</v>
      </c>
      <c r="E277">
        <v>0</v>
      </c>
      <c r="F277" t="s">
        <v>111</v>
      </c>
      <c r="G277">
        <v>274390</v>
      </c>
      <c r="H277">
        <v>180999389.59999999</v>
      </c>
      <c r="I277">
        <v>28</v>
      </c>
      <c r="J277">
        <v>0.21467038094997407</v>
      </c>
      <c r="K277">
        <v>0.31555555760860443</v>
      </c>
      <c r="L277">
        <v>0.21377777457237243</v>
      </c>
      <c r="M277">
        <v>0.97688888888888892</v>
      </c>
      <c r="N277">
        <v>0.97925925925925927</v>
      </c>
      <c r="O277">
        <v>0.99442896935933145</v>
      </c>
      <c r="P277">
        <v>45.6</v>
      </c>
      <c r="Q277">
        <v>5043137.5999999996</v>
      </c>
      <c r="R277">
        <v>273439</v>
      </c>
      <c r="S277">
        <v>2</v>
      </c>
      <c r="T277">
        <v>351</v>
      </c>
      <c r="U277">
        <v>0.97911111111111104</v>
      </c>
      <c r="V277">
        <v>0.97851851851851857</v>
      </c>
      <c r="W277">
        <v>0.99350046425255345</v>
      </c>
      <c r="X277">
        <v>43.6</v>
      </c>
      <c r="Y277">
        <v>4886217.4000000004</v>
      </c>
      <c r="Z277">
        <v>274922</v>
      </c>
      <c r="AA277">
        <v>2</v>
      </c>
      <c r="AB277">
        <v>352</v>
      </c>
      <c r="AD277">
        <f>Tabela3[[#This Row],[kan_params]]</f>
        <v>274390</v>
      </c>
      <c r="AE277">
        <f>Tabela3[[#This Row],[kan_train_acc]]</f>
        <v>0.21467038094997407</v>
      </c>
      <c r="AF277">
        <f>Tabela3[[#This Row],[kan_val_acc]]</f>
        <v>0.31555555760860443</v>
      </c>
      <c r="AG277">
        <f>Tabela3[[#This Row],[kan_test_acc]]</f>
        <v>0.21377777457237243</v>
      </c>
      <c r="AH277">
        <f>Tabela3[[#This Row],[mlp_test_acc]]</f>
        <v>0.97688888888888892</v>
      </c>
      <c r="AI277">
        <f>Tabela3[[#This Row],[mlp_val_acc]]</f>
        <v>0.97925925925925927</v>
      </c>
      <c r="AJ277">
        <f>Tabela3[[#This Row],[mlp_train_acc]]</f>
        <v>0.99442896935933145</v>
      </c>
    </row>
    <row r="278" spans="1:36" x14ac:dyDescent="0.25">
      <c r="A278" t="s">
        <v>71</v>
      </c>
      <c r="B278">
        <v>16</v>
      </c>
      <c r="C278">
        <v>9</v>
      </c>
      <c r="D278">
        <v>3</v>
      </c>
      <c r="E278">
        <v>0</v>
      </c>
      <c r="F278" t="s">
        <v>97</v>
      </c>
      <c r="G278">
        <v>275361</v>
      </c>
      <c r="H278">
        <v>224441841.40000001</v>
      </c>
      <c r="I278">
        <v>29.8</v>
      </c>
      <c r="J278">
        <v>0.19721448570489883</v>
      </c>
      <c r="K278">
        <v>0.27111110985279085</v>
      </c>
      <c r="L278">
        <v>0.20844444185495375</v>
      </c>
      <c r="M278">
        <v>0.96666666666666667</v>
      </c>
      <c r="N278">
        <v>0.9622222222222222</v>
      </c>
      <c r="O278">
        <v>0.99535747446610956</v>
      </c>
      <c r="P278">
        <v>46.8</v>
      </c>
      <c r="Q278">
        <v>6374392.4000000004</v>
      </c>
      <c r="R278">
        <v>274922</v>
      </c>
      <c r="S278">
        <v>2</v>
      </c>
      <c r="T278">
        <v>352</v>
      </c>
      <c r="U278">
        <v>0.96177777777777773</v>
      </c>
      <c r="V278">
        <v>0.9622222222222222</v>
      </c>
      <c r="W278">
        <v>0.99461467038068707</v>
      </c>
      <c r="X278">
        <v>44.4</v>
      </c>
      <c r="Y278">
        <v>8112482.7999999998</v>
      </c>
      <c r="Z278">
        <v>276409</v>
      </c>
      <c r="AA278">
        <v>2</v>
      </c>
      <c r="AB278">
        <v>353</v>
      </c>
      <c r="AD278">
        <f>Tabela3[[#This Row],[kan_params]]</f>
        <v>275361</v>
      </c>
      <c r="AE278">
        <f>Tabela3[[#This Row],[kan_train_acc]]</f>
        <v>0.19721448570489883</v>
      </c>
      <c r="AF278">
        <f>Tabela3[[#This Row],[kan_val_acc]]</f>
        <v>0.27111110985279085</v>
      </c>
      <c r="AG278">
        <f>Tabela3[[#This Row],[kan_test_acc]]</f>
        <v>0.20844444185495375</v>
      </c>
      <c r="AH278">
        <f>Tabela3[[#This Row],[mlp_test_acc]]</f>
        <v>0.96666666666666667</v>
      </c>
      <c r="AI278">
        <f>Tabela3[[#This Row],[mlp_val_acc]]</f>
        <v>0.9622222222222222</v>
      </c>
      <c r="AJ278">
        <f>Tabela3[[#This Row],[mlp_train_acc]]</f>
        <v>0.99535747446610956</v>
      </c>
    </row>
    <row r="279" spans="1:36" x14ac:dyDescent="0.25">
      <c r="A279" t="s">
        <v>71</v>
      </c>
      <c r="B279">
        <v>16</v>
      </c>
      <c r="C279">
        <v>9</v>
      </c>
      <c r="D279">
        <v>3</v>
      </c>
      <c r="E279">
        <v>0</v>
      </c>
      <c r="F279" t="s">
        <v>84</v>
      </c>
      <c r="G279">
        <v>275892</v>
      </c>
      <c r="H279">
        <v>219092231.40000001</v>
      </c>
      <c r="I279">
        <v>28.2</v>
      </c>
      <c r="J279">
        <v>0.17641597241163254</v>
      </c>
      <c r="K279">
        <v>0.24444444477558136</v>
      </c>
      <c r="L279">
        <v>0.17644444704055787</v>
      </c>
      <c r="M279">
        <v>0.96266666666666667</v>
      </c>
      <c r="N279">
        <v>0.96148148148148149</v>
      </c>
      <c r="O279">
        <v>0.99461467038068707</v>
      </c>
      <c r="P279">
        <v>45.2</v>
      </c>
      <c r="Q279">
        <v>5188058.5999999996</v>
      </c>
      <c r="R279">
        <v>274922</v>
      </c>
      <c r="S279">
        <v>2</v>
      </c>
      <c r="T279">
        <v>352</v>
      </c>
      <c r="U279">
        <v>0.9635555555555555</v>
      </c>
      <c r="V279">
        <v>0.96518518518518515</v>
      </c>
      <c r="W279">
        <v>0.99480037140204269</v>
      </c>
      <c r="X279">
        <v>47</v>
      </c>
      <c r="Y279">
        <v>6357358</v>
      </c>
      <c r="Z279">
        <v>276409</v>
      </c>
      <c r="AA279">
        <v>2</v>
      </c>
      <c r="AB279">
        <v>353</v>
      </c>
      <c r="AD279">
        <f>Tabela3[[#This Row],[kan_params]]</f>
        <v>275892</v>
      </c>
      <c r="AE279">
        <f>Tabela3[[#This Row],[kan_train_acc]]</f>
        <v>0.17641597241163254</v>
      </c>
      <c r="AF279">
        <f>Tabela3[[#This Row],[kan_val_acc]]</f>
        <v>0.24444444477558136</v>
      </c>
      <c r="AG279">
        <f>Tabela3[[#This Row],[kan_test_acc]]</f>
        <v>0.17644444704055787</v>
      </c>
      <c r="AH279">
        <f>Tabela3[[#This Row],[mlp_test_acc]]</f>
        <v>0.96266666666666667</v>
      </c>
      <c r="AI279">
        <f>Tabela3[[#This Row],[mlp_val_acc]]</f>
        <v>0.96148148148148149</v>
      </c>
      <c r="AJ279">
        <f>Tabela3[[#This Row],[mlp_train_acc]]</f>
        <v>0.99461467038068707</v>
      </c>
    </row>
    <row r="280" spans="1:36" x14ac:dyDescent="0.25">
      <c r="A280" t="s">
        <v>71</v>
      </c>
      <c r="B280">
        <v>16</v>
      </c>
      <c r="C280">
        <v>9</v>
      </c>
      <c r="D280">
        <v>3</v>
      </c>
      <c r="E280">
        <v>0</v>
      </c>
      <c r="F280" t="s">
        <v>152</v>
      </c>
      <c r="G280">
        <v>280153</v>
      </c>
      <c r="H280">
        <v>305372791.39999998</v>
      </c>
      <c r="I280">
        <v>43.8</v>
      </c>
      <c r="J280">
        <v>0.2826369494199753</v>
      </c>
      <c r="K280">
        <v>0.40222222208976743</v>
      </c>
      <c r="L280">
        <v>0.2777777761220932</v>
      </c>
      <c r="M280">
        <v>0.97599999999999998</v>
      </c>
      <c r="N280">
        <v>0.97777777777777775</v>
      </c>
      <c r="O280">
        <v>0.99294336118848647</v>
      </c>
      <c r="P280">
        <v>41.6</v>
      </c>
      <c r="Q280">
        <v>6247338.2000000002</v>
      </c>
      <c r="R280">
        <v>279395</v>
      </c>
      <c r="S280">
        <v>2</v>
      </c>
      <c r="T280">
        <v>355</v>
      </c>
      <c r="U280">
        <v>0.97422222222222221</v>
      </c>
      <c r="V280">
        <v>0.97703703703703704</v>
      </c>
      <c r="W280">
        <v>0.99368616527390896</v>
      </c>
      <c r="X280">
        <v>44.6</v>
      </c>
      <c r="Y280">
        <v>6396396.5999999996</v>
      </c>
      <c r="Z280">
        <v>280894</v>
      </c>
      <c r="AA280">
        <v>2</v>
      </c>
      <c r="AB280">
        <v>356</v>
      </c>
      <c r="AD280">
        <f>Tabela3[[#This Row],[kan_params]]</f>
        <v>280153</v>
      </c>
      <c r="AE280">
        <f>Tabela3[[#This Row],[kan_train_acc]]</f>
        <v>0.2826369494199753</v>
      </c>
      <c r="AF280">
        <f>Tabela3[[#This Row],[kan_val_acc]]</f>
        <v>0.40222222208976743</v>
      </c>
      <c r="AG280">
        <f>Tabela3[[#This Row],[kan_test_acc]]</f>
        <v>0.2777777761220932</v>
      </c>
      <c r="AH280">
        <f>Tabela3[[#This Row],[mlp_test_acc]]</f>
        <v>0.97599999999999998</v>
      </c>
      <c r="AI280">
        <f>Tabela3[[#This Row],[mlp_val_acc]]</f>
        <v>0.97777777777777775</v>
      </c>
      <c r="AJ280">
        <f>Tabela3[[#This Row],[mlp_train_acc]]</f>
        <v>0.99294336118848647</v>
      </c>
    </row>
    <row r="281" spans="1:36" x14ac:dyDescent="0.25">
      <c r="A281" t="s">
        <v>71</v>
      </c>
      <c r="B281">
        <v>16</v>
      </c>
      <c r="C281">
        <v>9</v>
      </c>
      <c r="D281">
        <v>3</v>
      </c>
      <c r="E281">
        <v>0</v>
      </c>
      <c r="F281" t="s">
        <v>125</v>
      </c>
      <c r="G281">
        <v>281784</v>
      </c>
      <c r="H281">
        <v>251254095.80000001</v>
      </c>
      <c r="I281">
        <v>37</v>
      </c>
      <c r="J281">
        <v>0.26926648318767549</v>
      </c>
      <c r="K281">
        <v>0.35777777731418609</v>
      </c>
      <c r="L281">
        <v>0.27688888907432557</v>
      </c>
      <c r="M281">
        <v>0.97333333333333338</v>
      </c>
      <c r="N281">
        <v>0.97777777777777775</v>
      </c>
      <c r="O281">
        <v>0.9931290622098421</v>
      </c>
      <c r="P281">
        <v>42.4</v>
      </c>
      <c r="Q281">
        <v>4656647.5999999996</v>
      </c>
      <c r="R281">
        <v>280894</v>
      </c>
      <c r="S281">
        <v>2</v>
      </c>
      <c r="T281">
        <v>356</v>
      </c>
      <c r="U281">
        <v>0.97288888888888891</v>
      </c>
      <c r="V281">
        <v>0.97777777777777775</v>
      </c>
      <c r="W281">
        <v>0.99145775301764161</v>
      </c>
      <c r="X281">
        <v>37.799999999999997</v>
      </c>
      <c r="Y281">
        <v>5027288.8</v>
      </c>
      <c r="Z281">
        <v>282397</v>
      </c>
      <c r="AA281">
        <v>2</v>
      </c>
      <c r="AB281">
        <v>357</v>
      </c>
      <c r="AD281">
        <f>Tabela3[[#This Row],[kan_params]]</f>
        <v>281784</v>
      </c>
      <c r="AE281">
        <f>Tabela3[[#This Row],[kan_train_acc]]</f>
        <v>0.26926648318767549</v>
      </c>
      <c r="AF281">
        <f>Tabela3[[#This Row],[kan_val_acc]]</f>
        <v>0.35777777731418609</v>
      </c>
      <c r="AG281">
        <f>Tabela3[[#This Row],[kan_test_acc]]</f>
        <v>0.27688888907432557</v>
      </c>
      <c r="AH281">
        <f>Tabela3[[#This Row],[mlp_test_acc]]</f>
        <v>0.97333333333333338</v>
      </c>
      <c r="AI281">
        <f>Tabela3[[#This Row],[mlp_val_acc]]</f>
        <v>0.97777777777777775</v>
      </c>
      <c r="AJ281">
        <f>Tabela3[[#This Row],[mlp_train_acc]]</f>
        <v>0.9931290622098421</v>
      </c>
    </row>
    <row r="282" spans="1:36" x14ac:dyDescent="0.25">
      <c r="A282" t="s">
        <v>71</v>
      </c>
      <c r="B282">
        <v>16</v>
      </c>
      <c r="C282">
        <v>9</v>
      </c>
      <c r="D282">
        <v>3</v>
      </c>
      <c r="E282">
        <v>0</v>
      </c>
      <c r="F282" t="s">
        <v>112</v>
      </c>
      <c r="G282">
        <v>282975</v>
      </c>
      <c r="H282">
        <v>265261479.40000001</v>
      </c>
      <c r="I282">
        <v>38.6</v>
      </c>
      <c r="J282">
        <v>0.30343546867370608</v>
      </c>
      <c r="K282">
        <v>0.37111111283302306</v>
      </c>
      <c r="L282">
        <v>0.28933333456516264</v>
      </c>
      <c r="M282">
        <v>0.97733333333333328</v>
      </c>
      <c r="N282">
        <v>0.97703703703703704</v>
      </c>
      <c r="O282">
        <v>0.99405756731662021</v>
      </c>
      <c r="P282">
        <v>42.2</v>
      </c>
      <c r="Q282">
        <v>4299454.5999999996</v>
      </c>
      <c r="R282">
        <v>282397</v>
      </c>
      <c r="S282">
        <v>2</v>
      </c>
      <c r="T282">
        <v>357</v>
      </c>
      <c r="U282">
        <v>0.97333333333333338</v>
      </c>
      <c r="V282">
        <v>0.98</v>
      </c>
      <c r="W282">
        <v>0.99424326833797583</v>
      </c>
      <c r="X282">
        <v>45.2</v>
      </c>
      <c r="Y282">
        <v>5362009.5999999996</v>
      </c>
      <c r="Z282">
        <v>283904</v>
      </c>
      <c r="AA282">
        <v>2</v>
      </c>
      <c r="AB282">
        <v>358</v>
      </c>
      <c r="AD282">
        <f>Tabela3[[#This Row],[kan_params]]</f>
        <v>282975</v>
      </c>
      <c r="AE282">
        <f>Tabela3[[#This Row],[kan_train_acc]]</f>
        <v>0.30343546867370608</v>
      </c>
      <c r="AF282">
        <f>Tabela3[[#This Row],[kan_val_acc]]</f>
        <v>0.37111111283302306</v>
      </c>
      <c r="AG282">
        <f>Tabela3[[#This Row],[kan_test_acc]]</f>
        <v>0.28933333456516264</v>
      </c>
      <c r="AH282">
        <f>Tabela3[[#This Row],[mlp_test_acc]]</f>
        <v>0.97733333333333328</v>
      </c>
      <c r="AI282">
        <f>Tabela3[[#This Row],[mlp_val_acc]]</f>
        <v>0.97703703703703704</v>
      </c>
      <c r="AJ282">
        <f>Tabela3[[#This Row],[mlp_train_acc]]</f>
        <v>0.99405756731662021</v>
      </c>
    </row>
    <row r="283" spans="1:36" x14ac:dyDescent="0.25">
      <c r="A283" t="s">
        <v>71</v>
      </c>
      <c r="B283">
        <v>16</v>
      </c>
      <c r="C283">
        <v>9</v>
      </c>
      <c r="D283">
        <v>3</v>
      </c>
      <c r="E283">
        <v>0</v>
      </c>
      <c r="F283" t="s">
        <v>98</v>
      </c>
      <c r="G283">
        <v>283726</v>
      </c>
      <c r="H283">
        <v>423252609.39999998</v>
      </c>
      <c r="I283">
        <v>54.2</v>
      </c>
      <c r="J283">
        <v>0.34911792278289794</v>
      </c>
      <c r="K283">
        <v>0.41777777671813965</v>
      </c>
      <c r="L283">
        <v>0.34088888764381409</v>
      </c>
      <c r="M283">
        <v>0.96399999999999997</v>
      </c>
      <c r="N283">
        <v>0.96370370370370373</v>
      </c>
      <c r="O283">
        <v>0.99350046425255334</v>
      </c>
      <c r="P283">
        <v>47.6</v>
      </c>
      <c r="Q283">
        <v>7850554.2000000002</v>
      </c>
      <c r="R283">
        <v>282397</v>
      </c>
      <c r="S283">
        <v>2</v>
      </c>
      <c r="T283">
        <v>357</v>
      </c>
      <c r="U283">
        <v>0.9622222222222222</v>
      </c>
      <c r="V283">
        <v>0.96518518518518515</v>
      </c>
      <c r="W283">
        <v>0.99387186629526458</v>
      </c>
      <c r="X283">
        <v>47.8</v>
      </c>
      <c r="Y283">
        <v>7042354</v>
      </c>
      <c r="Z283">
        <v>283904</v>
      </c>
      <c r="AA283">
        <v>2</v>
      </c>
      <c r="AB283">
        <v>358</v>
      </c>
      <c r="AD283">
        <f>Tabela3[[#This Row],[kan_params]]</f>
        <v>283726</v>
      </c>
      <c r="AE283">
        <f>Tabela3[[#This Row],[kan_train_acc]]</f>
        <v>0.34911792278289794</v>
      </c>
      <c r="AF283">
        <f>Tabela3[[#This Row],[kan_val_acc]]</f>
        <v>0.41777777671813965</v>
      </c>
      <c r="AG283">
        <f>Tabela3[[#This Row],[kan_test_acc]]</f>
        <v>0.34088888764381409</v>
      </c>
      <c r="AH283">
        <f>Tabela3[[#This Row],[mlp_test_acc]]</f>
        <v>0.96399999999999997</v>
      </c>
      <c r="AI283">
        <f>Tabela3[[#This Row],[mlp_val_acc]]</f>
        <v>0.96370370370370373</v>
      </c>
      <c r="AJ283">
        <f>Tabela3[[#This Row],[mlp_train_acc]]</f>
        <v>0.99350046425255334</v>
      </c>
    </row>
    <row r="284" spans="1:36" x14ac:dyDescent="0.25">
      <c r="A284" t="s">
        <v>71</v>
      </c>
      <c r="B284">
        <v>16</v>
      </c>
      <c r="C284">
        <v>9</v>
      </c>
      <c r="D284">
        <v>3</v>
      </c>
      <c r="E284">
        <v>0</v>
      </c>
      <c r="F284" t="s">
        <v>85</v>
      </c>
      <c r="G284">
        <v>284037</v>
      </c>
      <c r="H284">
        <v>380347170.80000001</v>
      </c>
      <c r="I284">
        <v>48.4</v>
      </c>
      <c r="J284">
        <v>0.26685237288475039</v>
      </c>
      <c r="K284">
        <v>0.38666666746139527</v>
      </c>
      <c r="L284">
        <v>0.27955555617809297</v>
      </c>
      <c r="M284">
        <v>0.96399999999999997</v>
      </c>
      <c r="N284">
        <v>0.96370370370370373</v>
      </c>
      <c r="O284">
        <v>0.99480037140204269</v>
      </c>
      <c r="P284">
        <v>53.6</v>
      </c>
      <c r="Q284">
        <v>7003272.2000000002</v>
      </c>
      <c r="R284">
        <v>283904</v>
      </c>
      <c r="S284">
        <v>2</v>
      </c>
      <c r="T284">
        <v>358</v>
      </c>
      <c r="U284">
        <v>0.96444444444444444</v>
      </c>
      <c r="V284">
        <v>0.96296296296296291</v>
      </c>
      <c r="W284">
        <v>0.99498607242339832</v>
      </c>
      <c r="X284">
        <v>43.6</v>
      </c>
      <c r="Y284">
        <v>5389777.5999999996</v>
      </c>
      <c r="Z284">
        <v>285415</v>
      </c>
      <c r="AA284">
        <v>2</v>
      </c>
      <c r="AB284">
        <v>359</v>
      </c>
      <c r="AD284">
        <f>Tabela3[[#This Row],[kan_params]]</f>
        <v>284037</v>
      </c>
      <c r="AE284">
        <f>Tabela3[[#This Row],[kan_train_acc]]</f>
        <v>0.26685237288475039</v>
      </c>
      <c r="AF284">
        <f>Tabela3[[#This Row],[kan_val_acc]]</f>
        <v>0.38666666746139527</v>
      </c>
      <c r="AG284">
        <f>Tabela3[[#This Row],[kan_test_acc]]</f>
        <v>0.27955555617809297</v>
      </c>
      <c r="AH284">
        <f>Tabela3[[#This Row],[mlp_test_acc]]</f>
        <v>0.96399999999999997</v>
      </c>
      <c r="AI284">
        <f>Tabela3[[#This Row],[mlp_val_acc]]</f>
        <v>0.96370370370370373</v>
      </c>
      <c r="AJ284">
        <f>Tabela3[[#This Row],[mlp_train_acc]]</f>
        <v>0.99480037140204269</v>
      </c>
    </row>
    <row r="285" spans="1:36" x14ac:dyDescent="0.25">
      <c r="A285" t="s">
        <v>71</v>
      </c>
      <c r="B285">
        <v>16</v>
      </c>
      <c r="C285">
        <v>9</v>
      </c>
      <c r="D285">
        <v>3</v>
      </c>
      <c r="E285">
        <v>0</v>
      </c>
      <c r="F285" t="s">
        <v>139</v>
      </c>
      <c r="G285">
        <v>289178</v>
      </c>
      <c r="H285">
        <v>202520756.59999999</v>
      </c>
      <c r="I285">
        <v>28.8</v>
      </c>
      <c r="J285">
        <v>0.22432683110237123</v>
      </c>
      <c r="K285">
        <v>0.31555554866790769</v>
      </c>
      <c r="L285">
        <v>0.22844444513320922</v>
      </c>
      <c r="M285">
        <v>0.97199999999999998</v>
      </c>
      <c r="N285">
        <v>0.97629629629629633</v>
      </c>
      <c r="O285">
        <v>0.98941504178272976</v>
      </c>
      <c r="P285">
        <v>35.799999999999997</v>
      </c>
      <c r="Q285">
        <v>8001621.5999999996</v>
      </c>
      <c r="R285">
        <v>288449</v>
      </c>
      <c r="S285">
        <v>2</v>
      </c>
      <c r="T285">
        <v>361</v>
      </c>
      <c r="U285">
        <v>0.97111111111111115</v>
      </c>
      <c r="V285">
        <v>0.97703703703703704</v>
      </c>
      <c r="W285">
        <v>0.99164345403899723</v>
      </c>
      <c r="X285">
        <v>40</v>
      </c>
      <c r="Y285">
        <v>5580322</v>
      </c>
      <c r="Z285">
        <v>289972</v>
      </c>
      <c r="AA285">
        <v>2</v>
      </c>
      <c r="AB285">
        <v>362</v>
      </c>
      <c r="AD285">
        <f>Tabela3[[#This Row],[kan_params]]</f>
        <v>289178</v>
      </c>
      <c r="AE285">
        <f>Tabela3[[#This Row],[kan_train_acc]]</f>
        <v>0.22432683110237123</v>
      </c>
      <c r="AF285">
        <f>Tabela3[[#This Row],[kan_val_acc]]</f>
        <v>0.31555554866790769</v>
      </c>
      <c r="AG285">
        <f>Tabela3[[#This Row],[kan_test_acc]]</f>
        <v>0.22844444513320922</v>
      </c>
      <c r="AH285">
        <f>Tabela3[[#This Row],[mlp_test_acc]]</f>
        <v>0.97199999999999998</v>
      </c>
      <c r="AI285">
        <f>Tabela3[[#This Row],[mlp_val_acc]]</f>
        <v>0.97629629629629633</v>
      </c>
      <c r="AJ285">
        <f>Tabela3[[#This Row],[mlp_train_acc]]</f>
        <v>0.98941504178272976</v>
      </c>
    </row>
    <row r="286" spans="1:36" x14ac:dyDescent="0.25">
      <c r="A286" t="s">
        <v>71</v>
      </c>
      <c r="B286">
        <v>16</v>
      </c>
      <c r="C286">
        <v>9</v>
      </c>
      <c r="D286">
        <v>3</v>
      </c>
      <c r="E286">
        <v>0</v>
      </c>
      <c r="F286" t="s">
        <v>126</v>
      </c>
      <c r="G286">
        <v>290589</v>
      </c>
      <c r="H286">
        <v>196966414.40000001</v>
      </c>
      <c r="I286">
        <v>26.6</v>
      </c>
      <c r="J286">
        <v>0.16917362958192825</v>
      </c>
      <c r="K286">
        <v>0.33629630506038666</v>
      </c>
      <c r="L286">
        <v>0.16755555421113968</v>
      </c>
      <c r="M286">
        <v>0.97022222222222221</v>
      </c>
      <c r="N286">
        <v>0.9748148148148148</v>
      </c>
      <c r="O286">
        <v>0.98997214484679663</v>
      </c>
      <c r="P286">
        <v>35</v>
      </c>
      <c r="Q286">
        <v>4730620</v>
      </c>
      <c r="R286">
        <v>289972</v>
      </c>
      <c r="S286">
        <v>2</v>
      </c>
      <c r="T286">
        <v>362</v>
      </c>
      <c r="U286">
        <v>0.97777777777777775</v>
      </c>
      <c r="V286">
        <v>0.97629629629629633</v>
      </c>
      <c r="W286">
        <v>0.99238625812441972</v>
      </c>
      <c r="X286">
        <v>37.6</v>
      </c>
      <c r="Y286">
        <v>5063781.8</v>
      </c>
      <c r="Z286">
        <v>291499</v>
      </c>
      <c r="AA286">
        <v>2</v>
      </c>
      <c r="AB286">
        <v>363</v>
      </c>
      <c r="AD286">
        <f>Tabela3[[#This Row],[kan_params]]</f>
        <v>290589</v>
      </c>
      <c r="AE286">
        <f>Tabela3[[#This Row],[kan_train_acc]]</f>
        <v>0.16917362958192825</v>
      </c>
      <c r="AF286">
        <f>Tabela3[[#This Row],[kan_val_acc]]</f>
        <v>0.33629630506038666</v>
      </c>
      <c r="AG286">
        <f>Tabela3[[#This Row],[kan_test_acc]]</f>
        <v>0.16755555421113968</v>
      </c>
      <c r="AH286">
        <f>Tabela3[[#This Row],[mlp_test_acc]]</f>
        <v>0.97022222222222221</v>
      </c>
      <c r="AI286">
        <f>Tabela3[[#This Row],[mlp_val_acc]]</f>
        <v>0.9748148148148148</v>
      </c>
      <c r="AJ286">
        <f>Tabela3[[#This Row],[mlp_train_acc]]</f>
        <v>0.98997214484679663</v>
      </c>
    </row>
    <row r="287" spans="1:36" x14ac:dyDescent="0.25">
      <c r="A287" t="s">
        <v>71</v>
      </c>
      <c r="B287">
        <v>16</v>
      </c>
      <c r="C287">
        <v>9</v>
      </c>
      <c r="D287">
        <v>3</v>
      </c>
      <c r="E287">
        <v>0</v>
      </c>
      <c r="F287" t="s">
        <v>113</v>
      </c>
      <c r="G287">
        <v>291560</v>
      </c>
      <c r="H287">
        <v>281018736</v>
      </c>
      <c r="I287">
        <v>40.200000000000003</v>
      </c>
      <c r="J287">
        <v>0.25032497793436048</v>
      </c>
      <c r="K287">
        <v>0.33851851820945739</v>
      </c>
      <c r="L287">
        <v>0.23733332902193069</v>
      </c>
      <c r="M287">
        <v>0.97422222222222221</v>
      </c>
      <c r="N287">
        <v>0.97925925925925927</v>
      </c>
      <c r="O287">
        <v>0.99294336118848658</v>
      </c>
      <c r="P287">
        <v>41</v>
      </c>
      <c r="Q287">
        <v>4873616.4000000004</v>
      </c>
      <c r="R287">
        <v>291499</v>
      </c>
      <c r="S287">
        <v>2</v>
      </c>
      <c r="T287">
        <v>363</v>
      </c>
      <c r="U287">
        <v>0.97288888888888891</v>
      </c>
      <c r="V287">
        <v>0.97555555555555551</v>
      </c>
      <c r="W287">
        <v>0.99257195914577534</v>
      </c>
      <c r="X287">
        <v>39.4</v>
      </c>
      <c r="Y287">
        <v>4133383.2</v>
      </c>
      <c r="Z287">
        <v>293030</v>
      </c>
      <c r="AA287">
        <v>2</v>
      </c>
      <c r="AB287">
        <v>364</v>
      </c>
      <c r="AD287">
        <f>Tabela3[[#This Row],[kan_params]]</f>
        <v>291560</v>
      </c>
      <c r="AE287">
        <f>Tabela3[[#This Row],[kan_train_acc]]</f>
        <v>0.25032497793436048</v>
      </c>
      <c r="AF287">
        <f>Tabela3[[#This Row],[kan_val_acc]]</f>
        <v>0.33851851820945739</v>
      </c>
      <c r="AG287">
        <f>Tabela3[[#This Row],[kan_test_acc]]</f>
        <v>0.23733332902193069</v>
      </c>
      <c r="AH287">
        <f>Tabela3[[#This Row],[mlp_test_acc]]</f>
        <v>0.97422222222222221</v>
      </c>
      <c r="AI287">
        <f>Tabela3[[#This Row],[mlp_val_acc]]</f>
        <v>0.97925925925925927</v>
      </c>
      <c r="AJ287">
        <f>Tabela3[[#This Row],[mlp_train_acc]]</f>
        <v>0.99294336118848658</v>
      </c>
    </row>
    <row r="288" spans="1:36" x14ac:dyDescent="0.25">
      <c r="A288" t="s">
        <v>71</v>
      </c>
      <c r="B288">
        <v>16</v>
      </c>
      <c r="C288">
        <v>9</v>
      </c>
      <c r="D288">
        <v>3</v>
      </c>
      <c r="E288">
        <v>0</v>
      </c>
      <c r="F288" t="s">
        <v>99</v>
      </c>
      <c r="G288">
        <v>292091</v>
      </c>
      <c r="H288">
        <v>199464402.19999999</v>
      </c>
      <c r="I288">
        <v>23.2</v>
      </c>
      <c r="J288">
        <v>0.1988857939839363</v>
      </c>
      <c r="K288">
        <v>0.25777778327465056</v>
      </c>
      <c r="L288">
        <v>0.21377777755260469</v>
      </c>
      <c r="M288">
        <v>0.96311111111111114</v>
      </c>
      <c r="N288">
        <v>0.96</v>
      </c>
      <c r="O288">
        <v>0.99498607242339832</v>
      </c>
      <c r="P288">
        <v>44.8</v>
      </c>
      <c r="Q288">
        <v>7671505</v>
      </c>
      <c r="R288">
        <v>291499</v>
      </c>
      <c r="S288">
        <v>2</v>
      </c>
      <c r="T288">
        <v>363</v>
      </c>
      <c r="U288">
        <v>0.9608888888888889</v>
      </c>
      <c r="V288">
        <v>0.96074074074074078</v>
      </c>
      <c r="W288">
        <v>0.99480037140204269</v>
      </c>
      <c r="X288">
        <v>45.8</v>
      </c>
      <c r="Y288">
        <v>7127585.5999999996</v>
      </c>
      <c r="Z288">
        <v>293030</v>
      </c>
      <c r="AA288">
        <v>2</v>
      </c>
      <c r="AB288">
        <v>364</v>
      </c>
      <c r="AD288">
        <f>Tabela3[[#This Row],[kan_params]]</f>
        <v>292091</v>
      </c>
      <c r="AE288">
        <f>Tabela3[[#This Row],[kan_train_acc]]</f>
        <v>0.1988857939839363</v>
      </c>
      <c r="AF288">
        <f>Tabela3[[#This Row],[kan_val_acc]]</f>
        <v>0.25777778327465056</v>
      </c>
      <c r="AG288">
        <f>Tabela3[[#This Row],[kan_test_acc]]</f>
        <v>0.21377777755260469</v>
      </c>
      <c r="AH288">
        <f>Tabela3[[#This Row],[mlp_test_acc]]</f>
        <v>0.96311111111111114</v>
      </c>
      <c r="AI288">
        <f>Tabela3[[#This Row],[mlp_val_acc]]</f>
        <v>0.96</v>
      </c>
      <c r="AJ288">
        <f>Tabela3[[#This Row],[mlp_train_acc]]</f>
        <v>0.99498607242339832</v>
      </c>
    </row>
    <row r="289" spans="1:36" x14ac:dyDescent="0.25">
      <c r="A289" t="s">
        <v>71</v>
      </c>
      <c r="B289">
        <v>16</v>
      </c>
      <c r="C289">
        <v>9</v>
      </c>
      <c r="D289">
        <v>3</v>
      </c>
      <c r="E289">
        <v>0</v>
      </c>
      <c r="F289" t="s">
        <v>86</v>
      </c>
      <c r="G289">
        <v>292182</v>
      </c>
      <c r="H289">
        <v>256027905.40000001</v>
      </c>
      <c r="I289">
        <v>30.8</v>
      </c>
      <c r="J289">
        <v>0.25199628770351412</v>
      </c>
      <c r="K289">
        <v>0.29851851761341097</v>
      </c>
      <c r="L289">
        <v>0.24266667366027833</v>
      </c>
      <c r="M289">
        <v>0.96399999999999997</v>
      </c>
      <c r="N289">
        <v>0.9622222222222222</v>
      </c>
      <c r="O289">
        <v>0.99535747446610956</v>
      </c>
      <c r="P289">
        <v>44.2</v>
      </c>
      <c r="Q289">
        <v>7180839.5999999996</v>
      </c>
      <c r="R289">
        <v>291499</v>
      </c>
      <c r="S289">
        <v>2</v>
      </c>
      <c r="T289">
        <v>363</v>
      </c>
      <c r="U289">
        <v>0.96444444444444444</v>
      </c>
      <c r="V289">
        <v>0.9622222222222222</v>
      </c>
      <c r="W289">
        <v>0.99127205199628599</v>
      </c>
      <c r="X289">
        <v>43.6</v>
      </c>
      <c r="Y289">
        <v>4956577.2</v>
      </c>
      <c r="Z289">
        <v>293030</v>
      </c>
      <c r="AA289">
        <v>2</v>
      </c>
      <c r="AB289">
        <v>364</v>
      </c>
      <c r="AD289">
        <f>Tabela3[[#This Row],[kan_params]]</f>
        <v>292182</v>
      </c>
      <c r="AE289">
        <f>Tabela3[[#This Row],[kan_train_acc]]</f>
        <v>0.25199628770351412</v>
      </c>
      <c r="AF289">
        <f>Tabela3[[#This Row],[kan_val_acc]]</f>
        <v>0.29851851761341097</v>
      </c>
      <c r="AG289">
        <f>Tabela3[[#This Row],[kan_test_acc]]</f>
        <v>0.24266667366027833</v>
      </c>
      <c r="AH289">
        <f>Tabela3[[#This Row],[mlp_test_acc]]</f>
        <v>0.96399999999999997</v>
      </c>
      <c r="AI289">
        <f>Tabela3[[#This Row],[mlp_val_acc]]</f>
        <v>0.9622222222222222</v>
      </c>
      <c r="AJ289">
        <f>Tabela3[[#This Row],[mlp_train_acc]]</f>
        <v>0.99535747446610956</v>
      </c>
    </row>
    <row r="290" spans="1:36" x14ac:dyDescent="0.25">
      <c r="A290" t="s">
        <v>71</v>
      </c>
      <c r="B290">
        <v>16</v>
      </c>
      <c r="C290">
        <v>9</v>
      </c>
      <c r="D290">
        <v>3</v>
      </c>
      <c r="E290">
        <v>0</v>
      </c>
      <c r="F290" t="s">
        <v>140</v>
      </c>
      <c r="G290">
        <v>298203</v>
      </c>
      <c r="H290">
        <v>248207597</v>
      </c>
      <c r="I290">
        <v>33.4</v>
      </c>
      <c r="J290">
        <v>0.23676880598068237</v>
      </c>
      <c r="K290">
        <v>0.3466666668653488</v>
      </c>
      <c r="L290">
        <v>0.23288889229297638</v>
      </c>
      <c r="M290">
        <v>0.97644444444444445</v>
      </c>
      <c r="N290">
        <v>0.97925925925925927</v>
      </c>
      <c r="O290">
        <v>0.99405756731662021</v>
      </c>
      <c r="P290">
        <v>45.2</v>
      </c>
      <c r="Q290">
        <v>5972562.2000000002</v>
      </c>
      <c r="R290">
        <v>297647</v>
      </c>
      <c r="S290">
        <v>2</v>
      </c>
      <c r="T290">
        <v>367</v>
      </c>
      <c r="U290">
        <v>0.97555555555555551</v>
      </c>
      <c r="V290">
        <v>0.9748148148148148</v>
      </c>
      <c r="W290">
        <v>0.99145775301764161</v>
      </c>
      <c r="X290">
        <v>38.200000000000003</v>
      </c>
      <c r="Y290">
        <v>6487487.4000000004</v>
      </c>
      <c r="Z290">
        <v>299194</v>
      </c>
      <c r="AA290">
        <v>2</v>
      </c>
      <c r="AB290">
        <v>368</v>
      </c>
      <c r="AD290">
        <f>Tabela3[[#This Row],[kan_params]]</f>
        <v>298203</v>
      </c>
      <c r="AE290">
        <f>Tabela3[[#This Row],[kan_train_acc]]</f>
        <v>0.23676880598068237</v>
      </c>
      <c r="AF290">
        <f>Tabela3[[#This Row],[kan_val_acc]]</f>
        <v>0.3466666668653488</v>
      </c>
      <c r="AG290">
        <f>Tabela3[[#This Row],[kan_test_acc]]</f>
        <v>0.23288889229297638</v>
      </c>
      <c r="AH290">
        <f>Tabela3[[#This Row],[mlp_test_acc]]</f>
        <v>0.97644444444444445</v>
      </c>
      <c r="AI290">
        <f>Tabela3[[#This Row],[mlp_val_acc]]</f>
        <v>0.97925925925925927</v>
      </c>
      <c r="AJ290">
        <f>Tabela3[[#This Row],[mlp_train_acc]]</f>
        <v>0.99405756731662021</v>
      </c>
    </row>
    <row r="291" spans="1:36" x14ac:dyDescent="0.25">
      <c r="A291" t="s">
        <v>71</v>
      </c>
      <c r="B291">
        <v>16</v>
      </c>
      <c r="C291">
        <v>9</v>
      </c>
      <c r="D291">
        <v>3</v>
      </c>
      <c r="E291">
        <v>0</v>
      </c>
      <c r="F291" t="s">
        <v>127</v>
      </c>
      <c r="G291">
        <v>299394</v>
      </c>
      <c r="H291">
        <v>192516525.80000001</v>
      </c>
      <c r="I291">
        <v>25.8</v>
      </c>
      <c r="J291">
        <v>0.1773444727063179</v>
      </c>
      <c r="K291">
        <v>0.29111110866069795</v>
      </c>
      <c r="L291">
        <v>0.17822222262620926</v>
      </c>
      <c r="M291">
        <v>0.97511111111111115</v>
      </c>
      <c r="N291">
        <v>0.97555555555555551</v>
      </c>
      <c r="O291">
        <v>0.99238625812441972</v>
      </c>
      <c r="P291">
        <v>40.799999999999997</v>
      </c>
      <c r="Q291">
        <v>5746512.5999999996</v>
      </c>
      <c r="R291">
        <v>299194</v>
      </c>
      <c r="S291">
        <v>2</v>
      </c>
      <c r="T291">
        <v>368</v>
      </c>
      <c r="U291">
        <v>0.97377777777777774</v>
      </c>
      <c r="V291">
        <v>0.97851851851851857</v>
      </c>
      <c r="W291">
        <v>0.99238625812441972</v>
      </c>
      <c r="X291">
        <v>39</v>
      </c>
      <c r="Y291">
        <v>5458253.2000000002</v>
      </c>
      <c r="Z291">
        <v>300745</v>
      </c>
      <c r="AA291">
        <v>2</v>
      </c>
      <c r="AB291">
        <v>369</v>
      </c>
      <c r="AD291">
        <f>Tabela3[[#This Row],[kan_params]]</f>
        <v>299394</v>
      </c>
      <c r="AE291">
        <f>Tabela3[[#This Row],[kan_train_acc]]</f>
        <v>0.1773444727063179</v>
      </c>
      <c r="AF291">
        <f>Tabela3[[#This Row],[kan_val_acc]]</f>
        <v>0.29111110866069795</v>
      </c>
      <c r="AG291">
        <f>Tabela3[[#This Row],[kan_test_acc]]</f>
        <v>0.17822222262620926</v>
      </c>
      <c r="AH291">
        <f>Tabela3[[#This Row],[mlp_test_acc]]</f>
        <v>0.97511111111111115</v>
      </c>
      <c r="AI291">
        <f>Tabela3[[#This Row],[mlp_val_acc]]</f>
        <v>0.97555555555555551</v>
      </c>
      <c r="AJ291">
        <f>Tabela3[[#This Row],[mlp_train_acc]]</f>
        <v>0.99238625812441972</v>
      </c>
    </row>
    <row r="292" spans="1:36" x14ac:dyDescent="0.25">
      <c r="A292" t="s">
        <v>71</v>
      </c>
      <c r="B292">
        <v>16</v>
      </c>
      <c r="C292">
        <v>9</v>
      </c>
      <c r="D292">
        <v>3</v>
      </c>
      <c r="E292">
        <v>0</v>
      </c>
      <c r="F292" t="s">
        <v>114</v>
      </c>
      <c r="G292">
        <v>300145</v>
      </c>
      <c r="H292">
        <v>175110131.80000001</v>
      </c>
      <c r="I292">
        <v>23</v>
      </c>
      <c r="J292">
        <v>0.18607242554426193</v>
      </c>
      <c r="K292">
        <v>0.2600000023841858</v>
      </c>
      <c r="L292">
        <v>0.18888889253139496</v>
      </c>
      <c r="M292">
        <v>0.97066666666666668</v>
      </c>
      <c r="N292">
        <v>0.97407407407407409</v>
      </c>
      <c r="O292">
        <v>0.98960074280408539</v>
      </c>
      <c r="P292">
        <v>35.799999999999997</v>
      </c>
      <c r="Q292">
        <v>4004336.4</v>
      </c>
      <c r="R292">
        <v>299194</v>
      </c>
      <c r="S292">
        <v>2</v>
      </c>
      <c r="T292">
        <v>368</v>
      </c>
      <c r="U292">
        <v>0.97155555555555562</v>
      </c>
      <c r="V292">
        <v>0.97777777777777775</v>
      </c>
      <c r="W292">
        <v>0.99461467038068707</v>
      </c>
      <c r="X292">
        <v>43</v>
      </c>
      <c r="Y292">
        <v>6003079.2000000002</v>
      </c>
      <c r="Z292">
        <v>300745</v>
      </c>
      <c r="AA292">
        <v>2</v>
      </c>
      <c r="AB292">
        <v>369</v>
      </c>
      <c r="AD292">
        <f>Tabela3[[#This Row],[kan_params]]</f>
        <v>300145</v>
      </c>
      <c r="AE292">
        <f>Tabela3[[#This Row],[kan_train_acc]]</f>
        <v>0.18607242554426193</v>
      </c>
      <c r="AF292">
        <f>Tabela3[[#This Row],[kan_val_acc]]</f>
        <v>0.2600000023841858</v>
      </c>
      <c r="AG292">
        <f>Tabela3[[#This Row],[kan_test_acc]]</f>
        <v>0.18888889253139496</v>
      </c>
      <c r="AH292">
        <f>Tabela3[[#This Row],[mlp_test_acc]]</f>
        <v>0.97066666666666668</v>
      </c>
      <c r="AI292">
        <f>Tabela3[[#This Row],[mlp_val_acc]]</f>
        <v>0.97407407407407409</v>
      </c>
      <c r="AJ292">
        <f>Tabela3[[#This Row],[mlp_train_acc]]</f>
        <v>0.98960074280408539</v>
      </c>
    </row>
    <row r="293" spans="1:36" x14ac:dyDescent="0.25">
      <c r="A293" t="s">
        <v>71</v>
      </c>
      <c r="B293">
        <v>16</v>
      </c>
      <c r="C293">
        <v>9</v>
      </c>
      <c r="D293">
        <v>3</v>
      </c>
      <c r="E293">
        <v>0</v>
      </c>
      <c r="F293" t="s">
        <v>87</v>
      </c>
      <c r="G293">
        <v>300327</v>
      </c>
      <c r="H293">
        <v>394107583.60000002</v>
      </c>
      <c r="I293">
        <v>44.2</v>
      </c>
      <c r="J293">
        <v>0.27075209021568297</v>
      </c>
      <c r="K293">
        <v>0.4044444441795349</v>
      </c>
      <c r="L293">
        <v>0.27911111414432527</v>
      </c>
      <c r="M293">
        <v>0.96444444444444444</v>
      </c>
      <c r="N293">
        <v>0.95851851851851855</v>
      </c>
      <c r="O293">
        <v>0.99127205199628599</v>
      </c>
      <c r="P293">
        <v>38.200000000000003</v>
      </c>
      <c r="Q293">
        <v>5347408.5999999996</v>
      </c>
      <c r="R293">
        <v>299194</v>
      </c>
      <c r="S293">
        <v>2</v>
      </c>
      <c r="T293">
        <v>368</v>
      </c>
      <c r="U293">
        <v>0.9608888888888889</v>
      </c>
      <c r="V293">
        <v>0.95703703703703702</v>
      </c>
      <c r="W293">
        <v>0.99071494893221912</v>
      </c>
      <c r="X293">
        <v>41.8</v>
      </c>
      <c r="Y293">
        <v>6204936.7999999998</v>
      </c>
      <c r="Z293">
        <v>300745</v>
      </c>
      <c r="AA293">
        <v>2</v>
      </c>
      <c r="AB293">
        <v>369</v>
      </c>
      <c r="AD293">
        <f>Tabela3[[#This Row],[kan_params]]</f>
        <v>300327</v>
      </c>
      <c r="AE293">
        <f>Tabela3[[#This Row],[kan_train_acc]]</f>
        <v>0.27075209021568297</v>
      </c>
      <c r="AF293">
        <f>Tabela3[[#This Row],[kan_val_acc]]</f>
        <v>0.4044444441795349</v>
      </c>
      <c r="AG293">
        <f>Tabela3[[#This Row],[kan_test_acc]]</f>
        <v>0.27911111414432527</v>
      </c>
      <c r="AH293">
        <f>Tabela3[[#This Row],[mlp_test_acc]]</f>
        <v>0.96444444444444444</v>
      </c>
      <c r="AI293">
        <f>Tabela3[[#This Row],[mlp_val_acc]]</f>
        <v>0.95851851851851855</v>
      </c>
      <c r="AJ293">
        <f>Tabela3[[#This Row],[mlp_train_acc]]</f>
        <v>0.99127205199628599</v>
      </c>
    </row>
    <row r="294" spans="1:36" x14ac:dyDescent="0.25">
      <c r="A294" t="s">
        <v>71</v>
      </c>
      <c r="B294">
        <v>16</v>
      </c>
      <c r="C294">
        <v>9</v>
      </c>
      <c r="D294">
        <v>3</v>
      </c>
      <c r="E294">
        <v>0</v>
      </c>
      <c r="F294" t="s">
        <v>100</v>
      </c>
      <c r="G294">
        <v>300456</v>
      </c>
      <c r="H294">
        <v>325647953</v>
      </c>
      <c r="I294">
        <v>36.6</v>
      </c>
      <c r="J294">
        <v>0.19814299196004867</v>
      </c>
      <c r="K294">
        <v>0.33777777850627899</v>
      </c>
      <c r="L294">
        <v>0.17866666465997696</v>
      </c>
      <c r="M294">
        <v>0.96533333333333338</v>
      </c>
      <c r="N294">
        <v>0.96</v>
      </c>
      <c r="O294">
        <v>0.99480037140204269</v>
      </c>
      <c r="P294">
        <v>46</v>
      </c>
      <c r="Q294">
        <v>8316450.5999999996</v>
      </c>
      <c r="R294">
        <v>299194</v>
      </c>
      <c r="S294">
        <v>2</v>
      </c>
      <c r="T294">
        <v>368</v>
      </c>
      <c r="U294">
        <v>0.9622222222222222</v>
      </c>
      <c r="V294">
        <v>0.95925925925925926</v>
      </c>
      <c r="W294">
        <v>0.99164345403899723</v>
      </c>
      <c r="X294">
        <v>42.6</v>
      </c>
      <c r="Y294">
        <v>6071993.4000000004</v>
      </c>
      <c r="Z294">
        <v>300745</v>
      </c>
      <c r="AA294">
        <v>2</v>
      </c>
      <c r="AB294">
        <v>369</v>
      </c>
      <c r="AD294">
        <f>Tabela3[[#This Row],[kan_params]]</f>
        <v>300456</v>
      </c>
      <c r="AE294">
        <f>Tabela3[[#This Row],[kan_train_acc]]</f>
        <v>0.19814299196004867</v>
      </c>
      <c r="AF294">
        <f>Tabela3[[#This Row],[kan_val_acc]]</f>
        <v>0.33777777850627899</v>
      </c>
      <c r="AG294">
        <f>Tabela3[[#This Row],[kan_test_acc]]</f>
        <v>0.17866666465997696</v>
      </c>
      <c r="AH294">
        <f>Tabela3[[#This Row],[mlp_test_acc]]</f>
        <v>0.96533333333333338</v>
      </c>
      <c r="AI294">
        <f>Tabela3[[#This Row],[mlp_val_acc]]</f>
        <v>0.96</v>
      </c>
      <c r="AJ294">
        <f>Tabela3[[#This Row],[mlp_train_acc]]</f>
        <v>0.99480037140204269</v>
      </c>
    </row>
    <row r="295" spans="1:36" x14ac:dyDescent="0.25">
      <c r="A295" t="s">
        <v>71</v>
      </c>
      <c r="B295">
        <v>16</v>
      </c>
      <c r="C295">
        <v>9</v>
      </c>
      <c r="D295">
        <v>3</v>
      </c>
      <c r="E295">
        <v>0</v>
      </c>
      <c r="F295" t="s">
        <v>141</v>
      </c>
      <c r="G295">
        <v>307228</v>
      </c>
      <c r="H295">
        <v>146350012.59999999</v>
      </c>
      <c r="I295">
        <v>18.600000000000001</v>
      </c>
      <c r="J295">
        <v>0.11104921251535416</v>
      </c>
      <c r="K295">
        <v>0.2</v>
      </c>
      <c r="L295">
        <v>0.11111111342906951</v>
      </c>
      <c r="M295">
        <v>0.97022222222222221</v>
      </c>
      <c r="N295">
        <v>0.97629629629629622</v>
      </c>
      <c r="O295">
        <v>0.98922934076137414</v>
      </c>
      <c r="P295">
        <v>35.4</v>
      </c>
      <c r="Q295">
        <v>6140335</v>
      </c>
      <c r="R295">
        <v>306989</v>
      </c>
      <c r="S295">
        <v>2</v>
      </c>
      <c r="T295">
        <v>373</v>
      </c>
      <c r="U295">
        <v>0.97333333333333338</v>
      </c>
      <c r="V295">
        <v>0.97703703703703704</v>
      </c>
      <c r="W295">
        <v>0.99108635097493036</v>
      </c>
      <c r="X295">
        <v>38.6</v>
      </c>
      <c r="Y295">
        <v>6807879.7999999998</v>
      </c>
      <c r="Z295">
        <v>308560</v>
      </c>
      <c r="AA295">
        <v>2</v>
      </c>
      <c r="AB295">
        <v>374</v>
      </c>
      <c r="AD295">
        <f>Tabela3[[#This Row],[kan_params]]</f>
        <v>307228</v>
      </c>
      <c r="AE295">
        <f>Tabela3[[#This Row],[kan_train_acc]]</f>
        <v>0.11104921251535416</v>
      </c>
      <c r="AF295">
        <f>Tabela3[[#This Row],[kan_val_acc]]</f>
        <v>0.2</v>
      </c>
      <c r="AG295">
        <f>Tabela3[[#This Row],[kan_test_acc]]</f>
        <v>0.11111111342906951</v>
      </c>
      <c r="AH295">
        <f>Tabela3[[#This Row],[mlp_test_acc]]</f>
        <v>0.97022222222222221</v>
      </c>
      <c r="AI295">
        <f>Tabela3[[#This Row],[mlp_val_acc]]</f>
        <v>0.97629629629629622</v>
      </c>
      <c r="AJ295">
        <f>Tabela3[[#This Row],[mlp_train_acc]]</f>
        <v>0.98922934076137414</v>
      </c>
    </row>
    <row r="296" spans="1:36" x14ac:dyDescent="0.25">
      <c r="A296" t="s">
        <v>71</v>
      </c>
      <c r="B296">
        <v>16</v>
      </c>
      <c r="C296">
        <v>9</v>
      </c>
      <c r="D296">
        <v>3</v>
      </c>
      <c r="E296">
        <v>0</v>
      </c>
      <c r="F296" t="s">
        <v>128</v>
      </c>
      <c r="G296">
        <v>308199</v>
      </c>
      <c r="H296">
        <v>224066504.80000001</v>
      </c>
      <c r="I296">
        <v>27.8</v>
      </c>
      <c r="J296">
        <v>0.17920148819684983</v>
      </c>
      <c r="K296">
        <v>0.26962962746620178</v>
      </c>
      <c r="L296">
        <v>0.18888889104127884</v>
      </c>
      <c r="M296">
        <v>0.97155555555555562</v>
      </c>
      <c r="N296">
        <v>0.97629629629629633</v>
      </c>
      <c r="O296">
        <v>0.99127205199628599</v>
      </c>
      <c r="P296">
        <v>40.799999999999997</v>
      </c>
      <c r="Q296">
        <v>5686278.5999999996</v>
      </c>
      <c r="R296">
        <v>306989</v>
      </c>
      <c r="S296">
        <v>2</v>
      </c>
      <c r="T296">
        <v>373</v>
      </c>
      <c r="U296">
        <v>0.97244444444444444</v>
      </c>
      <c r="V296">
        <v>0.9748148148148148</v>
      </c>
      <c r="W296">
        <v>0.99015784586815225</v>
      </c>
      <c r="X296">
        <v>35.4</v>
      </c>
      <c r="Y296">
        <v>4980125</v>
      </c>
      <c r="Z296">
        <v>308560</v>
      </c>
      <c r="AA296">
        <v>2</v>
      </c>
      <c r="AB296">
        <v>374</v>
      </c>
      <c r="AD296">
        <f>Tabela3[[#This Row],[kan_params]]</f>
        <v>308199</v>
      </c>
      <c r="AE296">
        <f>Tabela3[[#This Row],[kan_train_acc]]</f>
        <v>0.17920148819684983</v>
      </c>
      <c r="AF296">
        <f>Tabela3[[#This Row],[kan_val_acc]]</f>
        <v>0.26962962746620178</v>
      </c>
      <c r="AG296">
        <f>Tabela3[[#This Row],[kan_test_acc]]</f>
        <v>0.18888889104127884</v>
      </c>
      <c r="AH296">
        <f>Tabela3[[#This Row],[mlp_test_acc]]</f>
        <v>0.97155555555555562</v>
      </c>
      <c r="AI296">
        <f>Tabela3[[#This Row],[mlp_val_acc]]</f>
        <v>0.97629629629629633</v>
      </c>
      <c r="AJ296">
        <f>Tabela3[[#This Row],[mlp_train_acc]]</f>
        <v>0.99127205199628599</v>
      </c>
    </row>
    <row r="297" spans="1:36" x14ac:dyDescent="0.25">
      <c r="A297" t="s">
        <v>71</v>
      </c>
      <c r="B297">
        <v>16</v>
      </c>
      <c r="C297">
        <v>9</v>
      </c>
      <c r="D297">
        <v>3</v>
      </c>
      <c r="E297">
        <v>0</v>
      </c>
      <c r="F297" t="s">
        <v>115</v>
      </c>
      <c r="G297">
        <v>308730</v>
      </c>
      <c r="H297">
        <v>169734649</v>
      </c>
      <c r="I297">
        <v>21.6</v>
      </c>
      <c r="J297">
        <v>0.19665738046169282</v>
      </c>
      <c r="K297">
        <v>0.30666666626930239</v>
      </c>
      <c r="L297">
        <v>0.19111110866069794</v>
      </c>
      <c r="M297">
        <v>0.97288888888888891</v>
      </c>
      <c r="N297">
        <v>0.97777777777777775</v>
      </c>
      <c r="O297">
        <v>0.99331476323119772</v>
      </c>
      <c r="P297">
        <v>43.8</v>
      </c>
      <c r="Q297">
        <v>4716958.4000000004</v>
      </c>
      <c r="R297">
        <v>308560</v>
      </c>
      <c r="S297">
        <v>2</v>
      </c>
      <c r="T297">
        <v>374</v>
      </c>
      <c r="U297">
        <v>0.97866666666666668</v>
      </c>
      <c r="V297">
        <v>0.9748148148148148</v>
      </c>
      <c r="W297">
        <v>0.99628597957288767</v>
      </c>
      <c r="X297">
        <v>49.2</v>
      </c>
      <c r="Y297">
        <v>6107031.7999999998</v>
      </c>
      <c r="Z297">
        <v>310135</v>
      </c>
      <c r="AA297">
        <v>2</v>
      </c>
      <c r="AB297">
        <v>375</v>
      </c>
      <c r="AD297">
        <f>Tabela3[[#This Row],[kan_params]]</f>
        <v>308730</v>
      </c>
      <c r="AE297">
        <f>Tabela3[[#This Row],[kan_train_acc]]</f>
        <v>0.19665738046169282</v>
      </c>
      <c r="AF297">
        <f>Tabela3[[#This Row],[kan_val_acc]]</f>
        <v>0.30666666626930239</v>
      </c>
      <c r="AG297">
        <f>Tabela3[[#This Row],[kan_test_acc]]</f>
        <v>0.19111110866069794</v>
      </c>
      <c r="AH297">
        <f>Tabela3[[#This Row],[mlp_test_acc]]</f>
        <v>0.97288888888888891</v>
      </c>
      <c r="AI297">
        <f>Tabela3[[#This Row],[mlp_val_acc]]</f>
        <v>0.97777777777777775</v>
      </c>
      <c r="AJ297">
        <f>Tabela3[[#This Row],[mlp_train_acc]]</f>
        <v>0.99331476323119772</v>
      </c>
    </row>
    <row r="298" spans="1:36" x14ac:dyDescent="0.25">
      <c r="A298" t="s">
        <v>71</v>
      </c>
      <c r="B298">
        <v>16</v>
      </c>
      <c r="C298">
        <v>9</v>
      </c>
      <c r="D298">
        <v>3</v>
      </c>
      <c r="E298">
        <v>0</v>
      </c>
      <c r="F298" t="s">
        <v>101</v>
      </c>
      <c r="G298">
        <v>308821</v>
      </c>
      <c r="H298">
        <v>323929296</v>
      </c>
      <c r="I298">
        <v>34.799999999999997</v>
      </c>
      <c r="J298">
        <v>0.17400185912847518</v>
      </c>
      <c r="K298">
        <v>0.29037036895751955</v>
      </c>
      <c r="L298">
        <v>0.16800000071525573</v>
      </c>
      <c r="M298">
        <v>0.96311111111111114</v>
      </c>
      <c r="N298">
        <v>0.96074074074074067</v>
      </c>
      <c r="O298">
        <v>0.99498607242339832</v>
      </c>
      <c r="P298">
        <v>43.2</v>
      </c>
      <c r="Q298">
        <v>8029789</v>
      </c>
      <c r="R298">
        <v>308560</v>
      </c>
      <c r="S298">
        <v>2</v>
      </c>
      <c r="T298">
        <v>374</v>
      </c>
      <c r="U298">
        <v>0.9622222222222222</v>
      </c>
      <c r="V298">
        <v>0.95851851851851855</v>
      </c>
      <c r="W298">
        <v>0.99257195914577534</v>
      </c>
      <c r="X298">
        <v>39.4</v>
      </c>
      <c r="Y298">
        <v>6622213.7999999998</v>
      </c>
      <c r="Z298">
        <v>310135</v>
      </c>
      <c r="AA298">
        <v>2</v>
      </c>
      <c r="AB298">
        <v>375</v>
      </c>
      <c r="AD298">
        <f>Tabela3[[#This Row],[kan_params]]</f>
        <v>308821</v>
      </c>
      <c r="AE298">
        <f>Tabela3[[#This Row],[kan_train_acc]]</f>
        <v>0.17400185912847518</v>
      </c>
      <c r="AF298">
        <f>Tabela3[[#This Row],[kan_val_acc]]</f>
        <v>0.29037036895751955</v>
      </c>
      <c r="AG298">
        <f>Tabela3[[#This Row],[kan_test_acc]]</f>
        <v>0.16800000071525573</v>
      </c>
      <c r="AH298">
        <f>Tabela3[[#This Row],[mlp_test_acc]]</f>
        <v>0.96311111111111114</v>
      </c>
      <c r="AI298">
        <f>Tabela3[[#This Row],[mlp_val_acc]]</f>
        <v>0.96074074074074067</v>
      </c>
      <c r="AJ298">
        <f>Tabela3[[#This Row],[mlp_train_acc]]</f>
        <v>0.99498607242339832</v>
      </c>
    </row>
    <row r="299" spans="1:36" x14ac:dyDescent="0.25">
      <c r="A299" t="s">
        <v>71</v>
      </c>
      <c r="B299">
        <v>16</v>
      </c>
      <c r="C299">
        <v>9</v>
      </c>
      <c r="D299">
        <v>3</v>
      </c>
      <c r="E299">
        <v>0</v>
      </c>
      <c r="F299" t="s">
        <v>142</v>
      </c>
      <c r="G299">
        <v>316253</v>
      </c>
      <c r="H299">
        <v>291836792.39999998</v>
      </c>
      <c r="I299">
        <v>36.799999999999997</v>
      </c>
      <c r="J299">
        <v>0.25236769020557404</v>
      </c>
      <c r="K299">
        <v>0.35629630088806152</v>
      </c>
      <c r="L299">
        <v>0.23911111503839494</v>
      </c>
      <c r="M299">
        <v>0.97199999999999998</v>
      </c>
      <c r="N299">
        <v>0.97407407407407409</v>
      </c>
      <c r="O299">
        <v>0.99071494893221912</v>
      </c>
      <c r="P299">
        <v>37.6</v>
      </c>
      <c r="Q299">
        <v>6466285</v>
      </c>
      <c r="R299">
        <v>314884</v>
      </c>
      <c r="S299">
        <v>2</v>
      </c>
      <c r="T299">
        <v>378</v>
      </c>
      <c r="U299">
        <v>0.97199999999999998</v>
      </c>
      <c r="V299">
        <v>0.97333333333333338</v>
      </c>
      <c r="W299">
        <v>0.99108635097493036</v>
      </c>
      <c r="X299">
        <v>37.799999999999997</v>
      </c>
      <c r="Y299">
        <v>5128088.5999999996</v>
      </c>
      <c r="Z299">
        <v>316475</v>
      </c>
      <c r="AA299">
        <v>2</v>
      </c>
      <c r="AB299">
        <v>379</v>
      </c>
      <c r="AD299">
        <f>Tabela3[[#This Row],[kan_params]]</f>
        <v>316253</v>
      </c>
      <c r="AE299">
        <f>Tabela3[[#This Row],[kan_train_acc]]</f>
        <v>0.25236769020557404</v>
      </c>
      <c r="AF299">
        <f>Tabela3[[#This Row],[kan_val_acc]]</f>
        <v>0.35629630088806152</v>
      </c>
      <c r="AG299">
        <f>Tabela3[[#This Row],[kan_test_acc]]</f>
        <v>0.23911111503839494</v>
      </c>
      <c r="AH299">
        <f>Tabela3[[#This Row],[mlp_test_acc]]</f>
        <v>0.97199999999999998</v>
      </c>
      <c r="AI299">
        <f>Tabela3[[#This Row],[mlp_val_acc]]</f>
        <v>0.97407407407407409</v>
      </c>
      <c r="AJ299">
        <f>Tabela3[[#This Row],[mlp_train_acc]]</f>
        <v>0.99071494893221912</v>
      </c>
    </row>
    <row r="300" spans="1:36" x14ac:dyDescent="0.25">
      <c r="A300" t="s">
        <v>71</v>
      </c>
      <c r="B300">
        <v>16</v>
      </c>
      <c r="C300">
        <v>9</v>
      </c>
      <c r="D300">
        <v>3</v>
      </c>
      <c r="E300">
        <v>0</v>
      </c>
      <c r="F300" t="s">
        <v>129</v>
      </c>
      <c r="G300">
        <v>317004</v>
      </c>
      <c r="H300">
        <v>204009264.40000001</v>
      </c>
      <c r="I300">
        <v>24.8</v>
      </c>
      <c r="J300">
        <v>0.18365830928087234</v>
      </c>
      <c r="K300">
        <v>0.27703703343868258</v>
      </c>
      <c r="L300">
        <v>0.18933333158493043</v>
      </c>
      <c r="M300">
        <v>0.97555555555555551</v>
      </c>
      <c r="N300">
        <v>0.9748148148148148</v>
      </c>
      <c r="O300">
        <v>0.99071494893221912</v>
      </c>
      <c r="P300">
        <v>38.4</v>
      </c>
      <c r="Q300">
        <v>5369243.4000000004</v>
      </c>
      <c r="R300">
        <v>316475</v>
      </c>
      <c r="S300">
        <v>2</v>
      </c>
      <c r="T300">
        <v>379</v>
      </c>
      <c r="U300">
        <v>0.97333333333333338</v>
      </c>
      <c r="V300">
        <v>0.97777777777777775</v>
      </c>
      <c r="W300">
        <v>0.99238625812441972</v>
      </c>
      <c r="X300">
        <v>41.2</v>
      </c>
      <c r="Y300">
        <v>5206907</v>
      </c>
      <c r="Z300">
        <v>318070</v>
      </c>
      <c r="AA300">
        <v>2</v>
      </c>
      <c r="AB300">
        <v>380</v>
      </c>
      <c r="AD300">
        <f>Tabela3[[#This Row],[kan_params]]</f>
        <v>317004</v>
      </c>
      <c r="AE300">
        <f>Tabela3[[#This Row],[kan_train_acc]]</f>
        <v>0.18365830928087234</v>
      </c>
      <c r="AF300">
        <f>Tabela3[[#This Row],[kan_val_acc]]</f>
        <v>0.27703703343868258</v>
      </c>
      <c r="AG300">
        <f>Tabela3[[#This Row],[kan_test_acc]]</f>
        <v>0.18933333158493043</v>
      </c>
      <c r="AH300">
        <f>Tabela3[[#This Row],[mlp_test_acc]]</f>
        <v>0.97555555555555551</v>
      </c>
      <c r="AI300">
        <f>Tabela3[[#This Row],[mlp_val_acc]]</f>
        <v>0.9748148148148148</v>
      </c>
      <c r="AJ300">
        <f>Tabela3[[#This Row],[mlp_train_acc]]</f>
        <v>0.99071494893221912</v>
      </c>
    </row>
    <row r="301" spans="1:36" x14ac:dyDescent="0.25">
      <c r="A301" t="s">
        <v>71</v>
      </c>
      <c r="B301">
        <v>16</v>
      </c>
      <c r="C301">
        <v>9</v>
      </c>
      <c r="D301">
        <v>3</v>
      </c>
      <c r="E301">
        <v>0</v>
      </c>
      <c r="F301" t="s">
        <v>116</v>
      </c>
      <c r="G301">
        <v>317315</v>
      </c>
      <c r="H301">
        <v>164997403.40000001</v>
      </c>
      <c r="I301">
        <v>19.8</v>
      </c>
      <c r="J301">
        <v>0.13779015913605691</v>
      </c>
      <c r="K301">
        <v>0.21037037372589112</v>
      </c>
      <c r="L301">
        <v>0.13466666564345359</v>
      </c>
      <c r="M301">
        <v>0.97288888888888891</v>
      </c>
      <c r="N301">
        <v>0.97777777777777775</v>
      </c>
      <c r="O301">
        <v>0.99442896935933145</v>
      </c>
      <c r="P301">
        <v>45.2</v>
      </c>
      <c r="Q301">
        <v>5667931</v>
      </c>
      <c r="R301">
        <v>316475</v>
      </c>
      <c r="S301">
        <v>2</v>
      </c>
      <c r="T301">
        <v>379</v>
      </c>
      <c r="U301">
        <v>0.97288888888888891</v>
      </c>
      <c r="V301">
        <v>0.97777777777777775</v>
      </c>
      <c r="W301">
        <v>0.99275766016713096</v>
      </c>
      <c r="X301">
        <v>39.799999999999997</v>
      </c>
      <c r="Y301">
        <v>3998461</v>
      </c>
      <c r="Z301">
        <v>318070</v>
      </c>
      <c r="AA301">
        <v>2</v>
      </c>
      <c r="AB301">
        <v>380</v>
      </c>
      <c r="AD301">
        <f>Tabela3[[#This Row],[kan_params]]</f>
        <v>317315</v>
      </c>
      <c r="AE301">
        <f>Tabela3[[#This Row],[kan_train_acc]]</f>
        <v>0.13779015913605691</v>
      </c>
      <c r="AF301">
        <f>Tabela3[[#This Row],[kan_val_acc]]</f>
        <v>0.21037037372589112</v>
      </c>
      <c r="AG301">
        <f>Tabela3[[#This Row],[kan_test_acc]]</f>
        <v>0.13466666564345359</v>
      </c>
      <c r="AH301">
        <f>Tabela3[[#This Row],[mlp_test_acc]]</f>
        <v>0.97288888888888891</v>
      </c>
      <c r="AI301">
        <f>Tabela3[[#This Row],[mlp_val_acc]]</f>
        <v>0.97777777777777775</v>
      </c>
      <c r="AJ301">
        <f>Tabela3[[#This Row],[mlp_train_acc]]</f>
        <v>0.99442896935933145</v>
      </c>
    </row>
    <row r="302" spans="1:36" x14ac:dyDescent="0.25">
      <c r="A302" t="s">
        <v>71</v>
      </c>
      <c r="B302">
        <v>16</v>
      </c>
      <c r="C302">
        <v>9</v>
      </c>
      <c r="D302">
        <v>3</v>
      </c>
      <c r="E302">
        <v>0</v>
      </c>
      <c r="F302" t="s">
        <v>143</v>
      </c>
      <c r="G302">
        <v>325278</v>
      </c>
      <c r="H302">
        <v>357869080</v>
      </c>
      <c r="I302">
        <v>42.6</v>
      </c>
      <c r="J302">
        <v>0.21875580251216889</v>
      </c>
      <c r="K302">
        <v>0.41851851344108582</v>
      </c>
      <c r="L302">
        <v>0.22444444745779038</v>
      </c>
      <c r="M302">
        <v>0.97511111111111104</v>
      </c>
      <c r="N302">
        <v>0.97629629629629633</v>
      </c>
      <c r="O302">
        <v>0.99164345403899723</v>
      </c>
      <c r="P302">
        <v>37.799999999999997</v>
      </c>
      <c r="Q302">
        <v>5312974.8</v>
      </c>
      <c r="R302">
        <v>324490</v>
      </c>
      <c r="S302">
        <v>2</v>
      </c>
      <c r="T302">
        <v>384</v>
      </c>
      <c r="U302">
        <v>0.97911111111111104</v>
      </c>
      <c r="V302">
        <v>0.97851851851851857</v>
      </c>
      <c r="W302">
        <v>0.99480037140204269</v>
      </c>
      <c r="X302">
        <v>42.2</v>
      </c>
      <c r="Y302">
        <v>7219454</v>
      </c>
      <c r="Z302">
        <v>326105</v>
      </c>
      <c r="AA302">
        <v>2</v>
      </c>
      <c r="AB302">
        <v>385</v>
      </c>
      <c r="AD302">
        <f>Tabela3[[#This Row],[kan_params]]</f>
        <v>325278</v>
      </c>
      <c r="AE302">
        <f>Tabela3[[#This Row],[kan_train_acc]]</f>
        <v>0.21875580251216889</v>
      </c>
      <c r="AF302">
        <f>Tabela3[[#This Row],[kan_val_acc]]</f>
        <v>0.41851851344108582</v>
      </c>
      <c r="AG302">
        <f>Tabela3[[#This Row],[kan_test_acc]]</f>
        <v>0.22444444745779038</v>
      </c>
      <c r="AH302">
        <f>Tabela3[[#This Row],[mlp_test_acc]]</f>
        <v>0.97511111111111104</v>
      </c>
      <c r="AI302">
        <f>Tabela3[[#This Row],[mlp_val_acc]]</f>
        <v>0.97629629629629633</v>
      </c>
      <c r="AJ302">
        <f>Tabela3[[#This Row],[mlp_train_acc]]</f>
        <v>0.99164345403899723</v>
      </c>
    </row>
    <row r="303" spans="1:36" x14ac:dyDescent="0.25">
      <c r="A303" t="s">
        <v>71</v>
      </c>
      <c r="B303">
        <v>16</v>
      </c>
      <c r="C303">
        <v>9</v>
      </c>
      <c r="D303">
        <v>3</v>
      </c>
      <c r="E303">
        <v>0</v>
      </c>
      <c r="F303" t="s">
        <v>130</v>
      </c>
      <c r="G303">
        <v>325809</v>
      </c>
      <c r="H303">
        <v>311982694</v>
      </c>
      <c r="I303">
        <v>35.200000000000003</v>
      </c>
      <c r="J303">
        <v>0.22841225862503051</v>
      </c>
      <c r="K303">
        <v>0.32740740776062011</v>
      </c>
      <c r="L303">
        <v>0.23022222071886062</v>
      </c>
      <c r="M303">
        <v>0.97422222222222221</v>
      </c>
      <c r="N303">
        <v>0.97703703703703704</v>
      </c>
      <c r="O303">
        <v>0.99461467038068707</v>
      </c>
      <c r="P303">
        <v>43.6</v>
      </c>
      <c r="Q303">
        <v>6182474.7999999998</v>
      </c>
      <c r="R303">
        <v>324490</v>
      </c>
      <c r="S303">
        <v>2</v>
      </c>
      <c r="T303">
        <v>384</v>
      </c>
      <c r="U303">
        <v>0.97599999999999998</v>
      </c>
      <c r="V303">
        <v>0.97851851851851857</v>
      </c>
      <c r="W303">
        <v>0.99387186629526458</v>
      </c>
      <c r="X303">
        <v>41.2</v>
      </c>
      <c r="Y303">
        <v>6005857.7999999998</v>
      </c>
      <c r="Z303">
        <v>326105</v>
      </c>
      <c r="AA303">
        <v>2</v>
      </c>
      <c r="AB303">
        <v>385</v>
      </c>
      <c r="AD303">
        <f>Tabela3[[#This Row],[kan_params]]</f>
        <v>325809</v>
      </c>
      <c r="AE303">
        <f>Tabela3[[#This Row],[kan_train_acc]]</f>
        <v>0.22841225862503051</v>
      </c>
      <c r="AF303">
        <f>Tabela3[[#This Row],[kan_val_acc]]</f>
        <v>0.32740740776062011</v>
      </c>
      <c r="AG303">
        <f>Tabela3[[#This Row],[kan_test_acc]]</f>
        <v>0.23022222071886062</v>
      </c>
      <c r="AH303">
        <f>Tabela3[[#This Row],[mlp_test_acc]]</f>
        <v>0.97422222222222221</v>
      </c>
      <c r="AI303">
        <f>Tabela3[[#This Row],[mlp_val_acc]]</f>
        <v>0.97703703703703704</v>
      </c>
      <c r="AJ303">
        <f>Tabela3[[#This Row],[mlp_train_acc]]</f>
        <v>0.99461467038068707</v>
      </c>
    </row>
    <row r="304" spans="1:36" x14ac:dyDescent="0.25">
      <c r="A304" t="s">
        <v>71</v>
      </c>
      <c r="B304">
        <v>16</v>
      </c>
      <c r="C304">
        <v>9</v>
      </c>
      <c r="D304">
        <v>3</v>
      </c>
      <c r="E304">
        <v>0</v>
      </c>
      <c r="F304" t="s">
        <v>144</v>
      </c>
      <c r="G304">
        <v>334303</v>
      </c>
      <c r="H304">
        <v>349952688.80000001</v>
      </c>
      <c r="I304">
        <v>37.799999999999997</v>
      </c>
      <c r="J304">
        <v>0.24103992581367492</v>
      </c>
      <c r="K304">
        <v>0.35629630088806152</v>
      </c>
      <c r="L304">
        <v>0.23022222369909287</v>
      </c>
      <c r="M304">
        <v>0.97644444444444445</v>
      </c>
      <c r="N304">
        <v>0.97629629629629633</v>
      </c>
      <c r="O304">
        <v>0.99405756731662021</v>
      </c>
      <c r="P304">
        <v>41.2</v>
      </c>
      <c r="Q304">
        <v>6934967</v>
      </c>
      <c r="R304">
        <v>334240</v>
      </c>
      <c r="S304">
        <v>2</v>
      </c>
      <c r="T304">
        <v>390</v>
      </c>
      <c r="U304">
        <v>0.97333333333333338</v>
      </c>
      <c r="V304">
        <v>0.97851851851851857</v>
      </c>
      <c r="W304">
        <v>0.99350046425255334</v>
      </c>
      <c r="X304">
        <v>40.6</v>
      </c>
      <c r="Y304">
        <v>6492556.7999999998</v>
      </c>
      <c r="Z304">
        <v>335879</v>
      </c>
      <c r="AA304">
        <v>2</v>
      </c>
      <c r="AB304">
        <v>391</v>
      </c>
      <c r="AD304">
        <f>Tabela3[[#This Row],[kan_params]]</f>
        <v>334303</v>
      </c>
      <c r="AE304">
        <f>Tabela3[[#This Row],[kan_train_acc]]</f>
        <v>0.24103992581367492</v>
      </c>
      <c r="AF304">
        <f>Tabela3[[#This Row],[kan_val_acc]]</f>
        <v>0.35629630088806152</v>
      </c>
      <c r="AG304">
        <f>Tabela3[[#This Row],[kan_test_acc]]</f>
        <v>0.23022222369909287</v>
      </c>
      <c r="AH304">
        <f>Tabela3[[#This Row],[mlp_test_acc]]</f>
        <v>0.97644444444444445</v>
      </c>
      <c r="AI304">
        <f>Tabela3[[#This Row],[mlp_val_acc]]</f>
        <v>0.97629629629629633</v>
      </c>
      <c r="AJ304">
        <f>Tabela3[[#This Row],[mlp_train_acc]]</f>
        <v>0.99405756731662021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37849-CAA8-453E-8FC5-7D1DC0978868}">
  <dimension ref="A1:AJ60"/>
  <sheetViews>
    <sheetView workbookViewId="0">
      <selection activeCell="L2" activeCellId="1" sqref="J2:J23 L2:L23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3" t="s">
        <v>27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  <c r="AI1" t="s">
        <v>234</v>
      </c>
      <c r="AJ1" t="s">
        <v>235</v>
      </c>
    </row>
    <row r="2" spans="1:36" hidden="1" x14ac:dyDescent="0.25">
      <c r="A2" t="s">
        <v>28</v>
      </c>
      <c r="B2">
        <v>8</v>
      </c>
      <c r="C2">
        <v>3</v>
      </c>
      <c r="D2">
        <v>2</v>
      </c>
      <c r="E2">
        <v>0</v>
      </c>
      <c r="F2" t="s">
        <v>55</v>
      </c>
      <c r="G2">
        <v>9176</v>
      </c>
      <c r="H2">
        <v>880278194</v>
      </c>
      <c r="I2">
        <v>4210.3999999999996</v>
      </c>
      <c r="J2">
        <v>1</v>
      </c>
      <c r="K2">
        <v>0.9790697574615479</v>
      </c>
      <c r="L2">
        <v>0.93286713361740115</v>
      </c>
      <c r="M2">
        <v>0.91468531468531467</v>
      </c>
      <c r="N2">
        <v>0.97674418604651159</v>
      </c>
      <c r="O2">
        <v>0.95705882352941185</v>
      </c>
      <c r="P2">
        <v>3171.2</v>
      </c>
      <c r="Q2">
        <v>152210571.80000001</v>
      </c>
      <c r="R2">
        <v>9029</v>
      </c>
      <c r="S2">
        <v>2</v>
      </c>
      <c r="T2">
        <v>59</v>
      </c>
      <c r="U2">
        <v>0.91748251748251752</v>
      </c>
      <c r="V2">
        <v>0.97674418604651159</v>
      </c>
      <c r="W2">
        <v>0.9611764705882353</v>
      </c>
      <c r="X2">
        <v>2951.4</v>
      </c>
      <c r="Y2">
        <v>130731169.40000001</v>
      </c>
      <c r="Z2">
        <v>9302</v>
      </c>
      <c r="AA2">
        <v>2</v>
      </c>
      <c r="AB2">
        <v>60</v>
      </c>
      <c r="AD2">
        <f>Tabela2[[#This Row],[kan_params]]</f>
        <v>9176</v>
      </c>
      <c r="AE2">
        <f>Tabela2[[#This Row],[kan_train_acc]]</f>
        <v>1</v>
      </c>
      <c r="AF2">
        <f>Tabela2[[#This Row],[kan_val_acc]]</f>
        <v>0.9790697574615479</v>
      </c>
      <c r="AG2">
        <f>Tabela2[[#This Row],[kan_test_acc]]</f>
        <v>0.93286713361740115</v>
      </c>
      <c r="AH2">
        <f>Tabela2[[#This Row],[mlp_test_acc]]</f>
        <v>0.91468531468531467</v>
      </c>
      <c r="AI2">
        <f>Tabela2[[#This Row],[mlp_val_acc]]</f>
        <v>0.97674418604651159</v>
      </c>
      <c r="AJ2">
        <f>Tabela2[[#This Row],[mlp_train_acc]]</f>
        <v>0.95705882352941185</v>
      </c>
    </row>
    <row r="3" spans="1:36" hidden="1" x14ac:dyDescent="0.25">
      <c r="A3" t="s">
        <v>28</v>
      </c>
      <c r="B3">
        <v>8</v>
      </c>
      <c r="C3">
        <v>3</v>
      </c>
      <c r="D3">
        <v>2</v>
      </c>
      <c r="E3">
        <v>0</v>
      </c>
      <c r="F3" t="s">
        <v>56</v>
      </c>
      <c r="G3">
        <v>11261</v>
      </c>
      <c r="H3">
        <v>618767536.20000005</v>
      </c>
      <c r="I3">
        <v>2556.1999999999998</v>
      </c>
      <c r="J3">
        <v>0.98588235378265376</v>
      </c>
      <c r="K3">
        <v>0.97441859245300289</v>
      </c>
      <c r="L3">
        <v>0.93706293106079097</v>
      </c>
      <c r="M3">
        <v>0.91468531468531467</v>
      </c>
      <c r="N3">
        <v>0.97674418604651159</v>
      </c>
      <c r="O3">
        <v>0.96000000000000008</v>
      </c>
      <c r="P3">
        <v>3035.4</v>
      </c>
      <c r="Q3">
        <v>200556232.59999999</v>
      </c>
      <c r="R3">
        <v>11024</v>
      </c>
      <c r="S3">
        <v>2</v>
      </c>
      <c r="T3">
        <v>66</v>
      </c>
      <c r="U3">
        <v>0.91048951048951043</v>
      </c>
      <c r="V3">
        <v>0.97674418604651159</v>
      </c>
      <c r="W3">
        <v>0.96235294117647063</v>
      </c>
      <c r="X3">
        <v>2664.8</v>
      </c>
      <c r="Y3">
        <v>175246552.19999999</v>
      </c>
      <c r="Z3">
        <v>11325</v>
      </c>
      <c r="AA3">
        <v>2</v>
      </c>
      <c r="AB3">
        <v>67</v>
      </c>
      <c r="AD3">
        <f>Tabela2[[#This Row],[kan_params]]</f>
        <v>11261</v>
      </c>
      <c r="AE3">
        <f>Tabela2[[#This Row],[kan_train_acc]]</f>
        <v>0.98588235378265376</v>
      </c>
      <c r="AF3">
        <f>Tabela2[[#This Row],[kan_val_acc]]</f>
        <v>0.97441859245300289</v>
      </c>
      <c r="AG3">
        <f>Tabela2[[#This Row],[kan_test_acc]]</f>
        <v>0.93706293106079097</v>
      </c>
      <c r="AH3">
        <f>Tabela2[[#This Row],[mlp_test_acc]]</f>
        <v>0.91468531468531467</v>
      </c>
      <c r="AI3">
        <f>Tabela2[[#This Row],[mlp_val_acc]]</f>
        <v>0.97674418604651159</v>
      </c>
      <c r="AJ3">
        <f>Tabela2[[#This Row],[mlp_train_acc]]</f>
        <v>0.96000000000000008</v>
      </c>
    </row>
    <row r="4" spans="1:36" hidden="1" x14ac:dyDescent="0.25">
      <c r="A4" t="s">
        <v>28</v>
      </c>
      <c r="B4">
        <v>8</v>
      </c>
      <c r="C4">
        <v>3</v>
      </c>
      <c r="D4">
        <v>2</v>
      </c>
      <c r="E4">
        <v>0</v>
      </c>
      <c r="F4" t="s">
        <v>64</v>
      </c>
      <c r="G4">
        <v>13346</v>
      </c>
      <c r="H4">
        <v>1025356896.6</v>
      </c>
      <c r="I4">
        <v>3895.6</v>
      </c>
      <c r="J4">
        <v>0.99352941513061521</v>
      </c>
      <c r="K4">
        <v>0.98139533996582029</v>
      </c>
      <c r="L4">
        <v>0.95524474382400515</v>
      </c>
      <c r="M4">
        <v>0.92027972027972027</v>
      </c>
      <c r="N4">
        <v>0.97674418604651159</v>
      </c>
      <c r="O4">
        <v>0.9611764705882353</v>
      </c>
      <c r="P4">
        <v>3050.2</v>
      </c>
      <c r="Q4">
        <v>206027188.40000001</v>
      </c>
      <c r="R4">
        <v>13215</v>
      </c>
      <c r="S4">
        <v>2</v>
      </c>
      <c r="T4">
        <v>73</v>
      </c>
      <c r="U4">
        <v>0.91328671328671329</v>
      </c>
      <c r="V4">
        <v>0.97674418604651159</v>
      </c>
      <c r="W4">
        <v>0.96176470588235297</v>
      </c>
      <c r="X4">
        <v>2675.8</v>
      </c>
      <c r="Y4">
        <v>177189720.59999999</v>
      </c>
      <c r="Z4">
        <v>13544</v>
      </c>
      <c r="AA4">
        <v>2</v>
      </c>
      <c r="AB4">
        <v>74</v>
      </c>
      <c r="AD4">
        <f>Tabela2[[#This Row],[kan_params]]</f>
        <v>13346</v>
      </c>
      <c r="AE4">
        <f>Tabela2[[#This Row],[kan_train_acc]]</f>
        <v>0.99352941513061521</v>
      </c>
      <c r="AF4">
        <f>Tabela2[[#This Row],[kan_val_acc]]</f>
        <v>0.98139533996582029</v>
      </c>
      <c r="AG4">
        <f>Tabela2[[#This Row],[kan_test_acc]]</f>
        <v>0.95524474382400515</v>
      </c>
      <c r="AH4">
        <f>Tabela2[[#This Row],[mlp_test_acc]]</f>
        <v>0.92027972027972027</v>
      </c>
      <c r="AI4">
        <f>Tabela2[[#This Row],[mlp_val_acc]]</f>
        <v>0.97674418604651159</v>
      </c>
      <c r="AJ4">
        <f>Tabela2[[#This Row],[mlp_train_acc]]</f>
        <v>0.9611764705882353</v>
      </c>
    </row>
    <row r="5" spans="1:36" hidden="1" x14ac:dyDescent="0.25">
      <c r="A5" t="s">
        <v>28</v>
      </c>
      <c r="B5">
        <v>8</v>
      </c>
      <c r="C5">
        <v>3</v>
      </c>
      <c r="D5">
        <v>2</v>
      </c>
      <c r="E5">
        <v>0</v>
      </c>
      <c r="F5" t="s">
        <v>65</v>
      </c>
      <c r="G5">
        <v>15431</v>
      </c>
      <c r="H5">
        <v>1170152342.4000001</v>
      </c>
      <c r="I5">
        <v>3963.4</v>
      </c>
      <c r="J5">
        <v>1</v>
      </c>
      <c r="K5">
        <v>0.9790697574615479</v>
      </c>
      <c r="L5">
        <v>0.93006992340087891</v>
      </c>
      <c r="M5">
        <v>0.92027972027972027</v>
      </c>
      <c r="N5">
        <v>0.97674418604651159</v>
      </c>
      <c r="O5">
        <v>0.96058823529411763</v>
      </c>
      <c r="P5">
        <v>2430.6</v>
      </c>
      <c r="Q5">
        <v>170161299</v>
      </c>
      <c r="R5">
        <v>15249</v>
      </c>
      <c r="S5">
        <v>2</v>
      </c>
      <c r="T5">
        <v>79</v>
      </c>
      <c r="U5">
        <v>0.92167832167832164</v>
      </c>
      <c r="V5">
        <v>0.97674418604651159</v>
      </c>
      <c r="W5">
        <v>0.96411764705882352</v>
      </c>
      <c r="X5">
        <v>2763</v>
      </c>
      <c r="Y5">
        <v>202518358.40000001</v>
      </c>
      <c r="Z5">
        <v>15602</v>
      </c>
      <c r="AA5">
        <v>2</v>
      </c>
      <c r="AB5">
        <v>80</v>
      </c>
      <c r="AD5">
        <f>Tabela2[[#This Row],[kan_params]]</f>
        <v>15431</v>
      </c>
      <c r="AE5">
        <f>Tabela2[[#This Row],[kan_train_acc]]</f>
        <v>1</v>
      </c>
      <c r="AF5">
        <f>Tabela2[[#This Row],[kan_val_acc]]</f>
        <v>0.9790697574615479</v>
      </c>
      <c r="AG5">
        <f>Tabela2[[#This Row],[kan_test_acc]]</f>
        <v>0.93006992340087891</v>
      </c>
      <c r="AH5">
        <f>Tabela2[[#This Row],[mlp_test_acc]]</f>
        <v>0.92027972027972027</v>
      </c>
      <c r="AI5">
        <f>Tabela2[[#This Row],[mlp_val_acc]]</f>
        <v>0.97674418604651159</v>
      </c>
      <c r="AJ5">
        <f>Tabela2[[#This Row],[mlp_train_acc]]</f>
        <v>0.96058823529411763</v>
      </c>
    </row>
    <row r="6" spans="1:36" x14ac:dyDescent="0.25">
      <c r="A6" t="s">
        <v>28</v>
      </c>
      <c r="B6">
        <v>16</v>
      </c>
      <c r="C6">
        <v>5</v>
      </c>
      <c r="D6">
        <v>5</v>
      </c>
      <c r="E6">
        <v>0</v>
      </c>
      <c r="F6" t="s">
        <v>55</v>
      </c>
      <c r="G6">
        <v>16920</v>
      </c>
      <c r="H6">
        <v>330676569.19999999</v>
      </c>
      <c r="I6">
        <v>1151</v>
      </c>
      <c r="J6">
        <v>0.70882352590560915</v>
      </c>
      <c r="K6">
        <v>0.9558139443397522</v>
      </c>
      <c r="L6">
        <v>0.70349651575088501</v>
      </c>
      <c r="M6">
        <v>0.96363636363636362</v>
      </c>
      <c r="N6">
        <v>0.97209302325581393</v>
      </c>
      <c r="O6">
        <v>0.97705882352941176</v>
      </c>
      <c r="P6">
        <v>8750.7999999999993</v>
      </c>
      <c r="Q6">
        <v>424926284.80000001</v>
      </c>
      <c r="R6">
        <v>16685</v>
      </c>
      <c r="S6">
        <v>2</v>
      </c>
      <c r="T6">
        <v>83</v>
      </c>
      <c r="U6">
        <v>0.965034965034965</v>
      </c>
      <c r="V6">
        <v>0.97674418604651159</v>
      </c>
      <c r="W6">
        <v>0.98352941176470587</v>
      </c>
      <c r="X6">
        <v>8558.6</v>
      </c>
      <c r="Y6">
        <v>173581174.59999999</v>
      </c>
      <c r="Z6">
        <v>17054</v>
      </c>
      <c r="AA6">
        <v>2</v>
      </c>
      <c r="AB6">
        <v>84</v>
      </c>
      <c r="AD6">
        <f>Tabela2[[#This Row],[kan_params]]</f>
        <v>16920</v>
      </c>
      <c r="AE6">
        <f>Tabela2[[#This Row],[kan_train_acc]]</f>
        <v>0.70882352590560915</v>
      </c>
      <c r="AF6">
        <f>Tabela2[[#This Row],[kan_val_acc]]</f>
        <v>0.9558139443397522</v>
      </c>
      <c r="AG6">
        <f>Tabela2[[#This Row],[kan_test_acc]]</f>
        <v>0.70349651575088501</v>
      </c>
      <c r="AH6">
        <f>Tabela2[[#This Row],[mlp_test_acc]]</f>
        <v>0.96363636363636362</v>
      </c>
      <c r="AI6">
        <f>Tabela2[[#This Row],[mlp_val_acc]]</f>
        <v>0.97209302325581393</v>
      </c>
      <c r="AJ6">
        <f>Tabela2[[#This Row],[mlp_train_acc]]</f>
        <v>0.97705882352941176</v>
      </c>
    </row>
    <row r="7" spans="1:36" hidden="1" x14ac:dyDescent="0.25">
      <c r="A7" t="s">
        <v>28</v>
      </c>
      <c r="B7">
        <v>8</v>
      </c>
      <c r="C7">
        <v>3</v>
      </c>
      <c r="D7">
        <v>2</v>
      </c>
      <c r="E7">
        <v>0</v>
      </c>
      <c r="F7" t="s">
        <v>66</v>
      </c>
      <c r="G7">
        <v>17516</v>
      </c>
      <c r="H7">
        <v>1087908146</v>
      </c>
      <c r="I7">
        <v>3412.4</v>
      </c>
      <c r="J7">
        <v>0.98529411554336543</v>
      </c>
      <c r="K7">
        <v>0.98139533996582029</v>
      </c>
      <c r="L7">
        <v>0.93426573276519775</v>
      </c>
      <c r="M7">
        <v>0.9188811188811189</v>
      </c>
      <c r="N7">
        <v>0.97674418604651159</v>
      </c>
      <c r="O7">
        <v>0.96588235294117653</v>
      </c>
      <c r="P7">
        <v>2644.8</v>
      </c>
      <c r="Q7">
        <v>192906106.40000001</v>
      </c>
      <c r="R7">
        <v>17427</v>
      </c>
      <c r="S7">
        <v>2</v>
      </c>
      <c r="T7">
        <v>85</v>
      </c>
      <c r="U7">
        <v>0.91748251748251752</v>
      </c>
      <c r="V7">
        <v>0.97674418604651159</v>
      </c>
      <c r="W7">
        <v>0.96411764705882352</v>
      </c>
      <c r="X7">
        <v>2435.1999999999998</v>
      </c>
      <c r="Y7">
        <v>179027155.80000001</v>
      </c>
      <c r="Z7">
        <v>17804</v>
      </c>
      <c r="AA7">
        <v>2</v>
      </c>
      <c r="AB7">
        <v>86</v>
      </c>
      <c r="AD7">
        <f>Tabela2[[#This Row],[kan_params]]</f>
        <v>17516</v>
      </c>
      <c r="AE7">
        <f>Tabela2[[#This Row],[kan_train_acc]]</f>
        <v>0.98529411554336543</v>
      </c>
      <c r="AF7">
        <f>Tabela2[[#This Row],[kan_val_acc]]</f>
        <v>0.98139533996582029</v>
      </c>
      <c r="AG7">
        <f>Tabela2[[#This Row],[kan_test_acc]]</f>
        <v>0.93426573276519775</v>
      </c>
      <c r="AH7">
        <f>Tabela2[[#This Row],[mlp_test_acc]]</f>
        <v>0.9188811188811189</v>
      </c>
      <c r="AI7">
        <f>Tabela2[[#This Row],[mlp_val_acc]]</f>
        <v>0.97674418604651159</v>
      </c>
      <c r="AJ7">
        <f>Tabela2[[#This Row],[mlp_train_acc]]</f>
        <v>0.96588235294117653</v>
      </c>
    </row>
    <row r="8" spans="1:36" hidden="1" x14ac:dyDescent="0.25">
      <c r="A8" t="s">
        <v>28</v>
      </c>
      <c r="B8">
        <v>8</v>
      </c>
      <c r="C8">
        <v>3</v>
      </c>
      <c r="D8">
        <v>2</v>
      </c>
      <c r="E8">
        <v>0</v>
      </c>
      <c r="F8" t="s">
        <v>67</v>
      </c>
      <c r="G8">
        <v>19601</v>
      </c>
      <c r="H8">
        <v>1148570620.8</v>
      </c>
      <c r="I8">
        <v>3385.6</v>
      </c>
      <c r="J8">
        <v>0.99588235616683962</v>
      </c>
      <c r="K8">
        <v>0.97441859245300289</v>
      </c>
      <c r="L8">
        <v>0.93706293106079097</v>
      </c>
      <c r="M8">
        <v>0.94545454545454544</v>
      </c>
      <c r="N8">
        <v>0.97209302325581393</v>
      </c>
      <c r="O8">
        <v>0.96529411764705886</v>
      </c>
      <c r="P8">
        <v>4223.6000000000004</v>
      </c>
      <c r="Q8">
        <v>382923338.80000001</v>
      </c>
      <c r="R8">
        <v>19352</v>
      </c>
      <c r="S8">
        <v>2</v>
      </c>
      <c r="T8">
        <v>90</v>
      </c>
      <c r="U8">
        <v>0.95384615384615379</v>
      </c>
      <c r="V8">
        <v>0.97441860465116281</v>
      </c>
      <c r="W8">
        <v>0.96823529411764708</v>
      </c>
      <c r="X8">
        <v>4362.6000000000004</v>
      </c>
      <c r="Y8">
        <v>384910062.60000002</v>
      </c>
      <c r="Z8">
        <v>19749</v>
      </c>
      <c r="AA8">
        <v>2</v>
      </c>
      <c r="AB8">
        <v>91</v>
      </c>
      <c r="AD8">
        <f>Tabela2[[#This Row],[kan_params]]</f>
        <v>19601</v>
      </c>
      <c r="AE8">
        <f>Tabela2[[#This Row],[kan_train_acc]]</f>
        <v>0.99588235616683962</v>
      </c>
      <c r="AF8">
        <f>Tabela2[[#This Row],[kan_val_acc]]</f>
        <v>0.97441859245300289</v>
      </c>
      <c r="AG8">
        <f>Tabela2[[#This Row],[kan_test_acc]]</f>
        <v>0.93706293106079097</v>
      </c>
      <c r="AH8">
        <f>Tabela2[[#This Row],[mlp_test_acc]]</f>
        <v>0.94545454545454544</v>
      </c>
      <c r="AI8">
        <f>Tabela2[[#This Row],[mlp_val_acc]]</f>
        <v>0.97209302325581393</v>
      </c>
      <c r="AJ8">
        <f>Tabela2[[#This Row],[mlp_train_acc]]</f>
        <v>0.96529411764705886</v>
      </c>
    </row>
    <row r="9" spans="1:36" x14ac:dyDescent="0.25">
      <c r="A9" t="s">
        <v>28</v>
      </c>
      <c r="B9">
        <v>16</v>
      </c>
      <c r="C9">
        <v>5</v>
      </c>
      <c r="D9">
        <v>5</v>
      </c>
      <c r="E9">
        <v>0</v>
      </c>
      <c r="F9" t="s">
        <v>56</v>
      </c>
      <c r="G9">
        <v>20765</v>
      </c>
      <c r="H9">
        <v>395062895.19999999</v>
      </c>
      <c r="I9">
        <v>1216.8</v>
      </c>
      <c r="J9">
        <v>0.75588235855102537</v>
      </c>
      <c r="K9">
        <v>0.9558139443397522</v>
      </c>
      <c r="L9">
        <v>0.74265734553337093</v>
      </c>
      <c r="M9">
        <v>0.965034965034965</v>
      </c>
      <c r="N9">
        <v>0.97906976744186047</v>
      </c>
      <c r="O9">
        <v>0.97705882352941176</v>
      </c>
      <c r="P9">
        <v>8637.7999999999993</v>
      </c>
      <c r="Q9">
        <v>800548704.39999998</v>
      </c>
      <c r="R9">
        <v>20555</v>
      </c>
      <c r="S9">
        <v>2</v>
      </c>
      <c r="T9">
        <v>93</v>
      </c>
      <c r="U9">
        <v>0.9706293706293706</v>
      </c>
      <c r="V9">
        <v>0.97674418604651159</v>
      </c>
      <c r="W9">
        <v>0.99</v>
      </c>
      <c r="X9">
        <v>10000</v>
      </c>
      <c r="Y9">
        <v>424048868.19999999</v>
      </c>
      <c r="Z9">
        <v>20964</v>
      </c>
      <c r="AA9">
        <v>2</v>
      </c>
      <c r="AB9">
        <v>94</v>
      </c>
      <c r="AD9">
        <f>Tabela2[[#This Row],[kan_params]]</f>
        <v>20765</v>
      </c>
      <c r="AE9">
        <f>Tabela2[[#This Row],[kan_train_acc]]</f>
        <v>0.75588235855102537</v>
      </c>
      <c r="AF9">
        <f>Tabela2[[#This Row],[kan_val_acc]]</f>
        <v>0.9558139443397522</v>
      </c>
      <c r="AG9">
        <f>Tabela2[[#This Row],[kan_test_acc]]</f>
        <v>0.74265734553337093</v>
      </c>
      <c r="AH9">
        <f>Tabela2[[#This Row],[mlp_test_acc]]</f>
        <v>0.965034965034965</v>
      </c>
      <c r="AI9">
        <f>Tabela2[[#This Row],[mlp_val_acc]]</f>
        <v>0.97906976744186047</v>
      </c>
      <c r="AJ9">
        <f>Tabela2[[#This Row],[mlp_train_acc]]</f>
        <v>0.97705882352941176</v>
      </c>
    </row>
    <row r="10" spans="1:36" hidden="1" x14ac:dyDescent="0.25">
      <c r="A10" t="s">
        <v>28</v>
      </c>
      <c r="B10">
        <v>8</v>
      </c>
      <c r="C10">
        <v>3</v>
      </c>
      <c r="D10">
        <v>2</v>
      </c>
      <c r="E10">
        <v>0</v>
      </c>
      <c r="F10" t="s">
        <v>68</v>
      </c>
      <c r="G10">
        <v>21686</v>
      </c>
      <c r="H10">
        <v>1295744783.8</v>
      </c>
      <c r="I10">
        <v>3343</v>
      </c>
      <c r="J10">
        <v>0.96352941989898677</v>
      </c>
      <c r="K10">
        <v>0.97674417495727539</v>
      </c>
      <c r="L10">
        <v>0.93986014127731321</v>
      </c>
      <c r="M10">
        <v>0.97762237762237769</v>
      </c>
      <c r="N10">
        <v>0.96976744186046515</v>
      </c>
      <c r="O10">
        <v>0.97941176470588232</v>
      </c>
      <c r="P10">
        <v>10000</v>
      </c>
      <c r="Q10">
        <v>1053533513.4</v>
      </c>
      <c r="R10">
        <v>21377</v>
      </c>
      <c r="S10">
        <v>2</v>
      </c>
      <c r="T10">
        <v>95</v>
      </c>
      <c r="U10">
        <v>0.96923076923076923</v>
      </c>
      <c r="V10">
        <v>0.97441860465116281</v>
      </c>
      <c r="W10">
        <v>0.97529411764705876</v>
      </c>
      <c r="X10">
        <v>5821.4</v>
      </c>
      <c r="Y10">
        <v>552075719.39999998</v>
      </c>
      <c r="Z10">
        <v>21794</v>
      </c>
      <c r="AA10">
        <v>2</v>
      </c>
      <c r="AB10">
        <v>96</v>
      </c>
      <c r="AD10">
        <f>Tabela2[[#This Row],[kan_params]]</f>
        <v>21686</v>
      </c>
      <c r="AE10">
        <f>Tabela2[[#This Row],[kan_train_acc]]</f>
        <v>0.96352941989898677</v>
      </c>
      <c r="AF10">
        <f>Tabela2[[#This Row],[kan_val_acc]]</f>
        <v>0.97674417495727539</v>
      </c>
      <c r="AG10">
        <f>Tabela2[[#This Row],[kan_test_acc]]</f>
        <v>0.93986014127731321</v>
      </c>
      <c r="AH10">
        <f>Tabela2[[#This Row],[mlp_test_acc]]</f>
        <v>0.97762237762237769</v>
      </c>
      <c r="AI10">
        <f>Tabela2[[#This Row],[mlp_val_acc]]</f>
        <v>0.96976744186046515</v>
      </c>
      <c r="AJ10">
        <f>Tabela2[[#This Row],[mlp_train_acc]]</f>
        <v>0.97941176470588232</v>
      </c>
    </row>
    <row r="11" spans="1:36" hidden="1" x14ac:dyDescent="0.25">
      <c r="A11" t="s">
        <v>28</v>
      </c>
      <c r="B11">
        <v>8</v>
      </c>
      <c r="C11">
        <v>3</v>
      </c>
      <c r="D11">
        <v>2</v>
      </c>
      <c r="E11">
        <v>0</v>
      </c>
      <c r="F11" t="s">
        <v>69</v>
      </c>
      <c r="G11">
        <v>23771</v>
      </c>
      <c r="H11">
        <v>1021731305.4</v>
      </c>
      <c r="I11">
        <v>2358.1999999999998</v>
      </c>
      <c r="J11">
        <v>1</v>
      </c>
      <c r="K11">
        <v>0.9837209224700928</v>
      </c>
      <c r="L11">
        <v>0.96503496170043945</v>
      </c>
      <c r="M11">
        <v>0.97202797202797198</v>
      </c>
      <c r="N11">
        <v>0.97209302325581393</v>
      </c>
      <c r="O11">
        <v>0.97235294117647053</v>
      </c>
      <c r="P11">
        <v>4491.2</v>
      </c>
      <c r="Q11">
        <v>436095315</v>
      </c>
      <c r="R11">
        <v>23502</v>
      </c>
      <c r="S11">
        <v>2</v>
      </c>
      <c r="T11">
        <v>100</v>
      </c>
      <c r="U11">
        <v>0.96923076923076923</v>
      </c>
      <c r="V11">
        <v>0.97441860465116281</v>
      </c>
      <c r="W11">
        <v>0.97352941176470587</v>
      </c>
      <c r="X11">
        <v>5002</v>
      </c>
      <c r="Y11">
        <v>487945389.80000001</v>
      </c>
      <c r="Z11">
        <v>23939</v>
      </c>
      <c r="AA11">
        <v>2</v>
      </c>
      <c r="AB11">
        <v>101</v>
      </c>
      <c r="AD11">
        <f>Tabela2[[#This Row],[kan_params]]</f>
        <v>23771</v>
      </c>
      <c r="AE11">
        <f>Tabela2[[#This Row],[kan_train_acc]]</f>
        <v>1</v>
      </c>
      <c r="AF11">
        <f>Tabela2[[#This Row],[kan_val_acc]]</f>
        <v>0.9837209224700928</v>
      </c>
      <c r="AG11">
        <f>Tabela2[[#This Row],[kan_test_acc]]</f>
        <v>0.96503496170043945</v>
      </c>
      <c r="AH11">
        <f>Tabela2[[#This Row],[mlp_test_acc]]</f>
        <v>0.97202797202797198</v>
      </c>
      <c r="AI11">
        <f>Tabela2[[#This Row],[mlp_val_acc]]</f>
        <v>0.97209302325581393</v>
      </c>
      <c r="AJ11">
        <f>Tabela2[[#This Row],[mlp_train_acc]]</f>
        <v>0.97235294117647053</v>
      </c>
    </row>
    <row r="12" spans="1:36" hidden="1" x14ac:dyDescent="0.25">
      <c r="A12" t="s">
        <v>28</v>
      </c>
      <c r="B12">
        <v>8</v>
      </c>
      <c r="C12">
        <v>3</v>
      </c>
      <c r="D12">
        <v>2</v>
      </c>
      <c r="E12">
        <v>0</v>
      </c>
      <c r="F12" t="s">
        <v>57</v>
      </c>
      <c r="G12">
        <v>24242</v>
      </c>
      <c r="H12">
        <v>653384579</v>
      </c>
      <c r="I12">
        <v>5029.3999999999996</v>
      </c>
      <c r="J12">
        <v>0.98117647171020506</v>
      </c>
      <c r="K12">
        <v>0.99302325248718259</v>
      </c>
      <c r="L12">
        <v>0.93006994724273684</v>
      </c>
      <c r="M12">
        <v>0.93566433566433571</v>
      </c>
      <c r="N12">
        <v>0.98837209302325579</v>
      </c>
      <c r="O12">
        <v>0.98176470588235298</v>
      </c>
      <c r="P12">
        <v>10000</v>
      </c>
      <c r="Q12">
        <v>484456556.39999998</v>
      </c>
      <c r="R12">
        <v>23939</v>
      </c>
      <c r="S12">
        <v>2</v>
      </c>
      <c r="T12">
        <v>101</v>
      </c>
      <c r="U12">
        <v>0.93426573426573434</v>
      </c>
      <c r="V12">
        <v>0.98837209302325579</v>
      </c>
      <c r="W12">
        <v>0.9882352941176471</v>
      </c>
      <c r="X12">
        <v>8692.2000000000007</v>
      </c>
      <c r="Y12">
        <v>236712383</v>
      </c>
      <c r="Z12">
        <v>24380</v>
      </c>
      <c r="AA12">
        <v>2</v>
      </c>
      <c r="AB12">
        <v>102</v>
      </c>
      <c r="AD12">
        <f>Tabela2[[#This Row],[kan_params]]</f>
        <v>24242</v>
      </c>
      <c r="AE12">
        <f>Tabela2[[#This Row],[kan_train_acc]]</f>
        <v>0.98117647171020506</v>
      </c>
      <c r="AF12">
        <f>Tabela2[[#This Row],[kan_val_acc]]</f>
        <v>0.99302325248718259</v>
      </c>
      <c r="AG12">
        <f>Tabela2[[#This Row],[kan_test_acc]]</f>
        <v>0.93006994724273684</v>
      </c>
      <c r="AH12">
        <f>Tabela2[[#This Row],[mlp_test_acc]]</f>
        <v>0.93566433566433571</v>
      </c>
      <c r="AI12">
        <f>Tabela2[[#This Row],[mlp_val_acc]]</f>
        <v>0.98837209302325579</v>
      </c>
      <c r="AJ12">
        <f>Tabela2[[#This Row],[mlp_train_acc]]</f>
        <v>0.98176470588235298</v>
      </c>
    </row>
    <row r="13" spans="1:36" x14ac:dyDescent="0.25">
      <c r="A13" t="s">
        <v>28</v>
      </c>
      <c r="B13">
        <v>16</v>
      </c>
      <c r="C13">
        <v>5</v>
      </c>
      <c r="D13">
        <v>5</v>
      </c>
      <c r="E13">
        <v>0</v>
      </c>
      <c r="F13" t="s">
        <v>64</v>
      </c>
      <c r="G13">
        <v>24610</v>
      </c>
      <c r="H13">
        <v>416628284.80000001</v>
      </c>
      <c r="I13">
        <v>1161.8</v>
      </c>
      <c r="J13">
        <v>0.58882353305816648</v>
      </c>
      <c r="K13">
        <v>0.9255813837051392</v>
      </c>
      <c r="L13">
        <v>0.61118880510330198</v>
      </c>
      <c r="M13">
        <v>0.96783216783216774</v>
      </c>
      <c r="N13">
        <v>0.97674418604651159</v>
      </c>
      <c r="O13">
        <v>0.98117647058823532</v>
      </c>
      <c r="P13">
        <v>7486.8</v>
      </c>
      <c r="Q13">
        <v>797540195.20000005</v>
      </c>
      <c r="R13">
        <v>24380</v>
      </c>
      <c r="S13">
        <v>2</v>
      </c>
      <c r="T13">
        <v>102</v>
      </c>
      <c r="U13">
        <v>0.96923076923076923</v>
      </c>
      <c r="V13">
        <v>0.97674418604651159</v>
      </c>
      <c r="W13">
        <v>0.96823529411764708</v>
      </c>
      <c r="X13">
        <v>6338</v>
      </c>
      <c r="Y13">
        <v>547602277.79999995</v>
      </c>
      <c r="Z13">
        <v>24825</v>
      </c>
      <c r="AA13">
        <v>2</v>
      </c>
      <c r="AB13">
        <v>103</v>
      </c>
      <c r="AD13">
        <f>Tabela2[[#This Row],[kan_params]]</f>
        <v>24610</v>
      </c>
      <c r="AE13">
        <f>Tabela2[[#This Row],[kan_train_acc]]</f>
        <v>0.58882353305816648</v>
      </c>
      <c r="AF13">
        <f>Tabela2[[#This Row],[kan_val_acc]]</f>
        <v>0.9255813837051392</v>
      </c>
      <c r="AG13">
        <f>Tabela2[[#This Row],[kan_test_acc]]</f>
        <v>0.61118880510330198</v>
      </c>
      <c r="AH13">
        <f>Tabela2[[#This Row],[mlp_test_acc]]</f>
        <v>0.96783216783216774</v>
      </c>
      <c r="AI13">
        <f>Tabela2[[#This Row],[mlp_val_acc]]</f>
        <v>0.97674418604651159</v>
      </c>
      <c r="AJ13">
        <f>Tabela2[[#This Row],[mlp_train_acc]]</f>
        <v>0.98117647058823532</v>
      </c>
    </row>
    <row r="14" spans="1:36" hidden="1" x14ac:dyDescent="0.25">
      <c r="A14" t="s">
        <v>28</v>
      </c>
      <c r="B14">
        <v>8</v>
      </c>
      <c r="C14">
        <v>3</v>
      </c>
      <c r="D14">
        <v>2</v>
      </c>
      <c r="E14">
        <v>0</v>
      </c>
      <c r="F14" t="s">
        <v>70</v>
      </c>
      <c r="G14">
        <v>25856</v>
      </c>
      <c r="H14">
        <v>812788186.60000002</v>
      </c>
      <c r="I14">
        <v>1909.4</v>
      </c>
      <c r="J14">
        <v>0.96529412269592285</v>
      </c>
      <c r="K14">
        <v>0.9837209224700928</v>
      </c>
      <c r="L14">
        <v>0.93426573276519775</v>
      </c>
      <c r="M14">
        <v>0.97202797202797209</v>
      </c>
      <c r="N14">
        <v>0.97674418604651159</v>
      </c>
      <c r="O14">
        <v>0.98529411764705876</v>
      </c>
      <c r="P14">
        <v>10000</v>
      </c>
      <c r="Q14">
        <v>995238351.39999998</v>
      </c>
      <c r="R14">
        <v>25727</v>
      </c>
      <c r="S14">
        <v>2</v>
      </c>
      <c r="T14">
        <v>105</v>
      </c>
      <c r="U14">
        <v>0.96223776223776225</v>
      </c>
      <c r="V14">
        <v>0.97441860465116281</v>
      </c>
      <c r="W14">
        <v>0.97647058823529409</v>
      </c>
      <c r="X14">
        <v>7204.6</v>
      </c>
      <c r="Y14">
        <v>654978950.20000005</v>
      </c>
      <c r="Z14">
        <v>26184</v>
      </c>
      <c r="AA14">
        <v>2</v>
      </c>
      <c r="AB14">
        <v>106</v>
      </c>
      <c r="AD14">
        <f>Tabela2[[#This Row],[kan_params]]</f>
        <v>25856</v>
      </c>
      <c r="AE14">
        <f>Tabela2[[#This Row],[kan_train_acc]]</f>
        <v>0.96529412269592285</v>
      </c>
      <c r="AF14">
        <f>Tabela2[[#This Row],[kan_val_acc]]</f>
        <v>0.9837209224700928</v>
      </c>
      <c r="AG14">
        <f>Tabela2[[#This Row],[kan_test_acc]]</f>
        <v>0.93426573276519775</v>
      </c>
      <c r="AH14">
        <f>Tabela2[[#This Row],[mlp_test_acc]]</f>
        <v>0.97202797202797209</v>
      </c>
      <c r="AI14">
        <f>Tabela2[[#This Row],[mlp_val_acc]]</f>
        <v>0.97674418604651159</v>
      </c>
      <c r="AJ14">
        <f>Tabela2[[#This Row],[mlp_train_acc]]</f>
        <v>0.98529411764705876</v>
      </c>
    </row>
    <row r="15" spans="1:36" hidden="1" x14ac:dyDescent="0.25">
      <c r="A15" t="s">
        <v>28</v>
      </c>
      <c r="B15">
        <v>8</v>
      </c>
      <c r="C15">
        <v>3</v>
      </c>
      <c r="D15">
        <v>2</v>
      </c>
      <c r="E15">
        <v>0</v>
      </c>
      <c r="F15" t="s">
        <v>58</v>
      </c>
      <c r="G15">
        <v>26327</v>
      </c>
      <c r="H15">
        <v>646790718.39999998</v>
      </c>
      <c r="I15">
        <v>4999.8</v>
      </c>
      <c r="J15">
        <v>0.99176470041275022</v>
      </c>
      <c r="K15">
        <v>0.99302325248718259</v>
      </c>
      <c r="L15">
        <v>0.93286712169647212</v>
      </c>
      <c r="M15">
        <v>0.93006993006993011</v>
      </c>
      <c r="N15">
        <v>0.99302325581395345</v>
      </c>
      <c r="O15">
        <v>0.98058823529411765</v>
      </c>
      <c r="P15">
        <v>8080</v>
      </c>
      <c r="Q15">
        <v>742458579.79999995</v>
      </c>
      <c r="R15">
        <v>26184</v>
      </c>
      <c r="S15">
        <v>2</v>
      </c>
      <c r="T15">
        <v>106</v>
      </c>
      <c r="U15">
        <v>0.93146853146853148</v>
      </c>
      <c r="V15">
        <v>0.98604651162790691</v>
      </c>
      <c r="W15">
        <v>0.98117647058823532</v>
      </c>
      <c r="X15">
        <v>8579.4</v>
      </c>
      <c r="Y15">
        <v>452421454</v>
      </c>
      <c r="Z15">
        <v>26645</v>
      </c>
      <c r="AA15">
        <v>2</v>
      </c>
      <c r="AB15">
        <v>107</v>
      </c>
      <c r="AD15">
        <f>Tabela2[[#This Row],[kan_params]]</f>
        <v>26327</v>
      </c>
      <c r="AE15">
        <f>Tabela2[[#This Row],[kan_train_acc]]</f>
        <v>0.99176470041275022</v>
      </c>
      <c r="AF15">
        <f>Tabela2[[#This Row],[kan_val_acc]]</f>
        <v>0.99302325248718259</v>
      </c>
      <c r="AG15">
        <f>Tabela2[[#This Row],[kan_test_acc]]</f>
        <v>0.93286712169647212</v>
      </c>
      <c r="AH15">
        <f>Tabela2[[#This Row],[mlp_test_acc]]</f>
        <v>0.93006993006993011</v>
      </c>
      <c r="AI15">
        <f>Tabela2[[#This Row],[mlp_val_acc]]</f>
        <v>0.99302325581395345</v>
      </c>
      <c r="AJ15">
        <f>Tabela2[[#This Row],[mlp_train_acc]]</f>
        <v>0.98058823529411765</v>
      </c>
    </row>
    <row r="16" spans="1:36" hidden="1" x14ac:dyDescent="0.25">
      <c r="A16" t="s">
        <v>28</v>
      </c>
      <c r="B16">
        <v>8</v>
      </c>
      <c r="C16">
        <v>3</v>
      </c>
      <c r="D16">
        <v>2</v>
      </c>
      <c r="E16">
        <v>0</v>
      </c>
      <c r="F16" t="s">
        <v>59</v>
      </c>
      <c r="G16">
        <v>28412</v>
      </c>
      <c r="H16">
        <v>737587028</v>
      </c>
      <c r="I16">
        <v>3261.2</v>
      </c>
      <c r="J16">
        <v>0.99647058248519893</v>
      </c>
      <c r="K16">
        <v>0.9883720874786377</v>
      </c>
      <c r="L16">
        <v>0.93566433191299436</v>
      </c>
      <c r="M16">
        <v>0.93006993006993011</v>
      </c>
      <c r="N16">
        <v>0.98372093023255813</v>
      </c>
      <c r="O16">
        <v>0.98470588235294121</v>
      </c>
      <c r="P16">
        <v>8679.2000000000007</v>
      </c>
      <c r="Q16">
        <v>1014916114.2</v>
      </c>
      <c r="R16">
        <v>28052</v>
      </c>
      <c r="S16">
        <v>2</v>
      </c>
      <c r="T16">
        <v>110</v>
      </c>
      <c r="U16">
        <v>0.92587412587412588</v>
      </c>
      <c r="V16">
        <v>0.99069767441860468</v>
      </c>
      <c r="W16">
        <v>0.98</v>
      </c>
      <c r="X16">
        <v>4464.6000000000004</v>
      </c>
      <c r="Y16">
        <v>392894288.60000002</v>
      </c>
      <c r="Z16">
        <v>28529</v>
      </c>
      <c r="AA16">
        <v>2</v>
      </c>
      <c r="AB16">
        <v>111</v>
      </c>
      <c r="AD16">
        <f>Tabela2[[#This Row],[kan_params]]</f>
        <v>28412</v>
      </c>
      <c r="AE16">
        <f>Tabela2[[#This Row],[kan_train_acc]]</f>
        <v>0.99647058248519893</v>
      </c>
      <c r="AF16">
        <f>Tabela2[[#This Row],[kan_val_acc]]</f>
        <v>0.9883720874786377</v>
      </c>
      <c r="AG16">
        <f>Tabela2[[#This Row],[kan_test_acc]]</f>
        <v>0.93566433191299436</v>
      </c>
      <c r="AH16">
        <f>Tabela2[[#This Row],[mlp_test_acc]]</f>
        <v>0.93006993006993011</v>
      </c>
      <c r="AI16">
        <f>Tabela2[[#This Row],[mlp_val_acc]]</f>
        <v>0.98372093023255813</v>
      </c>
      <c r="AJ16">
        <f>Tabela2[[#This Row],[mlp_train_acc]]</f>
        <v>0.98470588235294121</v>
      </c>
    </row>
    <row r="17" spans="1:36" x14ac:dyDescent="0.25">
      <c r="A17" t="s">
        <v>28</v>
      </c>
      <c r="B17">
        <v>16</v>
      </c>
      <c r="C17">
        <v>5</v>
      </c>
      <c r="D17">
        <v>5</v>
      </c>
      <c r="E17">
        <v>0</v>
      </c>
      <c r="F17" t="s">
        <v>65</v>
      </c>
      <c r="G17">
        <v>28455</v>
      </c>
      <c r="H17">
        <v>463328362</v>
      </c>
      <c r="I17">
        <v>1163</v>
      </c>
      <c r="J17">
        <v>0.70529410839080808</v>
      </c>
      <c r="K17">
        <v>0.93953486680984499</v>
      </c>
      <c r="L17">
        <v>0.70769230723381038</v>
      </c>
      <c r="M17">
        <v>0.95524475524475516</v>
      </c>
      <c r="N17">
        <v>0.96511627906976738</v>
      </c>
      <c r="O17">
        <v>0.97882352941176476</v>
      </c>
      <c r="P17">
        <v>8214.6</v>
      </c>
      <c r="Q17">
        <v>949014785.39999998</v>
      </c>
      <c r="R17">
        <v>28052</v>
      </c>
      <c r="S17">
        <v>2</v>
      </c>
      <c r="T17">
        <v>110</v>
      </c>
      <c r="U17">
        <v>0.96083916083916077</v>
      </c>
      <c r="V17">
        <v>0.96511627906976738</v>
      </c>
      <c r="W17">
        <v>0.98</v>
      </c>
      <c r="X17">
        <v>8221.4</v>
      </c>
      <c r="Y17">
        <v>952135822.60000002</v>
      </c>
      <c r="Z17">
        <v>28529</v>
      </c>
      <c r="AA17">
        <v>2</v>
      </c>
      <c r="AB17">
        <v>111</v>
      </c>
      <c r="AD17">
        <f>Tabela2[[#This Row],[kan_params]]</f>
        <v>28455</v>
      </c>
      <c r="AE17">
        <f>Tabela2[[#This Row],[kan_train_acc]]</f>
        <v>0.70529410839080808</v>
      </c>
      <c r="AF17">
        <f>Tabela2[[#This Row],[kan_val_acc]]</f>
        <v>0.93953486680984499</v>
      </c>
      <c r="AG17">
        <f>Tabela2[[#This Row],[kan_test_acc]]</f>
        <v>0.70769230723381038</v>
      </c>
      <c r="AH17">
        <f>Tabela2[[#This Row],[mlp_test_acc]]</f>
        <v>0.95524475524475516</v>
      </c>
      <c r="AI17">
        <f>Tabela2[[#This Row],[mlp_val_acc]]</f>
        <v>0.96511627906976738</v>
      </c>
      <c r="AJ17">
        <f>Tabela2[[#This Row],[mlp_train_acc]]</f>
        <v>0.97882352941176476</v>
      </c>
    </row>
    <row r="18" spans="1:36" hidden="1" x14ac:dyDescent="0.25">
      <c r="A18" t="s">
        <v>28</v>
      </c>
      <c r="B18">
        <v>8</v>
      </c>
      <c r="C18">
        <v>3</v>
      </c>
      <c r="D18">
        <v>2</v>
      </c>
      <c r="E18">
        <v>0</v>
      </c>
      <c r="F18" t="s">
        <v>60</v>
      </c>
      <c r="G18">
        <v>30497</v>
      </c>
      <c r="H18">
        <v>852038998</v>
      </c>
      <c r="I18">
        <v>1580.2</v>
      </c>
      <c r="J18">
        <v>1</v>
      </c>
      <c r="K18">
        <v>0.98139533996582029</v>
      </c>
      <c r="L18">
        <v>0.94685313701629636</v>
      </c>
      <c r="M18">
        <v>0.94125874125874132</v>
      </c>
      <c r="N18">
        <v>0.97441860465116281</v>
      </c>
      <c r="O18">
        <v>0.98764705882352943</v>
      </c>
      <c r="P18">
        <v>9950.7999999999993</v>
      </c>
      <c r="Q18">
        <v>870141726.79999995</v>
      </c>
      <c r="R18">
        <v>30477</v>
      </c>
      <c r="S18">
        <v>2</v>
      </c>
      <c r="T18">
        <v>115</v>
      </c>
      <c r="U18">
        <v>0.93706293706293708</v>
      </c>
      <c r="V18">
        <v>0.98837209302325579</v>
      </c>
      <c r="W18">
        <v>0.98294117647058821</v>
      </c>
      <c r="X18">
        <v>6832</v>
      </c>
      <c r="Y18">
        <v>392966710.80000001</v>
      </c>
      <c r="Z18">
        <v>30974</v>
      </c>
      <c r="AA18">
        <v>2</v>
      </c>
      <c r="AB18">
        <v>116</v>
      </c>
      <c r="AD18">
        <f>Tabela2[[#This Row],[kan_params]]</f>
        <v>30497</v>
      </c>
      <c r="AE18">
        <f>Tabela2[[#This Row],[kan_train_acc]]</f>
        <v>1</v>
      </c>
      <c r="AF18">
        <f>Tabela2[[#This Row],[kan_val_acc]]</f>
        <v>0.98139533996582029</v>
      </c>
      <c r="AG18">
        <f>Tabela2[[#This Row],[kan_test_acc]]</f>
        <v>0.94685313701629636</v>
      </c>
      <c r="AH18">
        <f>Tabela2[[#This Row],[mlp_test_acc]]</f>
        <v>0.94125874125874132</v>
      </c>
      <c r="AI18">
        <f>Tabela2[[#This Row],[mlp_val_acc]]</f>
        <v>0.97441860465116281</v>
      </c>
      <c r="AJ18">
        <f>Tabela2[[#This Row],[mlp_train_acc]]</f>
        <v>0.98764705882352943</v>
      </c>
    </row>
    <row r="19" spans="1:36" x14ac:dyDescent="0.25">
      <c r="A19" t="s">
        <v>28</v>
      </c>
      <c r="B19">
        <v>16</v>
      </c>
      <c r="C19">
        <v>5</v>
      </c>
      <c r="D19">
        <v>5</v>
      </c>
      <c r="E19">
        <v>0</v>
      </c>
      <c r="F19" t="s">
        <v>66</v>
      </c>
      <c r="G19">
        <v>32300</v>
      </c>
      <c r="H19">
        <v>649029700.20000005</v>
      </c>
      <c r="I19">
        <v>1260.5999999999999</v>
      </c>
      <c r="J19">
        <v>0.66470587849617002</v>
      </c>
      <c r="K19">
        <v>0.9441860437393188</v>
      </c>
      <c r="L19">
        <v>0.67272726893424983</v>
      </c>
      <c r="M19">
        <v>0.91468531468531467</v>
      </c>
      <c r="N19">
        <v>0.91860465116279066</v>
      </c>
      <c r="O19">
        <v>0.95647058823529418</v>
      </c>
      <c r="P19">
        <v>1108</v>
      </c>
      <c r="Q19">
        <v>68682317</v>
      </c>
      <c r="R19">
        <v>31980</v>
      </c>
      <c r="S19">
        <v>2</v>
      </c>
      <c r="T19">
        <v>118</v>
      </c>
      <c r="U19">
        <v>0.91188811188811181</v>
      </c>
      <c r="V19">
        <v>0.91860465116279066</v>
      </c>
      <c r="W19">
        <v>0.95764705882352941</v>
      </c>
      <c r="X19">
        <v>1103</v>
      </c>
      <c r="Y19">
        <v>58253452</v>
      </c>
      <c r="Z19">
        <v>32489</v>
      </c>
      <c r="AA19">
        <v>2</v>
      </c>
      <c r="AB19">
        <v>119</v>
      </c>
      <c r="AD19">
        <f>Tabela2[[#This Row],[kan_params]]</f>
        <v>32300</v>
      </c>
      <c r="AE19">
        <f>Tabela2[[#This Row],[kan_train_acc]]</f>
        <v>0.66470587849617002</v>
      </c>
      <c r="AF19">
        <f>Tabela2[[#This Row],[kan_val_acc]]</f>
        <v>0.9441860437393188</v>
      </c>
      <c r="AG19">
        <f>Tabela2[[#This Row],[kan_test_acc]]</f>
        <v>0.67272726893424983</v>
      </c>
      <c r="AH19">
        <f>Tabela2[[#This Row],[mlp_test_acc]]</f>
        <v>0.91468531468531467</v>
      </c>
      <c r="AI19">
        <f>Tabela2[[#This Row],[mlp_val_acc]]</f>
        <v>0.91860465116279066</v>
      </c>
      <c r="AJ19">
        <f>Tabela2[[#This Row],[mlp_train_acc]]</f>
        <v>0.95647058823529418</v>
      </c>
    </row>
    <row r="20" spans="1:36" hidden="1" x14ac:dyDescent="0.25">
      <c r="A20" t="s">
        <v>28</v>
      </c>
      <c r="B20">
        <v>8</v>
      </c>
      <c r="C20">
        <v>3</v>
      </c>
      <c r="D20">
        <v>2</v>
      </c>
      <c r="E20">
        <v>0</v>
      </c>
      <c r="F20" t="s">
        <v>61</v>
      </c>
      <c r="G20">
        <v>32582</v>
      </c>
      <c r="H20">
        <v>969546631.39999998</v>
      </c>
      <c r="I20">
        <v>1736.4</v>
      </c>
      <c r="J20">
        <v>1</v>
      </c>
      <c r="K20">
        <v>0.9790697574615479</v>
      </c>
      <c r="L20">
        <v>0.9398601293563843</v>
      </c>
      <c r="M20">
        <v>0.95244755244755241</v>
      </c>
      <c r="N20">
        <v>0.97441860465116281</v>
      </c>
      <c r="O20">
        <v>0.98352941176470587</v>
      </c>
      <c r="P20">
        <v>9634.2000000000007</v>
      </c>
      <c r="Q20">
        <v>639053307.39999998</v>
      </c>
      <c r="R20">
        <v>32489</v>
      </c>
      <c r="S20">
        <v>2</v>
      </c>
      <c r="T20">
        <v>119</v>
      </c>
      <c r="U20">
        <v>0.95104895104895104</v>
      </c>
      <c r="V20">
        <v>0.96976744186046515</v>
      </c>
      <c r="W20">
        <v>0.98117647058823532</v>
      </c>
      <c r="X20">
        <v>8727.2000000000007</v>
      </c>
      <c r="Y20">
        <v>214039740.40000001</v>
      </c>
      <c r="Z20">
        <v>33002</v>
      </c>
      <c r="AA20">
        <v>2</v>
      </c>
      <c r="AB20">
        <v>120</v>
      </c>
      <c r="AD20">
        <f>Tabela2[[#This Row],[kan_params]]</f>
        <v>32582</v>
      </c>
      <c r="AE20">
        <f>Tabela2[[#This Row],[kan_train_acc]]</f>
        <v>1</v>
      </c>
      <c r="AF20">
        <f>Tabela2[[#This Row],[kan_val_acc]]</f>
        <v>0.9790697574615479</v>
      </c>
      <c r="AG20">
        <f>Tabela2[[#This Row],[kan_test_acc]]</f>
        <v>0.9398601293563843</v>
      </c>
      <c r="AH20">
        <f>Tabela2[[#This Row],[mlp_test_acc]]</f>
        <v>0.95244755244755241</v>
      </c>
      <c r="AI20">
        <f>Tabela2[[#This Row],[mlp_val_acc]]</f>
        <v>0.97441860465116281</v>
      </c>
      <c r="AJ20">
        <f>Tabela2[[#This Row],[mlp_train_acc]]</f>
        <v>0.98352941176470587</v>
      </c>
    </row>
    <row r="21" spans="1:36" hidden="1" x14ac:dyDescent="0.25">
      <c r="A21" t="s">
        <v>28</v>
      </c>
      <c r="B21">
        <v>8</v>
      </c>
      <c r="C21">
        <v>3</v>
      </c>
      <c r="D21">
        <v>2</v>
      </c>
      <c r="E21">
        <v>0</v>
      </c>
      <c r="F21" t="s">
        <v>62</v>
      </c>
      <c r="G21">
        <v>34667</v>
      </c>
      <c r="H21">
        <v>920276349.20000005</v>
      </c>
      <c r="I21">
        <v>3383.8</v>
      </c>
      <c r="J21">
        <v>0.99705882072448726</v>
      </c>
      <c r="K21">
        <v>0.98139533996582029</v>
      </c>
      <c r="L21">
        <v>0.96083916425704952</v>
      </c>
      <c r="M21">
        <v>0.94545454545454544</v>
      </c>
      <c r="N21">
        <v>0.97209302325581393</v>
      </c>
      <c r="O21">
        <v>0.98176470588235298</v>
      </c>
      <c r="P21">
        <v>9508.4</v>
      </c>
      <c r="Q21">
        <v>1024573778</v>
      </c>
      <c r="R21">
        <v>34565</v>
      </c>
      <c r="S21">
        <v>2</v>
      </c>
      <c r="T21">
        <v>123</v>
      </c>
      <c r="U21">
        <v>0.94405594405594406</v>
      </c>
      <c r="V21">
        <v>0.97441860465116281</v>
      </c>
      <c r="W21">
        <v>0.97882352941176465</v>
      </c>
      <c r="X21">
        <v>8610.7999999999993</v>
      </c>
      <c r="Y21">
        <v>660920320.20000005</v>
      </c>
      <c r="Z21">
        <v>35094</v>
      </c>
      <c r="AA21">
        <v>2</v>
      </c>
      <c r="AB21">
        <v>124</v>
      </c>
      <c r="AD21">
        <f>Tabela2[[#This Row],[kan_params]]</f>
        <v>34667</v>
      </c>
      <c r="AE21">
        <f>Tabela2[[#This Row],[kan_train_acc]]</f>
        <v>0.99705882072448726</v>
      </c>
      <c r="AF21">
        <f>Tabela2[[#This Row],[kan_val_acc]]</f>
        <v>0.98139533996582029</v>
      </c>
      <c r="AG21">
        <f>Tabela2[[#This Row],[kan_test_acc]]</f>
        <v>0.96083916425704952</v>
      </c>
      <c r="AH21">
        <f>Tabela2[[#This Row],[mlp_test_acc]]</f>
        <v>0.94545454545454544</v>
      </c>
      <c r="AI21">
        <f>Tabela2[[#This Row],[mlp_val_acc]]</f>
        <v>0.97209302325581393</v>
      </c>
      <c r="AJ21">
        <f>Tabela2[[#This Row],[mlp_train_acc]]</f>
        <v>0.98176470588235298</v>
      </c>
    </row>
    <row r="22" spans="1:36" x14ac:dyDescent="0.25">
      <c r="A22" t="s">
        <v>28</v>
      </c>
      <c r="B22">
        <v>16</v>
      </c>
      <c r="C22">
        <v>5</v>
      </c>
      <c r="D22">
        <v>5</v>
      </c>
      <c r="E22">
        <v>0</v>
      </c>
      <c r="F22" t="s">
        <v>67</v>
      </c>
      <c r="G22">
        <v>36145</v>
      </c>
      <c r="H22">
        <v>650469215.39999998</v>
      </c>
      <c r="I22">
        <v>1083.4000000000001</v>
      </c>
      <c r="J22">
        <v>0.64705882072448728</v>
      </c>
      <c r="K22">
        <v>0.92558139562606812</v>
      </c>
      <c r="L22">
        <v>0.65734264850616453</v>
      </c>
      <c r="M22">
        <v>0.91748251748251741</v>
      </c>
      <c r="N22">
        <v>0.91860465116279066</v>
      </c>
      <c r="O22">
        <v>0.95764705882352941</v>
      </c>
      <c r="P22">
        <v>1099.5999999999999</v>
      </c>
      <c r="Q22">
        <v>114819084.8</v>
      </c>
      <c r="R22">
        <v>35627</v>
      </c>
      <c r="S22">
        <v>2</v>
      </c>
      <c r="T22">
        <v>125</v>
      </c>
      <c r="U22">
        <v>0.91468531468531467</v>
      </c>
      <c r="V22">
        <v>0.91860465116279066</v>
      </c>
      <c r="W22">
        <v>0.95764705882352941</v>
      </c>
      <c r="X22">
        <v>1091.2</v>
      </c>
      <c r="Y22">
        <v>124279447.40000001</v>
      </c>
      <c r="Z22">
        <v>36164</v>
      </c>
      <c r="AA22">
        <v>2</v>
      </c>
      <c r="AB22">
        <v>126</v>
      </c>
      <c r="AD22">
        <f>Tabela2[[#This Row],[kan_params]]</f>
        <v>36145</v>
      </c>
      <c r="AE22">
        <f>Tabela2[[#This Row],[kan_train_acc]]</f>
        <v>0.64705882072448728</v>
      </c>
      <c r="AF22">
        <f>Tabela2[[#This Row],[kan_val_acc]]</f>
        <v>0.92558139562606812</v>
      </c>
      <c r="AG22">
        <f>Tabela2[[#This Row],[kan_test_acc]]</f>
        <v>0.65734264850616453</v>
      </c>
      <c r="AH22">
        <f>Tabela2[[#This Row],[mlp_test_acc]]</f>
        <v>0.91748251748251741</v>
      </c>
      <c r="AI22">
        <f>Tabela2[[#This Row],[mlp_val_acc]]</f>
        <v>0.91860465116279066</v>
      </c>
      <c r="AJ22">
        <f>Tabela2[[#This Row],[mlp_train_acc]]</f>
        <v>0.95764705882352941</v>
      </c>
    </row>
    <row r="23" spans="1:36" hidden="1" x14ac:dyDescent="0.25">
      <c r="A23" t="s">
        <v>28</v>
      </c>
      <c r="B23">
        <v>8</v>
      </c>
      <c r="C23">
        <v>3</v>
      </c>
      <c r="D23">
        <v>2</v>
      </c>
      <c r="E23">
        <v>0</v>
      </c>
      <c r="F23" t="s">
        <v>63</v>
      </c>
      <c r="G23">
        <v>36752</v>
      </c>
      <c r="H23">
        <v>1071098162</v>
      </c>
      <c r="I23">
        <v>1709.4</v>
      </c>
      <c r="J23">
        <v>1</v>
      </c>
      <c r="K23">
        <v>0.98139533996582029</v>
      </c>
      <c r="L23">
        <v>0.94265732765197752</v>
      </c>
      <c r="M23">
        <v>0.95524475524475527</v>
      </c>
      <c r="N23">
        <v>0.97209302325581393</v>
      </c>
      <c r="O23">
        <v>0.98411764705882354</v>
      </c>
      <c r="P23">
        <v>9057.7999999999993</v>
      </c>
      <c r="Q23">
        <v>1186364835.4000001</v>
      </c>
      <c r="R23">
        <v>36705</v>
      </c>
      <c r="S23">
        <v>2</v>
      </c>
      <c r="T23">
        <v>127</v>
      </c>
      <c r="U23">
        <v>0.95944055944055939</v>
      </c>
      <c r="V23">
        <v>0.97441860465116281</v>
      </c>
      <c r="W23">
        <v>0.97705882352941176</v>
      </c>
      <c r="X23">
        <v>8360.2000000000007</v>
      </c>
      <c r="Y23">
        <v>1121292883.4000001</v>
      </c>
      <c r="Z23">
        <v>37250</v>
      </c>
      <c r="AA23">
        <v>2</v>
      </c>
      <c r="AB23">
        <v>128</v>
      </c>
      <c r="AD23">
        <f>Tabela2[[#This Row],[kan_params]]</f>
        <v>36752</v>
      </c>
      <c r="AE23">
        <f>Tabela2[[#This Row],[kan_train_acc]]</f>
        <v>1</v>
      </c>
      <c r="AF23">
        <f>Tabela2[[#This Row],[kan_val_acc]]</f>
        <v>0.98139533996582029</v>
      </c>
      <c r="AG23">
        <f>Tabela2[[#This Row],[kan_test_acc]]</f>
        <v>0.94265732765197752</v>
      </c>
      <c r="AH23">
        <f>Tabela2[[#This Row],[mlp_test_acc]]</f>
        <v>0.95524475524475527</v>
      </c>
      <c r="AI23">
        <f>Tabela2[[#This Row],[mlp_val_acc]]</f>
        <v>0.97209302325581393</v>
      </c>
      <c r="AJ23">
        <f>Tabela2[[#This Row],[mlp_train_acc]]</f>
        <v>0.98411764705882354</v>
      </c>
    </row>
    <row r="24" spans="1:36" x14ac:dyDescent="0.25">
      <c r="A24" t="s">
        <v>28</v>
      </c>
      <c r="B24">
        <v>16</v>
      </c>
      <c r="C24">
        <v>5</v>
      </c>
      <c r="D24">
        <v>5</v>
      </c>
      <c r="E24">
        <v>0</v>
      </c>
      <c r="F24" t="s">
        <v>68</v>
      </c>
      <c r="G24">
        <v>39990</v>
      </c>
      <c r="H24">
        <v>816401283</v>
      </c>
      <c r="I24">
        <v>1289.5999999999999</v>
      </c>
      <c r="J24">
        <v>0.61941176652908325</v>
      </c>
      <c r="K24">
        <v>0.93023256063461301</v>
      </c>
      <c r="L24">
        <v>0.62097902297973628</v>
      </c>
      <c r="M24">
        <v>0.91048951048951043</v>
      </c>
      <c r="N24">
        <v>0.91860465116279066</v>
      </c>
      <c r="O24">
        <v>0.95764705882352941</v>
      </c>
      <c r="P24">
        <v>1107</v>
      </c>
      <c r="Q24">
        <v>127326612</v>
      </c>
      <c r="R24">
        <v>39470</v>
      </c>
      <c r="S24">
        <v>2</v>
      </c>
      <c r="T24">
        <v>132</v>
      </c>
      <c r="U24">
        <v>0.91468531468531467</v>
      </c>
      <c r="V24">
        <v>0.91860465116279066</v>
      </c>
      <c r="W24">
        <v>0.95647058823529418</v>
      </c>
      <c r="X24">
        <v>1090.8</v>
      </c>
      <c r="Y24">
        <v>122728203.8</v>
      </c>
      <c r="Z24">
        <v>40035</v>
      </c>
      <c r="AA24">
        <v>2</v>
      </c>
      <c r="AB24">
        <v>133</v>
      </c>
      <c r="AD24">
        <f>Tabela2[[#This Row],[kan_params]]</f>
        <v>39990</v>
      </c>
      <c r="AE24">
        <f>Tabela2[[#This Row],[kan_train_acc]]</f>
        <v>0.61941176652908325</v>
      </c>
      <c r="AF24">
        <f>Tabela2[[#This Row],[kan_val_acc]]</f>
        <v>0.93023256063461301</v>
      </c>
      <c r="AG24">
        <f>Tabela2[[#This Row],[kan_test_acc]]</f>
        <v>0.62097902297973628</v>
      </c>
      <c r="AH24">
        <f>Tabela2[[#This Row],[mlp_test_acc]]</f>
        <v>0.91048951048951043</v>
      </c>
      <c r="AI24">
        <f>Tabela2[[#This Row],[mlp_val_acc]]</f>
        <v>0.91860465116279066</v>
      </c>
      <c r="AJ24">
        <f>Tabela2[[#This Row],[mlp_train_acc]]</f>
        <v>0.95764705882352941</v>
      </c>
    </row>
    <row r="25" spans="1:36" x14ac:dyDescent="0.25">
      <c r="A25" t="s">
        <v>28</v>
      </c>
      <c r="B25">
        <v>16</v>
      </c>
      <c r="C25">
        <v>5</v>
      </c>
      <c r="D25">
        <v>5</v>
      </c>
      <c r="E25">
        <v>0</v>
      </c>
      <c r="F25" t="s">
        <v>69</v>
      </c>
      <c r="G25">
        <v>43835</v>
      </c>
      <c r="H25">
        <v>880365547</v>
      </c>
      <c r="I25">
        <v>1265</v>
      </c>
      <c r="J25">
        <v>0.55294116735458376</v>
      </c>
      <c r="K25">
        <v>0.93023257255554204</v>
      </c>
      <c r="L25">
        <v>0.56223775744438176</v>
      </c>
      <c r="M25">
        <v>0.92167832167832164</v>
      </c>
      <c r="N25">
        <v>0.91860465116279066</v>
      </c>
      <c r="O25">
        <v>0.95647058823529418</v>
      </c>
      <c r="P25">
        <v>1097</v>
      </c>
      <c r="Q25">
        <v>116200125.40000001</v>
      </c>
      <c r="R25">
        <v>43509</v>
      </c>
      <c r="S25">
        <v>2</v>
      </c>
      <c r="T25">
        <v>139</v>
      </c>
      <c r="U25">
        <v>0.9188811188811189</v>
      </c>
      <c r="V25">
        <v>0.91860465116279066</v>
      </c>
      <c r="W25">
        <v>0.95764705882352941</v>
      </c>
      <c r="X25">
        <v>1072.5999999999999</v>
      </c>
      <c r="Y25">
        <v>126873070.40000001</v>
      </c>
      <c r="Z25">
        <v>44102</v>
      </c>
      <c r="AA25">
        <v>2</v>
      </c>
      <c r="AB25">
        <v>140</v>
      </c>
      <c r="AD25">
        <f>Tabela2[[#This Row],[kan_params]]</f>
        <v>43835</v>
      </c>
      <c r="AE25">
        <f>Tabela2[[#This Row],[kan_train_acc]]</f>
        <v>0.55294116735458376</v>
      </c>
      <c r="AF25">
        <f>Tabela2[[#This Row],[kan_val_acc]]</f>
        <v>0.93023257255554204</v>
      </c>
      <c r="AG25">
        <f>Tabela2[[#This Row],[kan_test_acc]]</f>
        <v>0.56223775744438176</v>
      </c>
      <c r="AH25">
        <f>Tabela2[[#This Row],[mlp_test_acc]]</f>
        <v>0.92167832167832164</v>
      </c>
      <c r="AI25">
        <f>Tabela2[[#This Row],[mlp_val_acc]]</f>
        <v>0.91860465116279066</v>
      </c>
      <c r="AJ25">
        <f>Tabela2[[#This Row],[mlp_train_acc]]</f>
        <v>0.95647058823529418</v>
      </c>
    </row>
    <row r="26" spans="1:36" x14ac:dyDescent="0.25">
      <c r="A26" t="s">
        <v>28</v>
      </c>
      <c r="B26">
        <v>16</v>
      </c>
      <c r="C26">
        <v>5</v>
      </c>
      <c r="D26">
        <v>5</v>
      </c>
      <c r="E26">
        <v>0</v>
      </c>
      <c r="F26" t="s">
        <v>57</v>
      </c>
      <c r="G26">
        <v>44702</v>
      </c>
      <c r="H26">
        <v>820464585</v>
      </c>
      <c r="I26">
        <v>1007.8</v>
      </c>
      <c r="J26">
        <v>0.50941175818443296</v>
      </c>
      <c r="K26">
        <v>0.84651161432266231</v>
      </c>
      <c r="L26">
        <v>0.5118880987167358</v>
      </c>
      <c r="M26">
        <v>0.92167832167832175</v>
      </c>
      <c r="N26">
        <v>0.91860465116279066</v>
      </c>
      <c r="O26">
        <v>0.96352941176470586</v>
      </c>
      <c r="P26">
        <v>1090.8</v>
      </c>
      <c r="Q26">
        <v>125493563.8</v>
      </c>
      <c r="R26">
        <v>44699</v>
      </c>
      <c r="S26">
        <v>2</v>
      </c>
      <c r="T26">
        <v>141</v>
      </c>
      <c r="U26">
        <v>0.91608391608391604</v>
      </c>
      <c r="V26">
        <v>0.91860465116279066</v>
      </c>
      <c r="W26">
        <v>0.95882352941176474</v>
      </c>
      <c r="X26">
        <v>1085.4000000000001</v>
      </c>
      <c r="Y26">
        <v>128095939.8</v>
      </c>
      <c r="Z26">
        <v>45300</v>
      </c>
      <c r="AA26">
        <v>2</v>
      </c>
      <c r="AB26">
        <v>142</v>
      </c>
      <c r="AD26">
        <f>Tabela2[[#This Row],[kan_params]]</f>
        <v>44702</v>
      </c>
      <c r="AE26">
        <f>Tabela2[[#This Row],[kan_train_acc]]</f>
        <v>0.50941175818443296</v>
      </c>
      <c r="AF26">
        <f>Tabela2[[#This Row],[kan_val_acc]]</f>
        <v>0.84651161432266231</v>
      </c>
      <c r="AG26">
        <f>Tabela2[[#This Row],[kan_test_acc]]</f>
        <v>0.5118880987167358</v>
      </c>
      <c r="AH26">
        <f>Tabela2[[#This Row],[mlp_test_acc]]</f>
        <v>0.92167832167832175</v>
      </c>
      <c r="AI26">
        <f>Tabela2[[#This Row],[mlp_val_acc]]</f>
        <v>0.91860465116279066</v>
      </c>
      <c r="AJ26">
        <f>Tabela2[[#This Row],[mlp_train_acc]]</f>
        <v>0.96352941176470586</v>
      </c>
    </row>
    <row r="27" spans="1:36" hidden="1" x14ac:dyDescent="0.25">
      <c r="A27" t="s">
        <v>28</v>
      </c>
      <c r="B27">
        <v>14</v>
      </c>
      <c r="C27">
        <v>3</v>
      </c>
      <c r="D27">
        <v>5</v>
      </c>
      <c r="E27">
        <v>0</v>
      </c>
      <c r="F27" t="s">
        <v>34</v>
      </c>
      <c r="G27">
        <v>46266</v>
      </c>
      <c r="H27">
        <v>971056415.79999995</v>
      </c>
      <c r="I27">
        <v>1329.4</v>
      </c>
      <c r="J27">
        <v>0.49647059440612795</v>
      </c>
      <c r="K27">
        <v>0.85116279125213623</v>
      </c>
      <c r="L27">
        <v>0.48811188936233518</v>
      </c>
      <c r="M27">
        <v>0.94825174825174829</v>
      </c>
      <c r="N27">
        <v>0.95348837209302328</v>
      </c>
      <c r="O27">
        <v>0.98176470588235298</v>
      </c>
      <c r="P27">
        <v>7000.2</v>
      </c>
      <c r="Q27">
        <v>741700764.60000002</v>
      </c>
      <c r="R27">
        <v>45905</v>
      </c>
      <c r="S27">
        <v>2</v>
      </c>
      <c r="T27">
        <v>143</v>
      </c>
      <c r="U27">
        <v>0.95104895104895104</v>
      </c>
      <c r="V27">
        <v>0.94651162790697674</v>
      </c>
      <c r="W27">
        <v>0.97705882352941176</v>
      </c>
      <c r="X27">
        <v>4540.2</v>
      </c>
      <c r="Y27">
        <v>367959179.39999998</v>
      </c>
      <c r="Z27">
        <v>46514</v>
      </c>
      <c r="AA27">
        <v>2</v>
      </c>
      <c r="AB27">
        <v>144</v>
      </c>
      <c r="AD27">
        <f>Tabela2[[#This Row],[kan_params]]</f>
        <v>46266</v>
      </c>
      <c r="AE27">
        <f>Tabela2[[#This Row],[kan_train_acc]]</f>
        <v>0.49647059440612795</v>
      </c>
      <c r="AF27">
        <f>Tabela2[[#This Row],[kan_val_acc]]</f>
        <v>0.85116279125213623</v>
      </c>
      <c r="AG27">
        <f>Tabela2[[#This Row],[kan_test_acc]]</f>
        <v>0.48811188936233518</v>
      </c>
      <c r="AH27">
        <f>Tabela2[[#This Row],[mlp_test_acc]]</f>
        <v>0.94825174825174829</v>
      </c>
      <c r="AI27">
        <f>Tabela2[[#This Row],[mlp_val_acc]]</f>
        <v>0.95348837209302328</v>
      </c>
      <c r="AJ27">
        <f>Tabela2[[#This Row],[mlp_train_acc]]</f>
        <v>0.98176470588235298</v>
      </c>
    </row>
    <row r="28" spans="1:36" x14ac:dyDescent="0.25">
      <c r="A28" t="s">
        <v>28</v>
      </c>
      <c r="B28">
        <v>16</v>
      </c>
      <c r="C28">
        <v>5</v>
      </c>
      <c r="D28">
        <v>5</v>
      </c>
      <c r="E28">
        <v>0</v>
      </c>
      <c r="F28" t="s">
        <v>70</v>
      </c>
      <c r="G28">
        <v>47680</v>
      </c>
      <c r="H28">
        <v>914458079.79999995</v>
      </c>
      <c r="I28">
        <v>1244</v>
      </c>
      <c r="J28">
        <v>0.7117647171020508</v>
      </c>
      <c r="K28">
        <v>0.93023256063461301</v>
      </c>
      <c r="L28">
        <v>0.68951049447059631</v>
      </c>
      <c r="M28">
        <v>0.91608391608391604</v>
      </c>
      <c r="N28">
        <v>0.91860465116279066</v>
      </c>
      <c r="O28">
        <v>0.95882352941176474</v>
      </c>
      <c r="P28">
        <v>1100.2</v>
      </c>
      <c r="Q28">
        <v>128620839.59999999</v>
      </c>
      <c r="R28">
        <v>47127</v>
      </c>
      <c r="S28">
        <v>2</v>
      </c>
      <c r="T28">
        <v>145</v>
      </c>
      <c r="U28">
        <v>0.93566433566433571</v>
      </c>
      <c r="V28">
        <v>0.93255813953488376</v>
      </c>
      <c r="W28">
        <v>0.96352941176470586</v>
      </c>
      <c r="X28">
        <v>3203</v>
      </c>
      <c r="Y28">
        <v>396186797.60000002</v>
      </c>
      <c r="Z28">
        <v>47744</v>
      </c>
      <c r="AA28">
        <v>2</v>
      </c>
      <c r="AB28">
        <v>146</v>
      </c>
      <c r="AD28">
        <f>Tabela2[[#This Row],[kan_params]]</f>
        <v>47680</v>
      </c>
      <c r="AE28">
        <f>Tabela2[[#This Row],[kan_train_acc]]</f>
        <v>0.7117647171020508</v>
      </c>
      <c r="AF28">
        <f>Tabela2[[#This Row],[kan_val_acc]]</f>
        <v>0.93023256063461301</v>
      </c>
      <c r="AG28">
        <f>Tabela2[[#This Row],[kan_test_acc]]</f>
        <v>0.68951049447059631</v>
      </c>
      <c r="AH28">
        <f>Tabela2[[#This Row],[mlp_test_acc]]</f>
        <v>0.91608391608391604</v>
      </c>
      <c r="AI28">
        <f>Tabela2[[#This Row],[mlp_val_acc]]</f>
        <v>0.91860465116279066</v>
      </c>
      <c r="AJ28">
        <f>Tabela2[[#This Row],[mlp_train_acc]]</f>
        <v>0.95882352941176474</v>
      </c>
    </row>
    <row r="29" spans="1:36" x14ac:dyDescent="0.25">
      <c r="A29" t="s">
        <v>28</v>
      </c>
      <c r="B29">
        <v>16</v>
      </c>
      <c r="C29">
        <v>5</v>
      </c>
      <c r="D29">
        <v>5</v>
      </c>
      <c r="E29">
        <v>0</v>
      </c>
      <c r="F29" t="s">
        <v>58</v>
      </c>
      <c r="G29">
        <v>48547</v>
      </c>
      <c r="H29">
        <v>847168215.60000002</v>
      </c>
      <c r="I29">
        <v>1018.4</v>
      </c>
      <c r="J29">
        <v>0.47529411911964414</v>
      </c>
      <c r="K29">
        <v>0.81162791252136235</v>
      </c>
      <c r="L29">
        <v>0.50209789872169497</v>
      </c>
      <c r="M29">
        <v>0.91608391608391604</v>
      </c>
      <c r="N29">
        <v>0.91860465116279066</v>
      </c>
      <c r="O29">
        <v>0.95823529411764707</v>
      </c>
      <c r="P29">
        <v>1082.5999999999999</v>
      </c>
      <c r="Q29">
        <v>125527653</v>
      </c>
      <c r="R29">
        <v>48365</v>
      </c>
      <c r="S29">
        <v>2</v>
      </c>
      <c r="T29">
        <v>147</v>
      </c>
      <c r="U29">
        <v>0.92867132867132862</v>
      </c>
      <c r="V29">
        <v>0.92558139534883721</v>
      </c>
      <c r="W29">
        <v>0.96176470588235297</v>
      </c>
      <c r="X29">
        <v>1700.6</v>
      </c>
      <c r="Y29">
        <v>204176594.59999999</v>
      </c>
      <c r="Z29">
        <v>48990</v>
      </c>
      <c r="AA29">
        <v>2</v>
      </c>
      <c r="AB29">
        <v>148</v>
      </c>
      <c r="AD29">
        <f>Tabela2[[#This Row],[kan_params]]</f>
        <v>48547</v>
      </c>
      <c r="AE29">
        <f>Tabela2[[#This Row],[kan_train_acc]]</f>
        <v>0.47529411911964414</v>
      </c>
      <c r="AF29">
        <f>Tabela2[[#This Row],[kan_val_acc]]</f>
        <v>0.81162791252136235</v>
      </c>
      <c r="AG29">
        <f>Tabela2[[#This Row],[kan_test_acc]]</f>
        <v>0.50209789872169497</v>
      </c>
      <c r="AH29">
        <f>Tabela2[[#This Row],[mlp_test_acc]]</f>
        <v>0.91608391608391604</v>
      </c>
      <c r="AI29">
        <f>Tabela2[[#This Row],[mlp_val_acc]]</f>
        <v>0.91860465116279066</v>
      </c>
      <c r="AJ29">
        <f>Tabela2[[#This Row],[mlp_train_acc]]</f>
        <v>0.95823529411764707</v>
      </c>
    </row>
    <row r="30" spans="1:36" hidden="1" x14ac:dyDescent="0.25">
      <c r="A30" t="s">
        <v>28</v>
      </c>
      <c r="B30">
        <v>14</v>
      </c>
      <c r="C30">
        <v>3</v>
      </c>
      <c r="D30">
        <v>5</v>
      </c>
      <c r="E30">
        <v>0</v>
      </c>
      <c r="F30" t="s">
        <v>41</v>
      </c>
      <c r="G30">
        <v>48908</v>
      </c>
      <c r="H30">
        <v>651998267.60000002</v>
      </c>
      <c r="I30">
        <v>1117.8</v>
      </c>
      <c r="J30">
        <v>0.3152941197156906</v>
      </c>
      <c r="K30">
        <v>0.87209302186965942</v>
      </c>
      <c r="L30">
        <v>0.34965034723281863</v>
      </c>
      <c r="M30">
        <v>0.95104895104895104</v>
      </c>
      <c r="N30">
        <v>0.97441860465116281</v>
      </c>
      <c r="O30">
        <v>0.97235294117647053</v>
      </c>
      <c r="P30">
        <v>2799.8</v>
      </c>
      <c r="Q30">
        <v>198404114.80000001</v>
      </c>
      <c r="R30">
        <v>48365</v>
      </c>
      <c r="S30">
        <v>2</v>
      </c>
      <c r="T30">
        <v>147</v>
      </c>
      <c r="U30">
        <v>0.95384615384615379</v>
      </c>
      <c r="V30">
        <v>0.97209302325581393</v>
      </c>
      <c r="W30">
        <v>0.97529411764705887</v>
      </c>
      <c r="X30">
        <v>4795.2</v>
      </c>
      <c r="Y30">
        <v>208053024.80000001</v>
      </c>
      <c r="Z30">
        <v>48990</v>
      </c>
      <c r="AA30">
        <v>2</v>
      </c>
      <c r="AB30">
        <v>148</v>
      </c>
      <c r="AD30">
        <f>Tabela2[[#This Row],[kan_params]]</f>
        <v>48908</v>
      </c>
      <c r="AE30">
        <f>Tabela2[[#This Row],[kan_train_acc]]</f>
        <v>0.3152941197156906</v>
      </c>
      <c r="AF30">
        <f>Tabela2[[#This Row],[kan_val_acc]]</f>
        <v>0.87209302186965942</v>
      </c>
      <c r="AG30">
        <f>Tabela2[[#This Row],[kan_test_acc]]</f>
        <v>0.34965034723281863</v>
      </c>
      <c r="AH30">
        <f>Tabela2[[#This Row],[mlp_test_acc]]</f>
        <v>0.95104895104895104</v>
      </c>
      <c r="AI30">
        <f>Tabela2[[#This Row],[mlp_val_acc]]</f>
        <v>0.97441860465116281</v>
      </c>
      <c r="AJ30">
        <f>Tabela2[[#This Row],[mlp_train_acc]]</f>
        <v>0.97235294117647053</v>
      </c>
    </row>
    <row r="31" spans="1:36" hidden="1" x14ac:dyDescent="0.25">
      <c r="A31" t="s">
        <v>28</v>
      </c>
      <c r="B31">
        <v>14</v>
      </c>
      <c r="C31">
        <v>5</v>
      </c>
      <c r="D31">
        <v>4</v>
      </c>
      <c r="E31">
        <v>0</v>
      </c>
      <c r="F31" t="s">
        <v>48</v>
      </c>
      <c r="G31">
        <v>49210</v>
      </c>
      <c r="H31">
        <v>778008735.60000002</v>
      </c>
      <c r="I31">
        <v>1155</v>
      </c>
      <c r="J31">
        <v>0.41470588445663453</v>
      </c>
      <c r="K31">
        <v>0.87209302186965942</v>
      </c>
      <c r="L31">
        <v>0.46433566212654115</v>
      </c>
      <c r="M31">
        <v>0.95104895104895104</v>
      </c>
      <c r="N31">
        <v>0.98372093023255813</v>
      </c>
      <c r="O31">
        <v>0.99</v>
      </c>
      <c r="P31">
        <v>10000</v>
      </c>
      <c r="Q31">
        <v>583789656.39999998</v>
      </c>
      <c r="R31">
        <v>48990</v>
      </c>
      <c r="S31">
        <v>2</v>
      </c>
      <c r="T31">
        <v>148</v>
      </c>
      <c r="U31">
        <v>0.94405594405594406</v>
      </c>
      <c r="V31">
        <v>0.98139534883720925</v>
      </c>
      <c r="W31">
        <v>0.98352941176470587</v>
      </c>
      <c r="X31">
        <v>10000</v>
      </c>
      <c r="Y31">
        <v>369421642.80000001</v>
      </c>
      <c r="Z31">
        <v>49619</v>
      </c>
      <c r="AA31">
        <v>2</v>
      </c>
      <c r="AB31">
        <v>149</v>
      </c>
      <c r="AD31">
        <f>Tabela2[[#This Row],[kan_params]]</f>
        <v>49210</v>
      </c>
      <c r="AE31">
        <f>Tabela2[[#This Row],[kan_train_acc]]</f>
        <v>0.41470588445663453</v>
      </c>
      <c r="AF31">
        <f>Tabela2[[#This Row],[kan_val_acc]]</f>
        <v>0.87209302186965942</v>
      </c>
      <c r="AG31">
        <f>Tabela2[[#This Row],[kan_test_acc]]</f>
        <v>0.46433566212654115</v>
      </c>
      <c r="AH31">
        <f>Tabela2[[#This Row],[mlp_test_acc]]</f>
        <v>0.95104895104895104</v>
      </c>
      <c r="AI31">
        <f>Tabela2[[#This Row],[mlp_val_acc]]</f>
        <v>0.98372093023255813</v>
      </c>
      <c r="AJ31">
        <f>Tabela2[[#This Row],[mlp_train_acc]]</f>
        <v>0.99</v>
      </c>
    </row>
    <row r="32" spans="1:36" hidden="1" x14ac:dyDescent="0.25">
      <c r="A32" t="s">
        <v>28</v>
      </c>
      <c r="B32">
        <v>14</v>
      </c>
      <c r="C32">
        <v>3</v>
      </c>
      <c r="D32">
        <v>5</v>
      </c>
      <c r="E32">
        <v>0</v>
      </c>
      <c r="F32" t="s">
        <v>35</v>
      </c>
      <c r="G32">
        <v>50231</v>
      </c>
      <c r="H32">
        <v>818624445.79999995</v>
      </c>
      <c r="I32">
        <v>1062.4000000000001</v>
      </c>
      <c r="J32">
        <v>0.61294118165969846</v>
      </c>
      <c r="K32">
        <v>0.79069766998291013</v>
      </c>
      <c r="L32">
        <v>0.61398601531982422</v>
      </c>
      <c r="M32">
        <v>0.95104895104895104</v>
      </c>
      <c r="N32">
        <v>0.94883720930232562</v>
      </c>
      <c r="O32">
        <v>0.97941176470588232</v>
      </c>
      <c r="P32">
        <v>7243.2</v>
      </c>
      <c r="Q32">
        <v>1009848035</v>
      </c>
      <c r="R32">
        <v>49619</v>
      </c>
      <c r="S32">
        <v>2</v>
      </c>
      <c r="T32">
        <v>149</v>
      </c>
      <c r="U32">
        <v>0.94685314685314681</v>
      </c>
      <c r="V32">
        <v>0.94186046511627908</v>
      </c>
      <c r="W32">
        <v>0.9747058823529412</v>
      </c>
      <c r="X32">
        <v>3193.6</v>
      </c>
      <c r="Y32">
        <v>331012216</v>
      </c>
      <c r="Z32">
        <v>50252</v>
      </c>
      <c r="AA32">
        <v>2</v>
      </c>
      <c r="AB32">
        <v>150</v>
      </c>
      <c r="AD32">
        <f>Tabela2[[#This Row],[kan_params]]</f>
        <v>50231</v>
      </c>
      <c r="AE32">
        <f>Tabela2[[#This Row],[kan_train_acc]]</f>
        <v>0.61294118165969846</v>
      </c>
      <c r="AF32">
        <f>Tabela2[[#This Row],[kan_val_acc]]</f>
        <v>0.79069766998291013</v>
      </c>
      <c r="AG32">
        <f>Tabela2[[#This Row],[kan_test_acc]]</f>
        <v>0.61398601531982422</v>
      </c>
      <c r="AH32">
        <f>Tabela2[[#This Row],[mlp_test_acc]]</f>
        <v>0.95104895104895104</v>
      </c>
      <c r="AI32">
        <f>Tabela2[[#This Row],[mlp_val_acc]]</f>
        <v>0.94883720930232562</v>
      </c>
      <c r="AJ32">
        <f>Tabela2[[#This Row],[mlp_train_acc]]</f>
        <v>0.97941176470588232</v>
      </c>
    </row>
    <row r="33" spans="1:36" hidden="1" x14ac:dyDescent="0.25">
      <c r="A33" t="s">
        <v>28</v>
      </c>
      <c r="B33">
        <v>14</v>
      </c>
      <c r="C33">
        <v>3</v>
      </c>
      <c r="D33">
        <v>5</v>
      </c>
      <c r="E33">
        <v>0</v>
      </c>
      <c r="F33" t="s">
        <v>29</v>
      </c>
      <c r="G33">
        <v>51114</v>
      </c>
      <c r="H33">
        <v>931877569.60000002</v>
      </c>
      <c r="I33">
        <v>1344.6</v>
      </c>
      <c r="J33">
        <v>0.41411765217781066</v>
      </c>
      <c r="K33">
        <v>0.84883720874786373</v>
      </c>
      <c r="L33">
        <v>0.38741258382797239</v>
      </c>
      <c r="M33">
        <v>0.965034965034965</v>
      </c>
      <c r="N33">
        <v>0.96511627906976749</v>
      </c>
      <c r="O33">
        <v>0.98352941176470587</v>
      </c>
      <c r="P33">
        <v>8482.7999999999993</v>
      </c>
      <c r="Q33">
        <v>300569865.60000002</v>
      </c>
      <c r="R33">
        <v>50889</v>
      </c>
      <c r="S33">
        <v>2</v>
      </c>
      <c r="T33">
        <v>151</v>
      </c>
      <c r="U33">
        <v>0.96083916083916077</v>
      </c>
      <c r="V33">
        <v>0.96511627906976749</v>
      </c>
      <c r="W33">
        <v>0.98058823529411765</v>
      </c>
      <c r="X33">
        <v>6940.6</v>
      </c>
      <c r="Y33">
        <v>223120533.19999999</v>
      </c>
      <c r="Z33">
        <v>51530</v>
      </c>
      <c r="AA33">
        <v>2</v>
      </c>
      <c r="AB33">
        <v>152</v>
      </c>
      <c r="AD33">
        <f>Tabela2[[#This Row],[kan_params]]</f>
        <v>51114</v>
      </c>
      <c r="AE33">
        <f>Tabela2[[#This Row],[kan_train_acc]]</f>
        <v>0.41411765217781066</v>
      </c>
      <c r="AF33">
        <f>Tabela2[[#This Row],[kan_val_acc]]</f>
        <v>0.84883720874786373</v>
      </c>
      <c r="AG33">
        <f>Tabela2[[#This Row],[kan_test_acc]]</f>
        <v>0.38741258382797239</v>
      </c>
      <c r="AH33">
        <f>Tabela2[[#This Row],[mlp_test_acc]]</f>
        <v>0.965034965034965</v>
      </c>
      <c r="AI33">
        <f>Tabela2[[#This Row],[mlp_val_acc]]</f>
        <v>0.96511627906976749</v>
      </c>
      <c r="AJ33">
        <f>Tabela2[[#This Row],[mlp_train_acc]]</f>
        <v>0.98352941176470587</v>
      </c>
    </row>
    <row r="34" spans="1:36" x14ac:dyDescent="0.25">
      <c r="A34" t="s">
        <v>28</v>
      </c>
      <c r="B34">
        <v>16</v>
      </c>
      <c r="C34">
        <v>5</v>
      </c>
      <c r="D34">
        <v>5</v>
      </c>
      <c r="E34">
        <v>0</v>
      </c>
      <c r="F34" t="s">
        <v>59</v>
      </c>
      <c r="G34">
        <v>52392</v>
      </c>
      <c r="H34">
        <v>821886060.39999998</v>
      </c>
      <c r="I34">
        <v>1034</v>
      </c>
      <c r="J34">
        <v>0.53294119238853455</v>
      </c>
      <c r="K34">
        <v>0.79069768190383916</v>
      </c>
      <c r="L34">
        <v>0.54265733957290652</v>
      </c>
      <c r="M34">
        <v>0.92727272727272725</v>
      </c>
      <c r="N34">
        <v>0.92558139534883721</v>
      </c>
      <c r="O34">
        <v>0.96764705882352942</v>
      </c>
      <c r="P34">
        <v>2794.8</v>
      </c>
      <c r="Q34">
        <v>171586497.19999999</v>
      </c>
      <c r="R34">
        <v>52175</v>
      </c>
      <c r="S34">
        <v>2</v>
      </c>
      <c r="T34">
        <v>153</v>
      </c>
      <c r="U34">
        <v>0.92307692307692302</v>
      </c>
      <c r="V34">
        <v>0.92558139534883721</v>
      </c>
      <c r="W34">
        <v>0.96764705882352942</v>
      </c>
      <c r="X34">
        <v>2349.4</v>
      </c>
      <c r="Y34">
        <v>134155858.2</v>
      </c>
      <c r="Z34">
        <v>52824</v>
      </c>
      <c r="AA34">
        <v>2</v>
      </c>
      <c r="AB34">
        <v>154</v>
      </c>
      <c r="AD34">
        <f>Tabela2[[#This Row],[kan_params]]</f>
        <v>52392</v>
      </c>
      <c r="AE34">
        <f>Tabela2[[#This Row],[kan_train_acc]]</f>
        <v>0.53294119238853455</v>
      </c>
      <c r="AF34">
        <f>Tabela2[[#This Row],[kan_val_acc]]</f>
        <v>0.79069768190383916</v>
      </c>
      <c r="AG34">
        <f>Tabela2[[#This Row],[kan_test_acc]]</f>
        <v>0.54265733957290652</v>
      </c>
      <c r="AH34">
        <f>Tabela2[[#This Row],[mlp_test_acc]]</f>
        <v>0.92727272727272725</v>
      </c>
      <c r="AI34">
        <f>Tabela2[[#This Row],[mlp_val_acc]]</f>
        <v>0.92558139534883721</v>
      </c>
      <c r="AJ34">
        <f>Tabela2[[#This Row],[mlp_train_acc]]</f>
        <v>0.96764705882352942</v>
      </c>
    </row>
    <row r="35" spans="1:36" hidden="1" x14ac:dyDescent="0.25">
      <c r="A35" t="s">
        <v>28</v>
      </c>
      <c r="B35">
        <v>14</v>
      </c>
      <c r="C35">
        <v>3</v>
      </c>
      <c r="D35">
        <v>5</v>
      </c>
      <c r="E35">
        <v>0</v>
      </c>
      <c r="F35" t="s">
        <v>42</v>
      </c>
      <c r="G35">
        <v>53093</v>
      </c>
      <c r="H35">
        <v>510650380.39999998</v>
      </c>
      <c r="I35">
        <v>1196</v>
      </c>
      <c r="J35">
        <v>0.45647059381008148</v>
      </c>
      <c r="K35">
        <v>0.82790697813034053</v>
      </c>
      <c r="L35">
        <v>0.4405594438314438</v>
      </c>
      <c r="M35">
        <v>0.9706293706293706</v>
      </c>
      <c r="N35">
        <v>0.98837209302325579</v>
      </c>
      <c r="O35">
        <v>0.9729411764705882</v>
      </c>
      <c r="P35">
        <v>3233.8</v>
      </c>
      <c r="Q35">
        <v>62079456.799999997</v>
      </c>
      <c r="R35">
        <v>52824</v>
      </c>
      <c r="S35">
        <v>2</v>
      </c>
      <c r="T35">
        <v>154</v>
      </c>
      <c r="U35">
        <v>0.96783216783216774</v>
      </c>
      <c r="V35">
        <v>0.98837209302325579</v>
      </c>
      <c r="W35">
        <v>0.97176470588235297</v>
      </c>
      <c r="X35">
        <v>3440.2</v>
      </c>
      <c r="Y35">
        <v>37651498.799999997</v>
      </c>
      <c r="Z35">
        <v>53477</v>
      </c>
      <c r="AA35">
        <v>2</v>
      </c>
      <c r="AB35">
        <v>155</v>
      </c>
      <c r="AD35">
        <f>Tabela2[[#This Row],[kan_params]]</f>
        <v>53093</v>
      </c>
      <c r="AE35">
        <f>Tabela2[[#This Row],[kan_train_acc]]</f>
        <v>0.45647059381008148</v>
      </c>
      <c r="AF35">
        <f>Tabela2[[#This Row],[kan_val_acc]]</f>
        <v>0.82790697813034053</v>
      </c>
      <c r="AG35">
        <f>Tabela2[[#This Row],[kan_test_acc]]</f>
        <v>0.4405594438314438</v>
      </c>
      <c r="AH35">
        <f>Tabela2[[#This Row],[mlp_test_acc]]</f>
        <v>0.9706293706293706</v>
      </c>
      <c r="AI35">
        <f>Tabela2[[#This Row],[mlp_val_acc]]</f>
        <v>0.98837209302325579</v>
      </c>
      <c r="AJ35">
        <f>Tabela2[[#This Row],[mlp_train_acc]]</f>
        <v>0.9729411764705882</v>
      </c>
    </row>
    <row r="36" spans="1:36" hidden="1" x14ac:dyDescent="0.25">
      <c r="A36" t="s">
        <v>28</v>
      </c>
      <c r="B36">
        <v>14</v>
      </c>
      <c r="C36">
        <v>5</v>
      </c>
      <c r="D36">
        <v>4</v>
      </c>
      <c r="E36">
        <v>0</v>
      </c>
      <c r="F36" t="s">
        <v>49</v>
      </c>
      <c r="G36">
        <v>53415</v>
      </c>
      <c r="H36">
        <v>859091901.20000005</v>
      </c>
      <c r="I36">
        <v>1197</v>
      </c>
      <c r="J36">
        <v>0.47117648124694822</v>
      </c>
      <c r="K36">
        <v>0.85348838567733765</v>
      </c>
      <c r="L36">
        <v>0.47552447319030761</v>
      </c>
      <c r="M36">
        <v>0.94685314685314681</v>
      </c>
      <c r="N36">
        <v>0.98372093023255813</v>
      </c>
      <c r="O36">
        <v>0.9864705882352941</v>
      </c>
      <c r="P36">
        <v>10000</v>
      </c>
      <c r="Q36">
        <v>1070796062.4</v>
      </c>
      <c r="R36">
        <v>52824</v>
      </c>
      <c r="S36">
        <v>2</v>
      </c>
      <c r="T36">
        <v>154</v>
      </c>
      <c r="U36">
        <v>0.94965034965034967</v>
      </c>
      <c r="V36">
        <v>0.98139534883720925</v>
      </c>
      <c r="W36">
        <v>0.98529411764705876</v>
      </c>
      <c r="X36">
        <v>10000</v>
      </c>
      <c r="Y36">
        <v>390928683.19999999</v>
      </c>
      <c r="Z36">
        <v>53477</v>
      </c>
      <c r="AA36">
        <v>2</v>
      </c>
      <c r="AB36">
        <v>155</v>
      </c>
      <c r="AD36">
        <f>Tabela2[[#This Row],[kan_params]]</f>
        <v>53415</v>
      </c>
      <c r="AE36">
        <f>Tabela2[[#This Row],[kan_train_acc]]</f>
        <v>0.47117648124694822</v>
      </c>
      <c r="AF36">
        <f>Tabela2[[#This Row],[kan_val_acc]]</f>
        <v>0.85348838567733765</v>
      </c>
      <c r="AG36">
        <f>Tabela2[[#This Row],[kan_test_acc]]</f>
        <v>0.47552447319030761</v>
      </c>
      <c r="AH36">
        <f>Tabela2[[#This Row],[mlp_test_acc]]</f>
        <v>0.94685314685314681</v>
      </c>
      <c r="AI36">
        <f>Tabela2[[#This Row],[mlp_val_acc]]</f>
        <v>0.98372093023255813</v>
      </c>
      <c r="AJ36">
        <f>Tabela2[[#This Row],[mlp_train_acc]]</f>
        <v>0.9864705882352941</v>
      </c>
    </row>
    <row r="37" spans="1:36" hidden="1" x14ac:dyDescent="0.25">
      <c r="A37" t="s">
        <v>28</v>
      </c>
      <c r="B37">
        <v>14</v>
      </c>
      <c r="C37">
        <v>3</v>
      </c>
      <c r="D37">
        <v>5</v>
      </c>
      <c r="E37">
        <v>0</v>
      </c>
      <c r="F37" t="s">
        <v>36</v>
      </c>
      <c r="G37">
        <v>54196</v>
      </c>
      <c r="H37">
        <v>784870125.20000005</v>
      </c>
      <c r="I37">
        <v>1112.5999999999999</v>
      </c>
      <c r="J37">
        <v>0.58235294818878169</v>
      </c>
      <c r="K37">
        <v>0.85581394433975222</v>
      </c>
      <c r="L37">
        <v>0.55804196000099182</v>
      </c>
      <c r="M37">
        <v>0.94545454545454544</v>
      </c>
      <c r="N37">
        <v>0.95813953488372094</v>
      </c>
      <c r="O37">
        <v>0.97411764705882353</v>
      </c>
      <c r="P37">
        <v>4088.6</v>
      </c>
      <c r="Q37">
        <v>421037963</v>
      </c>
      <c r="R37">
        <v>54134</v>
      </c>
      <c r="S37">
        <v>2</v>
      </c>
      <c r="T37">
        <v>156</v>
      </c>
      <c r="U37">
        <v>0.95104895104895104</v>
      </c>
      <c r="V37">
        <v>0.95813953488372094</v>
      </c>
      <c r="W37">
        <v>0.9747058823529412</v>
      </c>
      <c r="X37">
        <v>4179.2</v>
      </c>
      <c r="Y37">
        <v>237180957.19999999</v>
      </c>
      <c r="Z37">
        <v>54795</v>
      </c>
      <c r="AA37">
        <v>2</v>
      </c>
      <c r="AB37">
        <v>157</v>
      </c>
      <c r="AD37">
        <f>Tabela2[[#This Row],[kan_params]]</f>
        <v>54196</v>
      </c>
      <c r="AE37">
        <f>Tabela2[[#This Row],[kan_train_acc]]</f>
        <v>0.58235294818878169</v>
      </c>
      <c r="AF37">
        <f>Tabela2[[#This Row],[kan_val_acc]]</f>
        <v>0.85581394433975222</v>
      </c>
      <c r="AG37">
        <f>Tabela2[[#This Row],[kan_test_acc]]</f>
        <v>0.55804196000099182</v>
      </c>
      <c r="AH37">
        <f>Tabela2[[#This Row],[mlp_test_acc]]</f>
        <v>0.94545454545454544</v>
      </c>
      <c r="AI37">
        <f>Tabela2[[#This Row],[mlp_val_acc]]</f>
        <v>0.95813953488372094</v>
      </c>
      <c r="AJ37">
        <f>Tabela2[[#This Row],[mlp_train_acc]]</f>
        <v>0.97411764705882353</v>
      </c>
    </row>
    <row r="38" spans="1:36" hidden="1" x14ac:dyDescent="0.25">
      <c r="A38" t="s">
        <v>28</v>
      </c>
      <c r="B38">
        <v>14</v>
      </c>
      <c r="C38">
        <v>3</v>
      </c>
      <c r="D38">
        <v>5</v>
      </c>
      <c r="E38">
        <v>0</v>
      </c>
      <c r="F38" t="s">
        <v>30</v>
      </c>
      <c r="G38">
        <v>54859</v>
      </c>
      <c r="H38">
        <v>1100323231.2</v>
      </c>
      <c r="I38">
        <v>1314.8</v>
      </c>
      <c r="J38">
        <v>0.6223529577255249</v>
      </c>
      <c r="K38">
        <v>0.8906976580619812</v>
      </c>
      <c r="L38">
        <v>0.62097901701927183</v>
      </c>
      <c r="M38">
        <v>0.95944055944055939</v>
      </c>
      <c r="N38">
        <v>0.96976744186046515</v>
      </c>
      <c r="O38">
        <v>0.98058823529411765</v>
      </c>
      <c r="P38">
        <v>8040.2</v>
      </c>
      <c r="Q38">
        <v>651340427</v>
      </c>
      <c r="R38">
        <v>54795</v>
      </c>
      <c r="S38">
        <v>2</v>
      </c>
      <c r="T38">
        <v>157</v>
      </c>
      <c r="U38">
        <v>0.96083916083916077</v>
      </c>
      <c r="V38">
        <v>0.96744186046511627</v>
      </c>
      <c r="W38">
        <v>0.98235294117647054</v>
      </c>
      <c r="X38">
        <v>7350.6</v>
      </c>
      <c r="Y38">
        <v>282074210.80000001</v>
      </c>
      <c r="Z38">
        <v>55460</v>
      </c>
      <c r="AA38">
        <v>2</v>
      </c>
      <c r="AB38">
        <v>158</v>
      </c>
      <c r="AD38">
        <f>Tabela2[[#This Row],[kan_params]]</f>
        <v>54859</v>
      </c>
      <c r="AE38">
        <f>Tabela2[[#This Row],[kan_train_acc]]</f>
        <v>0.6223529577255249</v>
      </c>
      <c r="AF38">
        <f>Tabela2[[#This Row],[kan_val_acc]]</f>
        <v>0.8906976580619812</v>
      </c>
      <c r="AG38">
        <f>Tabela2[[#This Row],[kan_test_acc]]</f>
        <v>0.62097901701927183</v>
      </c>
      <c r="AH38">
        <f>Tabela2[[#This Row],[mlp_test_acc]]</f>
        <v>0.95944055944055939</v>
      </c>
      <c r="AI38">
        <f>Tabela2[[#This Row],[mlp_val_acc]]</f>
        <v>0.96976744186046515</v>
      </c>
      <c r="AJ38">
        <f>Tabela2[[#This Row],[mlp_train_acc]]</f>
        <v>0.98058823529411765</v>
      </c>
    </row>
    <row r="39" spans="1:36" x14ac:dyDescent="0.25">
      <c r="A39" t="s">
        <v>28</v>
      </c>
      <c r="B39">
        <v>16</v>
      </c>
      <c r="C39">
        <v>5</v>
      </c>
      <c r="D39">
        <v>5</v>
      </c>
      <c r="E39">
        <v>0</v>
      </c>
      <c r="F39" t="s">
        <v>60</v>
      </c>
      <c r="G39">
        <v>56237</v>
      </c>
      <c r="H39">
        <v>701685414</v>
      </c>
      <c r="I39">
        <v>1031.5999999999999</v>
      </c>
      <c r="J39">
        <v>0.51352941393852236</v>
      </c>
      <c r="K39">
        <v>0.75116280317306516</v>
      </c>
      <c r="L39">
        <v>0.48251748681068418</v>
      </c>
      <c r="M39">
        <v>0.96083916083916077</v>
      </c>
      <c r="N39">
        <v>0.95348837209302328</v>
      </c>
      <c r="O39">
        <v>0.99470588235294122</v>
      </c>
      <c r="P39">
        <v>7239</v>
      </c>
      <c r="Q39">
        <v>212359056.40000001</v>
      </c>
      <c r="R39">
        <v>56129</v>
      </c>
      <c r="S39">
        <v>2</v>
      </c>
      <c r="T39">
        <v>159</v>
      </c>
      <c r="U39">
        <v>0.96223776223776225</v>
      </c>
      <c r="V39">
        <v>0.95348837209302328</v>
      </c>
      <c r="W39">
        <v>0.99470588235294122</v>
      </c>
      <c r="X39">
        <v>7976.6</v>
      </c>
      <c r="Y39">
        <v>239618932.19999999</v>
      </c>
      <c r="Z39">
        <v>56802</v>
      </c>
      <c r="AA39">
        <v>2</v>
      </c>
      <c r="AB39">
        <v>160</v>
      </c>
      <c r="AD39">
        <f>Tabela2[[#This Row],[kan_params]]</f>
        <v>56237</v>
      </c>
      <c r="AE39">
        <f>Tabela2[[#This Row],[kan_train_acc]]</f>
        <v>0.51352941393852236</v>
      </c>
      <c r="AF39">
        <f>Tabela2[[#This Row],[kan_val_acc]]</f>
        <v>0.75116280317306516</v>
      </c>
      <c r="AG39">
        <f>Tabela2[[#This Row],[kan_test_acc]]</f>
        <v>0.48251748681068418</v>
      </c>
      <c r="AH39">
        <f>Tabela2[[#This Row],[mlp_test_acc]]</f>
        <v>0.96083916083916077</v>
      </c>
      <c r="AI39">
        <f>Tabela2[[#This Row],[mlp_val_acc]]</f>
        <v>0.95348837209302328</v>
      </c>
      <c r="AJ39">
        <f>Tabela2[[#This Row],[mlp_train_acc]]</f>
        <v>0.99470588235294122</v>
      </c>
    </row>
    <row r="40" spans="1:36" hidden="1" x14ac:dyDescent="0.25">
      <c r="A40" t="s">
        <v>28</v>
      </c>
      <c r="B40">
        <v>14</v>
      </c>
      <c r="C40">
        <v>3</v>
      </c>
      <c r="D40">
        <v>5</v>
      </c>
      <c r="E40">
        <v>0</v>
      </c>
      <c r="F40" t="s">
        <v>43</v>
      </c>
      <c r="G40">
        <v>57278</v>
      </c>
      <c r="H40">
        <v>522505335.19999999</v>
      </c>
      <c r="I40">
        <v>1082.8</v>
      </c>
      <c r="J40">
        <v>0.54529412984848025</v>
      </c>
      <c r="K40">
        <v>0.85348837375640874</v>
      </c>
      <c r="L40">
        <v>0.53706294298171997</v>
      </c>
      <c r="M40">
        <v>0.97482517482517483</v>
      </c>
      <c r="N40">
        <v>0.98604651162790691</v>
      </c>
      <c r="O40">
        <v>0.97352941176470587</v>
      </c>
      <c r="P40">
        <v>5138.3999999999996</v>
      </c>
      <c r="Q40">
        <v>308375951.80000001</v>
      </c>
      <c r="R40">
        <v>56802</v>
      </c>
      <c r="S40">
        <v>2</v>
      </c>
      <c r="T40">
        <v>160</v>
      </c>
      <c r="U40">
        <v>0.96783216783216786</v>
      </c>
      <c r="V40">
        <v>0.98372093023255813</v>
      </c>
      <c r="W40">
        <v>0.98235294117647065</v>
      </c>
      <c r="X40">
        <v>7178.6</v>
      </c>
      <c r="Y40">
        <v>98840072</v>
      </c>
      <c r="Z40">
        <v>57479</v>
      </c>
      <c r="AA40">
        <v>2</v>
      </c>
      <c r="AB40">
        <v>161</v>
      </c>
      <c r="AD40">
        <f>Tabela2[[#This Row],[kan_params]]</f>
        <v>57278</v>
      </c>
      <c r="AE40">
        <f>Tabela2[[#This Row],[kan_train_acc]]</f>
        <v>0.54529412984848025</v>
      </c>
      <c r="AF40">
        <f>Tabela2[[#This Row],[kan_val_acc]]</f>
        <v>0.85348837375640874</v>
      </c>
      <c r="AG40">
        <f>Tabela2[[#This Row],[kan_test_acc]]</f>
        <v>0.53706294298171997</v>
      </c>
      <c r="AH40">
        <f>Tabela2[[#This Row],[mlp_test_acc]]</f>
        <v>0.97482517482517483</v>
      </c>
      <c r="AI40">
        <f>Tabela2[[#This Row],[mlp_val_acc]]</f>
        <v>0.98604651162790691</v>
      </c>
      <c r="AJ40">
        <f>Tabela2[[#This Row],[mlp_train_acc]]</f>
        <v>0.97352941176470587</v>
      </c>
    </row>
    <row r="41" spans="1:36" hidden="1" x14ac:dyDescent="0.25">
      <c r="A41" t="s">
        <v>28</v>
      </c>
      <c r="B41">
        <v>14</v>
      </c>
      <c r="C41">
        <v>5</v>
      </c>
      <c r="D41">
        <v>4</v>
      </c>
      <c r="E41">
        <v>0</v>
      </c>
      <c r="F41" t="s">
        <v>50</v>
      </c>
      <c r="G41">
        <v>57620</v>
      </c>
      <c r="H41">
        <v>804314409.39999998</v>
      </c>
      <c r="I41">
        <v>1132.4000000000001</v>
      </c>
      <c r="J41">
        <v>0.50705882310867312</v>
      </c>
      <c r="K41">
        <v>0.86976745128631594</v>
      </c>
      <c r="L41">
        <v>0.4951048970222473</v>
      </c>
      <c r="M41">
        <v>0.95104895104895104</v>
      </c>
      <c r="N41">
        <v>0.97906976744186047</v>
      </c>
      <c r="O41">
        <v>0.98411764705882354</v>
      </c>
      <c r="P41">
        <v>6861.2</v>
      </c>
      <c r="Q41">
        <v>654554540</v>
      </c>
      <c r="R41">
        <v>57479</v>
      </c>
      <c r="S41">
        <v>2</v>
      </c>
      <c r="T41">
        <v>161</v>
      </c>
      <c r="U41">
        <v>0.94825174825174829</v>
      </c>
      <c r="V41">
        <v>0.97674418604651159</v>
      </c>
      <c r="W41">
        <v>0.98411764705882354</v>
      </c>
      <c r="X41">
        <v>6024.6</v>
      </c>
      <c r="Y41">
        <v>196959570.80000001</v>
      </c>
      <c r="Z41">
        <v>58160</v>
      </c>
      <c r="AA41">
        <v>2</v>
      </c>
      <c r="AB41">
        <v>162</v>
      </c>
      <c r="AD41">
        <f>Tabela2[[#This Row],[kan_params]]</f>
        <v>57620</v>
      </c>
      <c r="AE41">
        <f>Tabela2[[#This Row],[kan_train_acc]]</f>
        <v>0.50705882310867312</v>
      </c>
      <c r="AF41">
        <f>Tabela2[[#This Row],[kan_val_acc]]</f>
        <v>0.86976745128631594</v>
      </c>
      <c r="AG41">
        <f>Tabela2[[#This Row],[kan_test_acc]]</f>
        <v>0.4951048970222473</v>
      </c>
      <c r="AH41">
        <f>Tabela2[[#This Row],[mlp_test_acc]]</f>
        <v>0.95104895104895104</v>
      </c>
      <c r="AI41">
        <f>Tabela2[[#This Row],[mlp_val_acc]]</f>
        <v>0.97906976744186047</v>
      </c>
      <c r="AJ41">
        <f>Tabela2[[#This Row],[mlp_train_acc]]</f>
        <v>0.98411764705882354</v>
      </c>
    </row>
    <row r="42" spans="1:36" hidden="1" x14ac:dyDescent="0.25">
      <c r="A42" t="s">
        <v>28</v>
      </c>
      <c r="B42">
        <v>14</v>
      </c>
      <c r="C42">
        <v>3</v>
      </c>
      <c r="D42">
        <v>5</v>
      </c>
      <c r="E42">
        <v>0</v>
      </c>
      <c r="F42" t="s">
        <v>37</v>
      </c>
      <c r="G42">
        <v>58161</v>
      </c>
      <c r="H42">
        <v>979694787.79999995</v>
      </c>
      <c r="I42">
        <v>1195.8</v>
      </c>
      <c r="J42">
        <v>0.49647058844566344</v>
      </c>
      <c r="K42">
        <v>0.85813953876495364</v>
      </c>
      <c r="L42">
        <v>0.49650349617004397</v>
      </c>
      <c r="M42">
        <v>0.94965034965034967</v>
      </c>
      <c r="N42">
        <v>0.96744186046511627</v>
      </c>
      <c r="O42">
        <v>0.97764705882352942</v>
      </c>
      <c r="P42">
        <v>4030.8</v>
      </c>
      <c r="Q42">
        <v>168413830.80000001</v>
      </c>
      <c r="R42">
        <v>58160</v>
      </c>
      <c r="S42">
        <v>2</v>
      </c>
      <c r="T42">
        <v>162</v>
      </c>
      <c r="U42">
        <v>0.94825174825174829</v>
      </c>
      <c r="V42">
        <v>0.96511627906976749</v>
      </c>
      <c r="W42">
        <v>0.97117647058823531</v>
      </c>
      <c r="X42">
        <v>2534.1999999999998</v>
      </c>
      <c r="Y42">
        <v>57944272.399999999</v>
      </c>
      <c r="Z42">
        <v>58845</v>
      </c>
      <c r="AA42">
        <v>2</v>
      </c>
      <c r="AB42">
        <v>163</v>
      </c>
      <c r="AD42">
        <f>Tabela2[[#This Row],[kan_params]]</f>
        <v>58161</v>
      </c>
      <c r="AE42">
        <f>Tabela2[[#This Row],[kan_train_acc]]</f>
        <v>0.49647058844566344</v>
      </c>
      <c r="AF42">
        <f>Tabela2[[#This Row],[kan_val_acc]]</f>
        <v>0.85813953876495364</v>
      </c>
      <c r="AG42">
        <f>Tabela2[[#This Row],[kan_test_acc]]</f>
        <v>0.49650349617004397</v>
      </c>
      <c r="AH42">
        <f>Tabela2[[#This Row],[mlp_test_acc]]</f>
        <v>0.94965034965034967</v>
      </c>
      <c r="AI42">
        <f>Tabela2[[#This Row],[mlp_val_acc]]</f>
        <v>0.96744186046511627</v>
      </c>
      <c r="AJ42">
        <f>Tabela2[[#This Row],[mlp_train_acc]]</f>
        <v>0.97764705882352942</v>
      </c>
    </row>
    <row r="43" spans="1:36" hidden="1" x14ac:dyDescent="0.25">
      <c r="A43" t="s">
        <v>28</v>
      </c>
      <c r="B43">
        <v>14</v>
      </c>
      <c r="C43">
        <v>3</v>
      </c>
      <c r="D43">
        <v>5</v>
      </c>
      <c r="E43">
        <v>0</v>
      </c>
      <c r="F43" t="s">
        <v>31</v>
      </c>
      <c r="G43">
        <v>58604</v>
      </c>
      <c r="H43">
        <v>954447510.60000002</v>
      </c>
      <c r="I43">
        <v>1077.8</v>
      </c>
      <c r="J43">
        <v>0.47176470160484313</v>
      </c>
      <c r="K43">
        <v>0.83720929622650142</v>
      </c>
      <c r="L43">
        <v>0.46853146553039549</v>
      </c>
      <c r="M43">
        <v>0.95804195804195802</v>
      </c>
      <c r="N43">
        <v>0.96511627906976749</v>
      </c>
      <c r="O43">
        <v>0.97941176470588232</v>
      </c>
      <c r="P43">
        <v>5831.2</v>
      </c>
      <c r="Q43">
        <v>707949637</v>
      </c>
      <c r="R43">
        <v>58160</v>
      </c>
      <c r="S43">
        <v>2</v>
      </c>
      <c r="T43">
        <v>162</v>
      </c>
      <c r="U43">
        <v>0.96083916083916077</v>
      </c>
      <c r="V43">
        <v>0.97209302325581393</v>
      </c>
      <c r="W43">
        <v>0.97764705882352942</v>
      </c>
      <c r="X43">
        <v>8523.7999999999993</v>
      </c>
      <c r="Y43">
        <v>651105643.20000005</v>
      </c>
      <c r="Z43">
        <v>58845</v>
      </c>
      <c r="AA43">
        <v>2</v>
      </c>
      <c r="AB43">
        <v>163</v>
      </c>
      <c r="AD43">
        <f>Tabela2[[#This Row],[kan_params]]</f>
        <v>58604</v>
      </c>
      <c r="AE43">
        <f>Tabela2[[#This Row],[kan_train_acc]]</f>
        <v>0.47176470160484313</v>
      </c>
      <c r="AF43">
        <f>Tabela2[[#This Row],[kan_val_acc]]</f>
        <v>0.83720929622650142</v>
      </c>
      <c r="AG43">
        <f>Tabela2[[#This Row],[kan_test_acc]]</f>
        <v>0.46853146553039549</v>
      </c>
      <c r="AH43">
        <f>Tabela2[[#This Row],[mlp_test_acc]]</f>
        <v>0.95804195804195802</v>
      </c>
      <c r="AI43">
        <f>Tabela2[[#This Row],[mlp_val_acc]]</f>
        <v>0.96511627906976749</v>
      </c>
      <c r="AJ43">
        <f>Tabela2[[#This Row],[mlp_train_acc]]</f>
        <v>0.97941176470588232</v>
      </c>
    </row>
    <row r="44" spans="1:36" x14ac:dyDescent="0.25">
      <c r="A44" t="s">
        <v>28</v>
      </c>
      <c r="B44">
        <v>16</v>
      </c>
      <c r="C44">
        <v>5</v>
      </c>
      <c r="D44">
        <v>5</v>
      </c>
      <c r="E44">
        <v>0</v>
      </c>
      <c r="F44" t="s">
        <v>61</v>
      </c>
      <c r="G44">
        <v>60082</v>
      </c>
      <c r="H44">
        <v>845055062.79999995</v>
      </c>
      <c r="I44">
        <v>1033</v>
      </c>
      <c r="J44">
        <v>0.43823529481887818</v>
      </c>
      <c r="K44">
        <v>0.73255814313888545</v>
      </c>
      <c r="L44">
        <v>0.44475524425506591</v>
      </c>
      <c r="M44">
        <v>0.96083916083916077</v>
      </c>
      <c r="N44">
        <v>0.94883720930232562</v>
      </c>
      <c r="O44">
        <v>0.99705882352941178</v>
      </c>
      <c r="P44">
        <v>7760.6</v>
      </c>
      <c r="Q44">
        <v>349708349.19999999</v>
      </c>
      <c r="R44">
        <v>59534</v>
      </c>
      <c r="S44">
        <v>2</v>
      </c>
      <c r="T44">
        <v>164</v>
      </c>
      <c r="U44">
        <v>0.95944055944055939</v>
      </c>
      <c r="V44">
        <v>0.95348837209302328</v>
      </c>
      <c r="W44">
        <v>0.99235294117647055</v>
      </c>
      <c r="X44">
        <v>7759</v>
      </c>
      <c r="Y44">
        <v>241113141.40000001</v>
      </c>
      <c r="Z44">
        <v>60227</v>
      </c>
      <c r="AA44">
        <v>2</v>
      </c>
      <c r="AB44">
        <v>165</v>
      </c>
      <c r="AD44">
        <f>Tabela2[[#This Row],[kan_params]]</f>
        <v>60082</v>
      </c>
      <c r="AE44">
        <f>Tabela2[[#This Row],[kan_train_acc]]</f>
        <v>0.43823529481887818</v>
      </c>
      <c r="AF44">
        <f>Tabela2[[#This Row],[kan_val_acc]]</f>
        <v>0.73255814313888545</v>
      </c>
      <c r="AG44">
        <f>Tabela2[[#This Row],[kan_test_acc]]</f>
        <v>0.44475524425506591</v>
      </c>
      <c r="AH44">
        <f>Tabela2[[#This Row],[mlp_test_acc]]</f>
        <v>0.96083916083916077</v>
      </c>
      <c r="AI44">
        <f>Tabela2[[#This Row],[mlp_val_acc]]</f>
        <v>0.94883720930232562</v>
      </c>
      <c r="AJ44">
        <f>Tabela2[[#This Row],[mlp_train_acc]]</f>
        <v>0.99705882352941178</v>
      </c>
    </row>
    <row r="45" spans="1:36" hidden="1" x14ac:dyDescent="0.25">
      <c r="A45" t="s">
        <v>28</v>
      </c>
      <c r="B45">
        <v>14</v>
      </c>
      <c r="C45">
        <v>3</v>
      </c>
      <c r="D45">
        <v>5</v>
      </c>
      <c r="E45">
        <v>0</v>
      </c>
      <c r="F45" t="s">
        <v>44</v>
      </c>
      <c r="G45">
        <v>61463</v>
      </c>
      <c r="H45">
        <v>654037548.39999998</v>
      </c>
      <c r="I45">
        <v>1279</v>
      </c>
      <c r="J45">
        <v>0.5805882334709167</v>
      </c>
      <c r="K45">
        <v>0.87441860437393193</v>
      </c>
      <c r="L45">
        <v>0.59160838723182674</v>
      </c>
      <c r="M45">
        <v>0.97342657342657346</v>
      </c>
      <c r="N45">
        <v>0.98837209302325579</v>
      </c>
      <c r="O45">
        <v>0.97588235294117642</v>
      </c>
      <c r="P45">
        <v>4591</v>
      </c>
      <c r="Q45">
        <v>480041124.19999999</v>
      </c>
      <c r="R45">
        <v>60924</v>
      </c>
      <c r="S45">
        <v>2</v>
      </c>
      <c r="T45">
        <v>166</v>
      </c>
      <c r="U45">
        <v>0.97482517482517483</v>
      </c>
      <c r="V45">
        <v>0.98837209302325579</v>
      </c>
      <c r="W45">
        <v>0.97352941176470587</v>
      </c>
      <c r="X45">
        <v>6025.2</v>
      </c>
      <c r="Y45">
        <v>365884596.80000001</v>
      </c>
      <c r="Z45">
        <v>61625</v>
      </c>
      <c r="AA45">
        <v>2</v>
      </c>
      <c r="AB45">
        <v>167</v>
      </c>
      <c r="AD45">
        <f>Tabela2[[#This Row],[kan_params]]</f>
        <v>61463</v>
      </c>
      <c r="AE45">
        <f>Tabela2[[#This Row],[kan_train_acc]]</f>
        <v>0.5805882334709167</v>
      </c>
      <c r="AF45">
        <f>Tabela2[[#This Row],[kan_val_acc]]</f>
        <v>0.87441860437393193</v>
      </c>
      <c r="AG45">
        <f>Tabela2[[#This Row],[kan_test_acc]]</f>
        <v>0.59160838723182674</v>
      </c>
      <c r="AH45">
        <f>Tabela2[[#This Row],[mlp_test_acc]]</f>
        <v>0.97342657342657346</v>
      </c>
      <c r="AI45">
        <f>Tabela2[[#This Row],[mlp_val_acc]]</f>
        <v>0.98837209302325579</v>
      </c>
      <c r="AJ45">
        <f>Tabela2[[#This Row],[mlp_train_acc]]</f>
        <v>0.97588235294117642</v>
      </c>
    </row>
    <row r="46" spans="1:36" hidden="1" x14ac:dyDescent="0.25">
      <c r="A46" t="s">
        <v>28</v>
      </c>
      <c r="B46">
        <v>14</v>
      </c>
      <c r="C46">
        <v>5</v>
      </c>
      <c r="D46">
        <v>4</v>
      </c>
      <c r="E46">
        <v>0</v>
      </c>
      <c r="F46" t="s">
        <v>51</v>
      </c>
      <c r="G46">
        <v>61825</v>
      </c>
      <c r="H46">
        <v>973476975.20000005</v>
      </c>
      <c r="I46">
        <v>1120.8</v>
      </c>
      <c r="J46">
        <v>0.58647059798240664</v>
      </c>
      <c r="K46">
        <v>0.83023256063461304</v>
      </c>
      <c r="L46">
        <v>0.56783217787742613</v>
      </c>
      <c r="M46">
        <v>0.95664335664335665</v>
      </c>
      <c r="N46">
        <v>0.97674418604651159</v>
      </c>
      <c r="O46">
        <v>0.97823529411764709</v>
      </c>
      <c r="P46">
        <v>5477.4</v>
      </c>
      <c r="Q46">
        <v>235206623.40000001</v>
      </c>
      <c r="R46">
        <v>61625</v>
      </c>
      <c r="S46">
        <v>2</v>
      </c>
      <c r="T46">
        <v>167</v>
      </c>
      <c r="U46">
        <v>0.95944055944055939</v>
      </c>
      <c r="V46">
        <v>0.97674418604651159</v>
      </c>
      <c r="W46">
        <v>0.97647058823529409</v>
      </c>
      <c r="X46">
        <v>5748.4</v>
      </c>
      <c r="Y46">
        <v>228930495.19999999</v>
      </c>
      <c r="Z46">
        <v>62330</v>
      </c>
      <c r="AA46">
        <v>2</v>
      </c>
      <c r="AB46">
        <v>168</v>
      </c>
      <c r="AD46">
        <f>Tabela2[[#This Row],[kan_params]]</f>
        <v>61825</v>
      </c>
      <c r="AE46">
        <f>Tabela2[[#This Row],[kan_train_acc]]</f>
        <v>0.58647059798240664</v>
      </c>
      <c r="AF46">
        <f>Tabela2[[#This Row],[kan_val_acc]]</f>
        <v>0.83023256063461304</v>
      </c>
      <c r="AG46">
        <f>Tabela2[[#This Row],[kan_test_acc]]</f>
        <v>0.56783217787742613</v>
      </c>
      <c r="AH46">
        <f>Tabela2[[#This Row],[mlp_test_acc]]</f>
        <v>0.95664335664335665</v>
      </c>
      <c r="AI46">
        <f>Tabela2[[#This Row],[mlp_val_acc]]</f>
        <v>0.97674418604651159</v>
      </c>
      <c r="AJ46">
        <f>Tabela2[[#This Row],[mlp_train_acc]]</f>
        <v>0.97823529411764709</v>
      </c>
    </row>
    <row r="47" spans="1:36" hidden="1" x14ac:dyDescent="0.25">
      <c r="A47" t="s">
        <v>28</v>
      </c>
      <c r="B47">
        <v>14</v>
      </c>
      <c r="C47">
        <v>3</v>
      </c>
      <c r="D47">
        <v>5</v>
      </c>
      <c r="E47">
        <v>0</v>
      </c>
      <c r="F47" t="s">
        <v>38</v>
      </c>
      <c r="G47">
        <v>62126</v>
      </c>
      <c r="H47">
        <v>1158547416.8</v>
      </c>
      <c r="I47">
        <v>1277.5999999999999</v>
      </c>
      <c r="J47">
        <v>0.61058822870254514</v>
      </c>
      <c r="K47">
        <v>0.89302325248718262</v>
      </c>
      <c r="L47">
        <v>0.62657343149185185</v>
      </c>
      <c r="M47">
        <v>0.94545454545454544</v>
      </c>
      <c r="N47">
        <v>0.96511627906976749</v>
      </c>
      <c r="O47">
        <v>0.96941176470588231</v>
      </c>
      <c r="P47">
        <v>2396</v>
      </c>
      <c r="Q47">
        <v>267330402.19999999</v>
      </c>
      <c r="R47">
        <v>61625</v>
      </c>
      <c r="S47">
        <v>2</v>
      </c>
      <c r="T47">
        <v>167</v>
      </c>
      <c r="U47">
        <v>0.94685314685314681</v>
      </c>
      <c r="V47">
        <v>0.97209302325581393</v>
      </c>
      <c r="W47">
        <v>0.97411764705882353</v>
      </c>
      <c r="X47">
        <v>3304</v>
      </c>
      <c r="Y47">
        <v>300263550.39999998</v>
      </c>
      <c r="Z47">
        <v>62330</v>
      </c>
      <c r="AA47">
        <v>2</v>
      </c>
      <c r="AB47">
        <v>168</v>
      </c>
      <c r="AD47">
        <f>Tabela2[[#This Row],[kan_params]]</f>
        <v>62126</v>
      </c>
      <c r="AE47">
        <f>Tabela2[[#This Row],[kan_train_acc]]</f>
        <v>0.61058822870254514</v>
      </c>
      <c r="AF47">
        <f>Tabela2[[#This Row],[kan_val_acc]]</f>
        <v>0.89302325248718262</v>
      </c>
      <c r="AG47">
        <f>Tabela2[[#This Row],[kan_test_acc]]</f>
        <v>0.62657343149185185</v>
      </c>
      <c r="AH47">
        <f>Tabela2[[#This Row],[mlp_test_acc]]</f>
        <v>0.94545454545454544</v>
      </c>
      <c r="AI47">
        <f>Tabela2[[#This Row],[mlp_val_acc]]</f>
        <v>0.96511627906976749</v>
      </c>
      <c r="AJ47">
        <f>Tabela2[[#This Row],[mlp_train_acc]]</f>
        <v>0.96941176470588231</v>
      </c>
    </row>
    <row r="48" spans="1:36" hidden="1" x14ac:dyDescent="0.25">
      <c r="A48" t="s">
        <v>28</v>
      </c>
      <c r="B48">
        <v>14</v>
      </c>
      <c r="C48">
        <v>3</v>
      </c>
      <c r="D48">
        <v>5</v>
      </c>
      <c r="E48">
        <v>0</v>
      </c>
      <c r="F48" t="s">
        <v>32</v>
      </c>
      <c r="G48">
        <v>62349</v>
      </c>
      <c r="H48">
        <v>1169275967.4000001</v>
      </c>
      <c r="I48">
        <v>1381.2</v>
      </c>
      <c r="J48">
        <v>0.52529411315917973</v>
      </c>
      <c r="K48">
        <v>0.87441860437393193</v>
      </c>
      <c r="L48">
        <v>0.52307692170143127</v>
      </c>
      <c r="M48">
        <v>0.95524475524475527</v>
      </c>
      <c r="N48">
        <v>0.96046511627906983</v>
      </c>
      <c r="O48">
        <v>0.98176470588235298</v>
      </c>
      <c r="P48">
        <v>7737.2</v>
      </c>
      <c r="Q48">
        <v>930183219.60000002</v>
      </c>
      <c r="R48">
        <v>62330</v>
      </c>
      <c r="S48">
        <v>2</v>
      </c>
      <c r="T48">
        <v>168</v>
      </c>
      <c r="U48">
        <v>0.95944055944055939</v>
      </c>
      <c r="V48">
        <v>0.95581395348837217</v>
      </c>
      <c r="W48">
        <v>0.98235294117647065</v>
      </c>
      <c r="X48">
        <v>7112.6</v>
      </c>
      <c r="Y48">
        <v>574031095.39999998</v>
      </c>
      <c r="Z48">
        <v>63039</v>
      </c>
      <c r="AA48">
        <v>2</v>
      </c>
      <c r="AB48">
        <v>169</v>
      </c>
      <c r="AD48">
        <f>Tabela2[[#This Row],[kan_params]]</f>
        <v>62349</v>
      </c>
      <c r="AE48">
        <f>Tabela2[[#This Row],[kan_train_acc]]</f>
        <v>0.52529411315917973</v>
      </c>
      <c r="AF48">
        <f>Tabela2[[#This Row],[kan_val_acc]]</f>
        <v>0.87441860437393193</v>
      </c>
      <c r="AG48">
        <f>Tabela2[[#This Row],[kan_test_acc]]</f>
        <v>0.52307692170143127</v>
      </c>
      <c r="AH48">
        <f>Tabela2[[#This Row],[mlp_test_acc]]</f>
        <v>0.95524475524475527</v>
      </c>
      <c r="AI48">
        <f>Tabela2[[#This Row],[mlp_val_acc]]</f>
        <v>0.96046511627906983</v>
      </c>
      <c r="AJ48">
        <f>Tabela2[[#This Row],[mlp_train_acc]]</f>
        <v>0.98176470588235298</v>
      </c>
    </row>
    <row r="49" spans="1:36" x14ac:dyDescent="0.25">
      <c r="A49" t="s">
        <v>28</v>
      </c>
      <c r="B49">
        <v>16</v>
      </c>
      <c r="C49">
        <v>5</v>
      </c>
      <c r="D49">
        <v>5</v>
      </c>
      <c r="E49">
        <v>0</v>
      </c>
      <c r="F49" t="s">
        <v>62</v>
      </c>
      <c r="G49">
        <v>63927</v>
      </c>
      <c r="H49">
        <v>1140717355.4000001</v>
      </c>
      <c r="I49">
        <v>1297</v>
      </c>
      <c r="J49">
        <v>0.51294117569923403</v>
      </c>
      <c r="K49">
        <v>0.76279069185256954</v>
      </c>
      <c r="L49">
        <v>0.52587412595748906</v>
      </c>
      <c r="M49">
        <v>0.95944055944055939</v>
      </c>
      <c r="N49">
        <v>0.95348837209302328</v>
      </c>
      <c r="O49">
        <v>0.99588235294117644</v>
      </c>
      <c r="P49">
        <v>8254.7999999999993</v>
      </c>
      <c r="Q49">
        <v>877465324.60000002</v>
      </c>
      <c r="R49">
        <v>63752</v>
      </c>
      <c r="S49">
        <v>2</v>
      </c>
      <c r="T49">
        <v>170</v>
      </c>
      <c r="U49">
        <v>0.96223776223776225</v>
      </c>
      <c r="V49">
        <v>0.95348837209302328</v>
      </c>
      <c r="W49">
        <v>0.99529411764705877</v>
      </c>
      <c r="X49">
        <v>7934.2</v>
      </c>
      <c r="Y49">
        <v>315226932.19999999</v>
      </c>
      <c r="Z49">
        <v>64469</v>
      </c>
      <c r="AA49">
        <v>2</v>
      </c>
      <c r="AB49">
        <v>171</v>
      </c>
      <c r="AD49">
        <f>Tabela2[[#This Row],[kan_params]]</f>
        <v>63927</v>
      </c>
      <c r="AE49">
        <f>Tabela2[[#This Row],[kan_train_acc]]</f>
        <v>0.51294117569923403</v>
      </c>
      <c r="AF49">
        <f>Tabela2[[#This Row],[kan_val_acc]]</f>
        <v>0.76279069185256954</v>
      </c>
      <c r="AG49">
        <f>Tabela2[[#This Row],[kan_test_acc]]</f>
        <v>0.52587412595748906</v>
      </c>
      <c r="AH49">
        <f>Tabela2[[#This Row],[mlp_test_acc]]</f>
        <v>0.95944055944055939</v>
      </c>
      <c r="AI49">
        <f>Tabela2[[#This Row],[mlp_val_acc]]</f>
        <v>0.95348837209302328</v>
      </c>
      <c r="AJ49">
        <f>Tabela2[[#This Row],[mlp_train_acc]]</f>
        <v>0.99588235294117644</v>
      </c>
    </row>
    <row r="50" spans="1:36" hidden="1" x14ac:dyDescent="0.25">
      <c r="A50" t="s">
        <v>28</v>
      </c>
      <c r="B50">
        <v>14</v>
      </c>
      <c r="C50">
        <v>3</v>
      </c>
      <c r="D50">
        <v>5</v>
      </c>
      <c r="E50">
        <v>0</v>
      </c>
      <c r="F50" t="s">
        <v>45</v>
      </c>
      <c r="G50">
        <v>65648</v>
      </c>
      <c r="H50">
        <v>606820948.20000005</v>
      </c>
      <c r="I50">
        <v>1124.8</v>
      </c>
      <c r="J50">
        <v>0.48235293626785281</v>
      </c>
      <c r="K50">
        <v>0.8348837018013</v>
      </c>
      <c r="L50">
        <v>0.49370628595352173</v>
      </c>
      <c r="M50">
        <v>0.97202797202797198</v>
      </c>
      <c r="N50">
        <v>0.98837209302325579</v>
      </c>
      <c r="O50">
        <v>0.97411764705882353</v>
      </c>
      <c r="P50">
        <v>3139.2</v>
      </c>
      <c r="Q50">
        <v>343192805.60000002</v>
      </c>
      <c r="R50">
        <v>65190</v>
      </c>
      <c r="S50">
        <v>2</v>
      </c>
      <c r="T50">
        <v>172</v>
      </c>
      <c r="U50">
        <v>0.9706293706293706</v>
      </c>
      <c r="V50">
        <v>0.98837209302325579</v>
      </c>
      <c r="W50">
        <v>0.97823529411764709</v>
      </c>
      <c r="X50">
        <v>4613.3999999999996</v>
      </c>
      <c r="Y50">
        <v>504371531.39999998</v>
      </c>
      <c r="Z50">
        <v>65915</v>
      </c>
      <c r="AA50">
        <v>2</v>
      </c>
      <c r="AB50">
        <v>173</v>
      </c>
      <c r="AD50">
        <f>Tabela2[[#This Row],[kan_params]]</f>
        <v>65648</v>
      </c>
      <c r="AE50">
        <f>Tabela2[[#This Row],[kan_train_acc]]</f>
        <v>0.48235293626785281</v>
      </c>
      <c r="AF50">
        <f>Tabela2[[#This Row],[kan_val_acc]]</f>
        <v>0.8348837018013</v>
      </c>
      <c r="AG50">
        <f>Tabela2[[#This Row],[kan_test_acc]]</f>
        <v>0.49370628595352173</v>
      </c>
      <c r="AH50">
        <f>Tabela2[[#This Row],[mlp_test_acc]]</f>
        <v>0.97202797202797198</v>
      </c>
      <c r="AI50">
        <f>Tabela2[[#This Row],[mlp_val_acc]]</f>
        <v>0.98837209302325579</v>
      </c>
      <c r="AJ50">
        <f>Tabela2[[#This Row],[mlp_train_acc]]</f>
        <v>0.97411764705882353</v>
      </c>
    </row>
    <row r="51" spans="1:36" hidden="1" x14ac:dyDescent="0.25">
      <c r="A51" t="s">
        <v>28</v>
      </c>
      <c r="B51">
        <v>14</v>
      </c>
      <c r="C51">
        <v>5</v>
      </c>
      <c r="D51">
        <v>4</v>
      </c>
      <c r="E51">
        <v>0</v>
      </c>
      <c r="F51" t="s">
        <v>52</v>
      </c>
      <c r="G51">
        <v>66030</v>
      </c>
      <c r="H51">
        <v>1117611498.2</v>
      </c>
      <c r="I51">
        <v>1144.5999999999999</v>
      </c>
      <c r="J51">
        <v>0.53705881237983699</v>
      </c>
      <c r="K51">
        <v>0.82325582504272465</v>
      </c>
      <c r="L51">
        <v>0.53426573276519773</v>
      </c>
      <c r="M51">
        <v>0.95104895104895104</v>
      </c>
      <c r="N51">
        <v>0.97674418604651159</v>
      </c>
      <c r="O51">
        <v>0.97764705882352942</v>
      </c>
      <c r="P51">
        <v>2267.1999999999998</v>
      </c>
      <c r="Q51">
        <v>230711745.19999999</v>
      </c>
      <c r="R51">
        <v>65915</v>
      </c>
      <c r="S51">
        <v>2</v>
      </c>
      <c r="T51">
        <v>173</v>
      </c>
      <c r="U51">
        <v>0.95384615384615379</v>
      </c>
      <c r="V51">
        <v>0.97674418604651159</v>
      </c>
      <c r="W51">
        <v>0.98117647058823532</v>
      </c>
      <c r="X51">
        <v>5317.6</v>
      </c>
      <c r="Y51">
        <v>373021501</v>
      </c>
      <c r="Z51">
        <v>66644</v>
      </c>
      <c r="AA51">
        <v>2</v>
      </c>
      <c r="AB51">
        <v>174</v>
      </c>
      <c r="AD51">
        <f>Tabela2[[#This Row],[kan_params]]</f>
        <v>66030</v>
      </c>
      <c r="AE51">
        <f>Tabela2[[#This Row],[kan_train_acc]]</f>
        <v>0.53705881237983699</v>
      </c>
      <c r="AF51">
        <f>Tabela2[[#This Row],[kan_val_acc]]</f>
        <v>0.82325582504272465</v>
      </c>
      <c r="AG51">
        <f>Tabela2[[#This Row],[kan_test_acc]]</f>
        <v>0.53426573276519773</v>
      </c>
      <c r="AH51">
        <f>Tabela2[[#This Row],[mlp_test_acc]]</f>
        <v>0.95104895104895104</v>
      </c>
      <c r="AI51">
        <f>Tabela2[[#This Row],[mlp_val_acc]]</f>
        <v>0.97674418604651159</v>
      </c>
      <c r="AJ51">
        <f>Tabela2[[#This Row],[mlp_train_acc]]</f>
        <v>0.97764705882352942</v>
      </c>
    </row>
    <row r="52" spans="1:36" hidden="1" x14ac:dyDescent="0.25">
      <c r="A52" t="s">
        <v>28</v>
      </c>
      <c r="B52">
        <v>14</v>
      </c>
      <c r="C52">
        <v>3</v>
      </c>
      <c r="D52">
        <v>5</v>
      </c>
      <c r="E52">
        <v>0</v>
      </c>
      <c r="F52" t="s">
        <v>39</v>
      </c>
      <c r="G52">
        <v>66091</v>
      </c>
      <c r="H52">
        <v>1230163100</v>
      </c>
      <c r="I52">
        <v>1289.2</v>
      </c>
      <c r="J52">
        <v>0.53235294222831731</v>
      </c>
      <c r="K52">
        <v>0.87674417495727541</v>
      </c>
      <c r="L52">
        <v>0.51748252511024473</v>
      </c>
      <c r="M52">
        <v>0.94545454545454544</v>
      </c>
      <c r="N52">
        <v>0.96744186046511627</v>
      </c>
      <c r="O52">
        <v>0.97176470588235297</v>
      </c>
      <c r="P52">
        <v>2262.4</v>
      </c>
      <c r="Q52">
        <v>267078701.40000001</v>
      </c>
      <c r="R52">
        <v>65915</v>
      </c>
      <c r="S52">
        <v>2</v>
      </c>
      <c r="T52">
        <v>173</v>
      </c>
      <c r="U52">
        <v>0.95384615384615379</v>
      </c>
      <c r="V52">
        <v>0.97441860465116281</v>
      </c>
      <c r="W52">
        <v>0.98058823529411765</v>
      </c>
      <c r="X52">
        <v>5097.6000000000004</v>
      </c>
      <c r="Y52">
        <v>749695371</v>
      </c>
      <c r="Z52">
        <v>66644</v>
      </c>
      <c r="AA52">
        <v>2</v>
      </c>
      <c r="AB52">
        <v>174</v>
      </c>
      <c r="AD52">
        <f>Tabela2[[#This Row],[kan_params]]</f>
        <v>66091</v>
      </c>
      <c r="AE52">
        <f>Tabela2[[#This Row],[kan_train_acc]]</f>
        <v>0.53235294222831731</v>
      </c>
      <c r="AF52">
        <f>Tabela2[[#This Row],[kan_val_acc]]</f>
        <v>0.87674417495727541</v>
      </c>
      <c r="AG52">
        <f>Tabela2[[#This Row],[kan_test_acc]]</f>
        <v>0.51748252511024473</v>
      </c>
      <c r="AH52">
        <f>Tabela2[[#This Row],[mlp_test_acc]]</f>
        <v>0.94545454545454544</v>
      </c>
      <c r="AI52">
        <f>Tabela2[[#This Row],[mlp_val_acc]]</f>
        <v>0.96744186046511627</v>
      </c>
      <c r="AJ52">
        <f>Tabela2[[#This Row],[mlp_train_acc]]</f>
        <v>0.97176470588235297</v>
      </c>
    </row>
    <row r="53" spans="1:36" hidden="1" x14ac:dyDescent="0.25">
      <c r="A53" t="s">
        <v>28</v>
      </c>
      <c r="B53">
        <v>14</v>
      </c>
      <c r="C53">
        <v>3</v>
      </c>
      <c r="D53">
        <v>5</v>
      </c>
      <c r="E53">
        <v>0</v>
      </c>
      <c r="F53" t="s">
        <v>33</v>
      </c>
      <c r="G53">
        <v>66094</v>
      </c>
      <c r="H53">
        <v>1093729708.5999999</v>
      </c>
      <c r="I53">
        <v>1246.2</v>
      </c>
      <c r="J53">
        <v>0.4352941155433655</v>
      </c>
      <c r="K53">
        <v>0.86511627435684202</v>
      </c>
      <c r="L53">
        <v>0.43356643319129945</v>
      </c>
      <c r="M53">
        <v>0.94545454545454544</v>
      </c>
      <c r="N53">
        <v>0.94186046511627908</v>
      </c>
      <c r="O53">
        <v>0.97352941176470587</v>
      </c>
      <c r="P53">
        <v>2998.8</v>
      </c>
      <c r="Q53">
        <v>76607928.599999994</v>
      </c>
      <c r="R53">
        <v>65915</v>
      </c>
      <c r="S53">
        <v>2</v>
      </c>
      <c r="T53">
        <v>173</v>
      </c>
      <c r="U53">
        <v>0.95244755244755241</v>
      </c>
      <c r="V53">
        <v>0.95348837209302328</v>
      </c>
      <c r="W53">
        <v>0.98117647058823532</v>
      </c>
      <c r="X53">
        <v>7169.2</v>
      </c>
      <c r="Y53">
        <v>310616560</v>
      </c>
      <c r="Z53">
        <v>66644</v>
      </c>
      <c r="AA53">
        <v>2</v>
      </c>
      <c r="AB53">
        <v>174</v>
      </c>
      <c r="AD53">
        <f>Tabela2[[#This Row],[kan_params]]</f>
        <v>66094</v>
      </c>
      <c r="AE53">
        <f>Tabela2[[#This Row],[kan_train_acc]]</f>
        <v>0.4352941155433655</v>
      </c>
      <c r="AF53">
        <f>Tabela2[[#This Row],[kan_val_acc]]</f>
        <v>0.86511627435684202</v>
      </c>
      <c r="AG53">
        <f>Tabela2[[#This Row],[kan_test_acc]]</f>
        <v>0.43356643319129945</v>
      </c>
      <c r="AH53">
        <f>Tabela2[[#This Row],[mlp_test_acc]]</f>
        <v>0.94545454545454544</v>
      </c>
      <c r="AI53">
        <f>Tabela2[[#This Row],[mlp_val_acc]]</f>
        <v>0.94186046511627908</v>
      </c>
      <c r="AJ53">
        <f>Tabela2[[#This Row],[mlp_train_acc]]</f>
        <v>0.97352941176470587</v>
      </c>
    </row>
    <row r="54" spans="1:36" x14ac:dyDescent="0.25">
      <c r="A54" t="s">
        <v>28</v>
      </c>
      <c r="B54">
        <v>16</v>
      </c>
      <c r="C54">
        <v>5</v>
      </c>
      <c r="D54">
        <v>5</v>
      </c>
      <c r="E54">
        <v>0</v>
      </c>
      <c r="F54" t="s">
        <v>63</v>
      </c>
      <c r="G54">
        <v>67772</v>
      </c>
      <c r="H54">
        <v>1014767367.6</v>
      </c>
      <c r="I54">
        <v>1115.8</v>
      </c>
      <c r="J54">
        <v>0.66117647886276243</v>
      </c>
      <c r="K54">
        <v>0.80232559442520146</v>
      </c>
      <c r="L54">
        <v>0.6713286876678467</v>
      </c>
      <c r="M54">
        <v>0.95384615384615379</v>
      </c>
      <c r="N54">
        <v>0.95348837209302328</v>
      </c>
      <c r="O54">
        <v>0.99058823529411766</v>
      </c>
      <c r="P54">
        <v>9080.6</v>
      </c>
      <c r="Q54">
        <v>1220510854</v>
      </c>
      <c r="R54">
        <v>67377</v>
      </c>
      <c r="S54">
        <v>2</v>
      </c>
      <c r="T54">
        <v>175</v>
      </c>
      <c r="U54">
        <v>0.95944055944055939</v>
      </c>
      <c r="V54">
        <v>0.95348837209302328</v>
      </c>
      <c r="W54">
        <v>1</v>
      </c>
      <c r="X54">
        <v>8344.4</v>
      </c>
      <c r="Y54">
        <v>447397796.39999998</v>
      </c>
      <c r="Z54">
        <v>68114</v>
      </c>
      <c r="AA54">
        <v>2</v>
      </c>
      <c r="AB54">
        <v>176</v>
      </c>
      <c r="AD54">
        <f>Tabela2[[#This Row],[kan_params]]</f>
        <v>67772</v>
      </c>
      <c r="AE54">
        <f>Tabela2[[#This Row],[kan_train_acc]]</f>
        <v>0.66117647886276243</v>
      </c>
      <c r="AF54">
        <f>Tabela2[[#This Row],[kan_val_acc]]</f>
        <v>0.80232559442520146</v>
      </c>
      <c r="AG54">
        <f>Tabela2[[#This Row],[kan_test_acc]]</f>
        <v>0.6713286876678467</v>
      </c>
      <c r="AH54">
        <f>Tabela2[[#This Row],[mlp_test_acc]]</f>
        <v>0.95384615384615379</v>
      </c>
      <c r="AI54">
        <f>Tabela2[[#This Row],[mlp_val_acc]]</f>
        <v>0.95348837209302328</v>
      </c>
      <c r="AJ54">
        <f>Tabela2[[#This Row],[mlp_train_acc]]</f>
        <v>0.99058823529411766</v>
      </c>
    </row>
    <row r="55" spans="1:36" hidden="1" x14ac:dyDescent="0.25">
      <c r="A55" t="s">
        <v>28</v>
      </c>
      <c r="B55">
        <v>14</v>
      </c>
      <c r="C55">
        <v>3</v>
      </c>
      <c r="D55">
        <v>5</v>
      </c>
      <c r="E55">
        <v>0</v>
      </c>
      <c r="F55" t="s">
        <v>46</v>
      </c>
      <c r="G55">
        <v>69833</v>
      </c>
      <c r="H55">
        <v>621829838.39999998</v>
      </c>
      <c r="I55">
        <v>1079.2</v>
      </c>
      <c r="J55">
        <v>0.6088235348463058</v>
      </c>
      <c r="K55">
        <v>0.9</v>
      </c>
      <c r="L55">
        <v>0.63636364042758942</v>
      </c>
      <c r="M55">
        <v>0.97342657342657335</v>
      </c>
      <c r="N55">
        <v>0.98837209302325579</v>
      </c>
      <c r="O55">
        <v>0.97411764705882353</v>
      </c>
      <c r="P55">
        <v>3155.6</v>
      </c>
      <c r="Q55">
        <v>374391769.39999998</v>
      </c>
      <c r="R55">
        <v>69600</v>
      </c>
      <c r="S55">
        <v>2</v>
      </c>
      <c r="T55">
        <v>178</v>
      </c>
      <c r="U55">
        <v>0.96923076923076923</v>
      </c>
      <c r="V55">
        <v>0.98837209302325579</v>
      </c>
      <c r="W55">
        <v>0.97411764705882353</v>
      </c>
      <c r="X55">
        <v>4555.2</v>
      </c>
      <c r="Y55">
        <v>532020982.19999999</v>
      </c>
      <c r="Z55">
        <v>70349</v>
      </c>
      <c r="AA55">
        <v>2</v>
      </c>
      <c r="AB55">
        <v>179</v>
      </c>
      <c r="AD55">
        <f>Tabela2[[#This Row],[kan_params]]</f>
        <v>69833</v>
      </c>
      <c r="AE55">
        <f>Tabela2[[#This Row],[kan_train_acc]]</f>
        <v>0.6088235348463058</v>
      </c>
      <c r="AF55">
        <f>Tabela2[[#This Row],[kan_val_acc]]</f>
        <v>0.9</v>
      </c>
      <c r="AG55">
        <f>Tabela2[[#This Row],[kan_test_acc]]</f>
        <v>0.63636364042758942</v>
      </c>
      <c r="AH55">
        <f>Tabela2[[#This Row],[mlp_test_acc]]</f>
        <v>0.97342657342657335</v>
      </c>
      <c r="AI55">
        <f>Tabela2[[#This Row],[mlp_val_acc]]</f>
        <v>0.98837209302325579</v>
      </c>
      <c r="AJ55">
        <f>Tabela2[[#This Row],[mlp_train_acc]]</f>
        <v>0.97411764705882353</v>
      </c>
    </row>
    <row r="56" spans="1:36" hidden="1" x14ac:dyDescent="0.25">
      <c r="A56" t="s">
        <v>28</v>
      </c>
      <c r="B56">
        <v>14</v>
      </c>
      <c r="C56">
        <v>3</v>
      </c>
      <c r="D56">
        <v>5</v>
      </c>
      <c r="E56">
        <v>0</v>
      </c>
      <c r="F56" t="s">
        <v>40</v>
      </c>
      <c r="G56">
        <v>70056</v>
      </c>
      <c r="H56">
        <v>1367453675.2</v>
      </c>
      <c r="I56">
        <v>1371.6</v>
      </c>
      <c r="J56">
        <v>0.49705883264541628</v>
      </c>
      <c r="K56">
        <v>0.89302326440811153</v>
      </c>
      <c r="L56">
        <v>0.50769230425357814</v>
      </c>
      <c r="M56">
        <v>0.95104895104895104</v>
      </c>
      <c r="N56">
        <v>0.96511627906976749</v>
      </c>
      <c r="O56">
        <v>0.97352941176470587</v>
      </c>
      <c r="P56">
        <v>2247.6</v>
      </c>
      <c r="Q56">
        <v>248771292.40000001</v>
      </c>
      <c r="R56">
        <v>69600</v>
      </c>
      <c r="S56">
        <v>2</v>
      </c>
      <c r="T56">
        <v>178</v>
      </c>
      <c r="U56">
        <v>0.94265734265734269</v>
      </c>
      <c r="V56">
        <v>0.96976744186046515</v>
      </c>
      <c r="W56">
        <v>0.97529411764705876</v>
      </c>
      <c r="X56">
        <v>2436.1999999999998</v>
      </c>
      <c r="Y56">
        <v>285153719</v>
      </c>
      <c r="Z56">
        <v>70349</v>
      </c>
      <c r="AA56">
        <v>2</v>
      </c>
      <c r="AB56">
        <v>179</v>
      </c>
      <c r="AD56">
        <f>Tabela2[[#This Row],[kan_params]]</f>
        <v>70056</v>
      </c>
      <c r="AE56">
        <f>Tabela2[[#This Row],[kan_train_acc]]</f>
        <v>0.49705883264541628</v>
      </c>
      <c r="AF56">
        <f>Tabela2[[#This Row],[kan_val_acc]]</f>
        <v>0.89302326440811153</v>
      </c>
      <c r="AG56">
        <f>Tabela2[[#This Row],[kan_test_acc]]</f>
        <v>0.50769230425357814</v>
      </c>
      <c r="AH56">
        <f>Tabela2[[#This Row],[mlp_test_acc]]</f>
        <v>0.95104895104895104</v>
      </c>
      <c r="AI56">
        <f>Tabela2[[#This Row],[mlp_val_acc]]</f>
        <v>0.96511627906976749</v>
      </c>
      <c r="AJ56">
        <f>Tabela2[[#This Row],[mlp_train_acc]]</f>
        <v>0.97352941176470587</v>
      </c>
    </row>
    <row r="57" spans="1:36" hidden="1" x14ac:dyDescent="0.25">
      <c r="A57" t="s">
        <v>28</v>
      </c>
      <c r="B57">
        <v>14</v>
      </c>
      <c r="C57">
        <v>5</v>
      </c>
      <c r="D57">
        <v>4</v>
      </c>
      <c r="E57">
        <v>0</v>
      </c>
      <c r="F57" t="s">
        <v>53</v>
      </c>
      <c r="G57">
        <v>70235</v>
      </c>
      <c r="H57">
        <v>1394013248</v>
      </c>
      <c r="I57">
        <v>1354.2</v>
      </c>
      <c r="J57">
        <v>0.5835294187068939</v>
      </c>
      <c r="K57">
        <v>0.85116277933120732</v>
      </c>
      <c r="L57">
        <v>0.56643356680870061</v>
      </c>
      <c r="M57">
        <v>0.94965034965034967</v>
      </c>
      <c r="N57">
        <v>0.97674418604651159</v>
      </c>
      <c r="O57">
        <v>0.9747058823529412</v>
      </c>
      <c r="P57">
        <v>2261.1999999999998</v>
      </c>
      <c r="Q57">
        <v>272592078.39999998</v>
      </c>
      <c r="R57">
        <v>69600</v>
      </c>
      <c r="S57">
        <v>2</v>
      </c>
      <c r="T57">
        <v>178</v>
      </c>
      <c r="U57">
        <v>0.95944055944055939</v>
      </c>
      <c r="V57">
        <v>0.97674418604651159</v>
      </c>
      <c r="W57">
        <v>0.97235294117647064</v>
      </c>
      <c r="X57">
        <v>4179.2</v>
      </c>
      <c r="Y57">
        <v>594300807.79999995</v>
      </c>
      <c r="Z57">
        <v>70349</v>
      </c>
      <c r="AA57">
        <v>2</v>
      </c>
      <c r="AB57">
        <v>179</v>
      </c>
      <c r="AD57">
        <f>Tabela2[[#This Row],[kan_params]]</f>
        <v>70235</v>
      </c>
      <c r="AE57">
        <f>Tabela2[[#This Row],[kan_train_acc]]</f>
        <v>0.5835294187068939</v>
      </c>
      <c r="AF57">
        <f>Tabela2[[#This Row],[kan_val_acc]]</f>
        <v>0.85116277933120732</v>
      </c>
      <c r="AG57">
        <f>Tabela2[[#This Row],[kan_test_acc]]</f>
        <v>0.56643356680870061</v>
      </c>
      <c r="AH57">
        <f>Tabela2[[#This Row],[mlp_test_acc]]</f>
        <v>0.94965034965034967</v>
      </c>
      <c r="AI57">
        <f>Tabela2[[#This Row],[mlp_val_acc]]</f>
        <v>0.97674418604651159</v>
      </c>
      <c r="AJ57">
        <f>Tabela2[[#This Row],[mlp_train_acc]]</f>
        <v>0.9747058823529412</v>
      </c>
    </row>
    <row r="58" spans="1:36" hidden="1" x14ac:dyDescent="0.25">
      <c r="A58" t="s">
        <v>28</v>
      </c>
      <c r="B58">
        <v>14</v>
      </c>
      <c r="C58">
        <v>5</v>
      </c>
      <c r="D58">
        <v>4</v>
      </c>
      <c r="E58">
        <v>0</v>
      </c>
      <c r="F58" t="s">
        <v>47</v>
      </c>
      <c r="G58">
        <v>70658</v>
      </c>
      <c r="H58">
        <v>867361932.20000005</v>
      </c>
      <c r="I58">
        <v>1150.4000000000001</v>
      </c>
      <c r="J58">
        <v>0.4699999988079071</v>
      </c>
      <c r="K58">
        <v>0.87906976938247683</v>
      </c>
      <c r="L58">
        <v>0.48531469106674197</v>
      </c>
      <c r="M58">
        <v>0.94545454545454544</v>
      </c>
      <c r="N58">
        <v>0.98372093023255813</v>
      </c>
      <c r="O58">
        <v>0.98764705882352943</v>
      </c>
      <c r="P58">
        <v>10000</v>
      </c>
      <c r="Q58">
        <v>448641770.60000002</v>
      </c>
      <c r="R58">
        <v>70349</v>
      </c>
      <c r="S58">
        <v>2</v>
      </c>
      <c r="T58">
        <v>179</v>
      </c>
      <c r="U58">
        <v>0.94125874125874132</v>
      </c>
      <c r="V58">
        <v>0.98139534883720925</v>
      </c>
      <c r="W58">
        <v>0.98764705882352943</v>
      </c>
      <c r="X58">
        <v>10000</v>
      </c>
      <c r="Y58">
        <v>441554742.39999998</v>
      </c>
      <c r="Z58">
        <v>71102</v>
      </c>
      <c r="AA58">
        <v>2</v>
      </c>
      <c r="AB58">
        <v>180</v>
      </c>
      <c r="AD58">
        <f>Tabela2[[#This Row],[kan_params]]</f>
        <v>70658</v>
      </c>
      <c r="AE58">
        <f>Tabela2[[#This Row],[kan_train_acc]]</f>
        <v>0.4699999988079071</v>
      </c>
      <c r="AF58">
        <f>Tabela2[[#This Row],[kan_val_acc]]</f>
        <v>0.87906976938247683</v>
      </c>
      <c r="AG58">
        <f>Tabela2[[#This Row],[kan_test_acc]]</f>
        <v>0.48531469106674197</v>
      </c>
      <c r="AH58">
        <f>Tabela2[[#This Row],[mlp_test_acc]]</f>
        <v>0.94545454545454544</v>
      </c>
      <c r="AI58">
        <f>Tabela2[[#This Row],[mlp_val_acc]]</f>
        <v>0.98372093023255813</v>
      </c>
      <c r="AJ58">
        <f>Tabela2[[#This Row],[mlp_train_acc]]</f>
        <v>0.98764705882352943</v>
      </c>
    </row>
    <row r="59" spans="1:36" hidden="1" x14ac:dyDescent="0.25">
      <c r="A59" t="s">
        <v>28</v>
      </c>
      <c r="B59">
        <v>14</v>
      </c>
      <c r="C59">
        <v>3</v>
      </c>
      <c r="D59">
        <v>5</v>
      </c>
      <c r="E59">
        <v>0</v>
      </c>
      <c r="F59" t="s">
        <v>47</v>
      </c>
      <c r="G59">
        <v>74018</v>
      </c>
      <c r="H59">
        <v>739897896</v>
      </c>
      <c r="I59">
        <v>1231.2</v>
      </c>
      <c r="J59">
        <v>0.55352942347526546</v>
      </c>
      <c r="K59">
        <v>0.81627907752990725</v>
      </c>
      <c r="L59">
        <v>0.57762237787246706</v>
      </c>
      <c r="M59">
        <v>0.96923076923076923</v>
      </c>
      <c r="N59">
        <v>0.98837209302325579</v>
      </c>
      <c r="O59">
        <v>0.97941176470588232</v>
      </c>
      <c r="P59">
        <v>5393.4</v>
      </c>
      <c r="Q59">
        <v>644290078.39999998</v>
      </c>
      <c r="R59">
        <v>73385</v>
      </c>
      <c r="S59">
        <v>2</v>
      </c>
      <c r="T59">
        <v>183</v>
      </c>
      <c r="U59">
        <v>0.96923076923076923</v>
      </c>
      <c r="V59">
        <v>0.98837209302325579</v>
      </c>
      <c r="W59">
        <v>0.97529411764705887</v>
      </c>
      <c r="X59">
        <v>4150</v>
      </c>
      <c r="Y59">
        <v>486035850.80000001</v>
      </c>
      <c r="Z59">
        <v>74154</v>
      </c>
      <c r="AA59">
        <v>2</v>
      </c>
      <c r="AB59">
        <v>184</v>
      </c>
      <c r="AD59">
        <f>Tabela2[[#This Row],[kan_params]]</f>
        <v>74018</v>
      </c>
      <c r="AE59">
        <f>Tabela2[[#This Row],[kan_train_acc]]</f>
        <v>0.55352942347526546</v>
      </c>
      <c r="AF59">
        <f>Tabela2[[#This Row],[kan_val_acc]]</f>
        <v>0.81627907752990725</v>
      </c>
      <c r="AG59">
        <f>Tabela2[[#This Row],[kan_test_acc]]</f>
        <v>0.57762237787246706</v>
      </c>
      <c r="AH59">
        <f>Tabela2[[#This Row],[mlp_test_acc]]</f>
        <v>0.96923076923076923</v>
      </c>
      <c r="AI59">
        <f>Tabela2[[#This Row],[mlp_val_acc]]</f>
        <v>0.98837209302325579</v>
      </c>
      <c r="AJ59">
        <f>Tabela2[[#This Row],[mlp_train_acc]]</f>
        <v>0.97941176470588232</v>
      </c>
    </row>
    <row r="60" spans="1:36" hidden="1" x14ac:dyDescent="0.25">
      <c r="A60" t="s">
        <v>28</v>
      </c>
      <c r="B60">
        <v>14</v>
      </c>
      <c r="C60">
        <v>5</v>
      </c>
      <c r="D60">
        <v>4</v>
      </c>
      <c r="E60">
        <v>0</v>
      </c>
      <c r="F60" t="s">
        <v>54</v>
      </c>
      <c r="G60">
        <v>74440</v>
      </c>
      <c r="H60">
        <v>1316129245.2</v>
      </c>
      <c r="I60">
        <v>1358.2</v>
      </c>
      <c r="J60">
        <v>0.52294117212295532</v>
      </c>
      <c r="K60">
        <v>0.84651162624359133</v>
      </c>
      <c r="L60">
        <v>0.54265733361244206</v>
      </c>
      <c r="M60">
        <v>0.96083916083916077</v>
      </c>
      <c r="N60">
        <v>0.97906976744186047</v>
      </c>
      <c r="O60">
        <v>0.98352941176470587</v>
      </c>
      <c r="P60">
        <v>6563.6</v>
      </c>
      <c r="Q60">
        <v>632425185.20000005</v>
      </c>
      <c r="R60">
        <v>74154</v>
      </c>
      <c r="S60">
        <v>2</v>
      </c>
      <c r="T60">
        <v>184</v>
      </c>
      <c r="U60">
        <v>0.96083916083916077</v>
      </c>
      <c r="V60">
        <v>0.97674418604651159</v>
      </c>
      <c r="W60">
        <v>0.98470588235294121</v>
      </c>
      <c r="X60">
        <v>6897.6</v>
      </c>
      <c r="Y60">
        <v>666867416.20000005</v>
      </c>
      <c r="Z60">
        <v>74927</v>
      </c>
      <c r="AA60">
        <v>2</v>
      </c>
      <c r="AB60">
        <v>185</v>
      </c>
      <c r="AD60">
        <f>Tabela2[[#This Row],[kan_params]]</f>
        <v>74440</v>
      </c>
      <c r="AE60">
        <f>Tabela2[[#This Row],[kan_train_acc]]</f>
        <v>0.52294117212295532</v>
      </c>
      <c r="AF60">
        <f>Tabela2[[#This Row],[kan_val_acc]]</f>
        <v>0.84651162624359133</v>
      </c>
      <c r="AG60">
        <f>Tabela2[[#This Row],[kan_test_acc]]</f>
        <v>0.54265733361244206</v>
      </c>
      <c r="AH60">
        <f>Tabela2[[#This Row],[mlp_test_acc]]</f>
        <v>0.96083916083916077</v>
      </c>
      <c r="AI60">
        <f>Tabela2[[#This Row],[mlp_val_acc]]</f>
        <v>0.97906976744186047</v>
      </c>
      <c r="AJ60">
        <f>Tabela2[[#This Row],[mlp_train_acc]]</f>
        <v>0.98352941176470587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E9179-3F51-47A9-9875-4B3EEEA310BB}">
  <dimension ref="A1:AJ53"/>
  <sheetViews>
    <sheetView tabSelected="1" workbookViewId="0">
      <selection activeCell="I2" sqref="I2:I29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3" t="s">
        <v>27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  <c r="AI1" t="s">
        <v>234</v>
      </c>
      <c r="AJ1" t="s">
        <v>235</v>
      </c>
    </row>
    <row r="2" spans="1:36" x14ac:dyDescent="0.25">
      <c r="A2" t="s">
        <v>196</v>
      </c>
      <c r="B2">
        <v>8</v>
      </c>
      <c r="C2">
        <v>3</v>
      </c>
      <c r="D2">
        <v>2</v>
      </c>
      <c r="E2">
        <v>0</v>
      </c>
      <c r="F2" t="s">
        <v>201</v>
      </c>
      <c r="G2">
        <v>279</v>
      </c>
      <c r="H2">
        <v>3782947.8</v>
      </c>
      <c r="I2">
        <v>12</v>
      </c>
      <c r="J2">
        <v>0.98876404762268066</v>
      </c>
      <c r="K2">
        <v>1</v>
      </c>
      <c r="L2">
        <v>0.96842104196548462</v>
      </c>
      <c r="M2">
        <v>0.94736842105263153</v>
      </c>
      <c r="N2">
        <v>1</v>
      </c>
      <c r="O2">
        <v>0.97752808988764039</v>
      </c>
      <c r="P2">
        <v>9999</v>
      </c>
      <c r="Q2">
        <v>145813100.59999999</v>
      </c>
      <c r="R2">
        <v>255</v>
      </c>
      <c r="S2">
        <v>2</v>
      </c>
      <c r="T2">
        <v>9</v>
      </c>
      <c r="U2">
        <v>0.94736842105263153</v>
      </c>
      <c r="V2">
        <v>1</v>
      </c>
      <c r="W2">
        <v>0.97752808988764039</v>
      </c>
      <c r="X2">
        <v>9999</v>
      </c>
      <c r="Y2">
        <v>139994175</v>
      </c>
      <c r="Z2">
        <v>303</v>
      </c>
      <c r="AA2">
        <v>2</v>
      </c>
      <c r="AB2">
        <v>10</v>
      </c>
      <c r="AD2">
        <f>Tabela4[[#This Row],[kan_params]]</f>
        <v>279</v>
      </c>
      <c r="AE2">
        <f>Tabela4[[#This Row],[kan_train_acc]]</f>
        <v>0.98876404762268066</v>
      </c>
      <c r="AF2">
        <f>Tabela4[[#This Row],[kan_val_acc]]</f>
        <v>1</v>
      </c>
      <c r="AG2">
        <f>Tabela4[[#This Row],[kan_test_acc]]</f>
        <v>0.96842104196548462</v>
      </c>
      <c r="AH2">
        <f>Tabela4[[#This Row],[mlp_test_acc]]</f>
        <v>0.94736842105263153</v>
      </c>
      <c r="AI2">
        <f>Tabela4[[#This Row],[mlp_val_acc]]</f>
        <v>1</v>
      </c>
      <c r="AJ2">
        <f>Tabela4[[#This Row],[mlp_train_acc]]</f>
        <v>0.97752808988764039</v>
      </c>
    </row>
    <row r="3" spans="1:36" hidden="1" x14ac:dyDescent="0.25">
      <c r="A3" t="s">
        <v>196</v>
      </c>
      <c r="B3">
        <v>10</v>
      </c>
      <c r="C3">
        <v>5</v>
      </c>
      <c r="D3">
        <v>2</v>
      </c>
      <c r="E3">
        <v>0</v>
      </c>
      <c r="F3" t="s">
        <v>201</v>
      </c>
      <c r="G3">
        <v>321</v>
      </c>
      <c r="H3">
        <v>3749557.6</v>
      </c>
      <c r="I3">
        <v>12</v>
      </c>
      <c r="J3">
        <v>1</v>
      </c>
      <c r="K3">
        <v>0.95652174949645996</v>
      </c>
      <c r="L3">
        <v>0.899999988079071</v>
      </c>
      <c r="M3">
        <v>0.89473684210526316</v>
      </c>
      <c r="N3">
        <v>1</v>
      </c>
      <c r="O3">
        <v>1</v>
      </c>
      <c r="P3">
        <v>9999</v>
      </c>
      <c r="Q3">
        <v>126783793.8</v>
      </c>
      <c r="R3">
        <v>303</v>
      </c>
      <c r="S3">
        <v>2</v>
      </c>
      <c r="T3">
        <v>10</v>
      </c>
      <c r="U3">
        <v>0.89473684210526316</v>
      </c>
      <c r="V3">
        <v>1</v>
      </c>
      <c r="W3">
        <v>1</v>
      </c>
      <c r="X3">
        <v>9999</v>
      </c>
      <c r="Y3">
        <v>126715511.59999999</v>
      </c>
      <c r="Z3">
        <v>355</v>
      </c>
      <c r="AA3">
        <v>2</v>
      </c>
      <c r="AB3">
        <v>11</v>
      </c>
      <c r="AD3">
        <f>Tabela4[[#This Row],[kan_params]]</f>
        <v>321</v>
      </c>
      <c r="AE3">
        <f>Tabela4[[#This Row],[kan_train_acc]]</f>
        <v>1</v>
      </c>
      <c r="AF3">
        <f>Tabela4[[#This Row],[kan_val_acc]]</f>
        <v>0.95652174949645996</v>
      </c>
      <c r="AG3">
        <f>Tabela4[[#This Row],[kan_test_acc]]</f>
        <v>0.899999988079071</v>
      </c>
      <c r="AH3">
        <f>Tabela4[[#This Row],[mlp_test_acc]]</f>
        <v>0.89473684210526316</v>
      </c>
      <c r="AI3">
        <f>Tabela4[[#This Row],[mlp_val_acc]]</f>
        <v>1</v>
      </c>
      <c r="AJ3">
        <f>Tabela4[[#This Row],[mlp_train_acc]]</f>
        <v>1</v>
      </c>
    </row>
    <row r="4" spans="1:36" x14ac:dyDescent="0.25">
      <c r="A4" t="s">
        <v>196</v>
      </c>
      <c r="B4">
        <v>10</v>
      </c>
      <c r="C4">
        <v>3</v>
      </c>
      <c r="D4">
        <v>3</v>
      </c>
      <c r="E4">
        <v>0</v>
      </c>
      <c r="F4" t="s">
        <v>201</v>
      </c>
      <c r="G4">
        <v>342</v>
      </c>
      <c r="H4">
        <v>6525184.2000000002</v>
      </c>
      <c r="I4">
        <v>12</v>
      </c>
      <c r="J4">
        <v>0.98876404762268066</v>
      </c>
      <c r="K4">
        <v>1</v>
      </c>
      <c r="L4">
        <v>0.96315788030624394</v>
      </c>
      <c r="M4">
        <v>0.94736842105263153</v>
      </c>
      <c r="N4">
        <v>1</v>
      </c>
      <c r="O4">
        <v>0.97752808988764039</v>
      </c>
      <c r="P4">
        <v>9999</v>
      </c>
      <c r="Q4">
        <v>210115249.59999999</v>
      </c>
      <c r="R4">
        <v>303</v>
      </c>
      <c r="S4">
        <v>2</v>
      </c>
      <c r="T4">
        <v>10</v>
      </c>
      <c r="U4">
        <v>0.94736842105263153</v>
      </c>
      <c r="V4">
        <v>1</v>
      </c>
      <c r="W4">
        <v>0.97752808988764039</v>
      </c>
      <c r="X4">
        <v>9999</v>
      </c>
      <c r="Y4">
        <v>209445064</v>
      </c>
      <c r="Z4">
        <v>355</v>
      </c>
      <c r="AA4">
        <v>2</v>
      </c>
      <c r="AB4">
        <v>11</v>
      </c>
      <c r="AD4">
        <f>Tabela4[[#This Row],[kan_params]]</f>
        <v>342</v>
      </c>
      <c r="AE4">
        <f>Tabela4[[#This Row],[kan_train_acc]]</f>
        <v>0.98876404762268066</v>
      </c>
      <c r="AF4">
        <f>Tabela4[[#This Row],[kan_val_acc]]</f>
        <v>1</v>
      </c>
      <c r="AG4">
        <f>Tabela4[[#This Row],[kan_test_acc]]</f>
        <v>0.96315788030624394</v>
      </c>
      <c r="AH4">
        <f>Tabela4[[#This Row],[mlp_test_acc]]</f>
        <v>0.94736842105263153</v>
      </c>
      <c r="AI4">
        <f>Tabela4[[#This Row],[mlp_val_acc]]</f>
        <v>1</v>
      </c>
      <c r="AJ4">
        <f>Tabela4[[#This Row],[mlp_train_acc]]</f>
        <v>0.97752808988764039</v>
      </c>
    </row>
    <row r="5" spans="1:36" x14ac:dyDescent="0.25">
      <c r="A5" t="s">
        <v>196</v>
      </c>
      <c r="B5">
        <v>12</v>
      </c>
      <c r="C5">
        <v>3</v>
      </c>
      <c r="D5">
        <v>4</v>
      </c>
      <c r="E5">
        <v>0</v>
      </c>
      <c r="F5" t="s">
        <v>201</v>
      </c>
      <c r="G5">
        <v>405</v>
      </c>
      <c r="H5">
        <v>5800902.4000000004</v>
      </c>
      <c r="I5">
        <v>14</v>
      </c>
      <c r="J5">
        <v>1</v>
      </c>
      <c r="K5">
        <v>0.96521739959716801</v>
      </c>
      <c r="L5">
        <v>0.79473686218261719</v>
      </c>
      <c r="M5">
        <v>0.90526315789473688</v>
      </c>
      <c r="N5">
        <v>1</v>
      </c>
      <c r="O5">
        <v>1</v>
      </c>
      <c r="P5">
        <v>9999</v>
      </c>
      <c r="Q5">
        <v>127293111.40000001</v>
      </c>
      <c r="R5">
        <v>355</v>
      </c>
      <c r="S5">
        <v>2</v>
      </c>
      <c r="T5">
        <v>11</v>
      </c>
      <c r="U5">
        <v>0.9</v>
      </c>
      <c r="V5">
        <v>1</v>
      </c>
      <c r="W5">
        <v>1</v>
      </c>
      <c r="X5">
        <v>9999</v>
      </c>
      <c r="Y5">
        <v>126520702.40000001</v>
      </c>
      <c r="Z5">
        <v>411</v>
      </c>
      <c r="AA5">
        <v>2</v>
      </c>
      <c r="AB5">
        <v>12</v>
      </c>
      <c r="AD5">
        <f>Tabela4[[#This Row],[kan_params]]</f>
        <v>405</v>
      </c>
      <c r="AE5">
        <f>Tabela4[[#This Row],[kan_train_acc]]</f>
        <v>1</v>
      </c>
      <c r="AF5">
        <f>Tabela4[[#This Row],[kan_val_acc]]</f>
        <v>0.96521739959716801</v>
      </c>
      <c r="AG5">
        <f>Tabela4[[#This Row],[kan_test_acc]]</f>
        <v>0.79473686218261719</v>
      </c>
      <c r="AH5">
        <f>Tabela4[[#This Row],[mlp_test_acc]]</f>
        <v>0.90526315789473688</v>
      </c>
      <c r="AI5">
        <f>Tabela4[[#This Row],[mlp_val_acc]]</f>
        <v>1</v>
      </c>
      <c r="AJ5">
        <f>Tabela4[[#This Row],[mlp_train_acc]]</f>
        <v>1</v>
      </c>
    </row>
    <row r="6" spans="1:36" x14ac:dyDescent="0.25">
      <c r="A6" t="s">
        <v>196</v>
      </c>
      <c r="B6">
        <v>14</v>
      </c>
      <c r="C6">
        <v>3</v>
      </c>
      <c r="D6">
        <v>5</v>
      </c>
      <c r="E6">
        <v>0</v>
      </c>
      <c r="F6" t="s">
        <v>201</v>
      </c>
      <c r="G6">
        <v>468</v>
      </c>
      <c r="H6">
        <v>5190016.2</v>
      </c>
      <c r="I6">
        <v>15</v>
      </c>
      <c r="J6">
        <v>1</v>
      </c>
      <c r="K6">
        <v>1</v>
      </c>
      <c r="L6">
        <v>0.89473682641983032</v>
      </c>
      <c r="M6">
        <v>0.91052631578947363</v>
      </c>
      <c r="N6">
        <v>1</v>
      </c>
      <c r="O6">
        <v>1</v>
      </c>
      <c r="P6">
        <v>9999</v>
      </c>
      <c r="Q6">
        <v>135364144.80000001</v>
      </c>
      <c r="R6">
        <v>411</v>
      </c>
      <c r="S6">
        <v>2</v>
      </c>
      <c r="T6">
        <v>12</v>
      </c>
      <c r="U6">
        <v>0.89473684210526316</v>
      </c>
      <c r="V6">
        <v>1</v>
      </c>
      <c r="W6">
        <v>1</v>
      </c>
      <c r="X6">
        <v>9999</v>
      </c>
      <c r="Y6">
        <v>134741642.80000001</v>
      </c>
      <c r="Z6">
        <v>471</v>
      </c>
      <c r="AA6">
        <v>2</v>
      </c>
      <c r="AB6">
        <v>13</v>
      </c>
      <c r="AD6">
        <f>Tabela4[[#This Row],[kan_params]]</f>
        <v>468</v>
      </c>
      <c r="AE6">
        <f>Tabela4[[#This Row],[kan_train_acc]]</f>
        <v>1</v>
      </c>
      <c r="AF6">
        <f>Tabela4[[#This Row],[kan_val_acc]]</f>
        <v>1</v>
      </c>
      <c r="AG6">
        <f>Tabela4[[#This Row],[kan_test_acc]]</f>
        <v>0.89473682641983032</v>
      </c>
      <c r="AH6">
        <f>Tabela4[[#This Row],[mlp_test_acc]]</f>
        <v>0.91052631578947363</v>
      </c>
      <c r="AI6">
        <f>Tabela4[[#This Row],[mlp_val_acc]]</f>
        <v>1</v>
      </c>
      <c r="AJ6">
        <f>Tabela4[[#This Row],[mlp_train_acc]]</f>
        <v>1</v>
      </c>
    </row>
    <row r="7" spans="1:36" x14ac:dyDescent="0.25">
      <c r="A7" t="s">
        <v>196</v>
      </c>
      <c r="B7">
        <v>8</v>
      </c>
      <c r="C7">
        <v>3</v>
      </c>
      <c r="D7">
        <v>2</v>
      </c>
      <c r="E7">
        <v>0</v>
      </c>
      <c r="F7" t="s">
        <v>202</v>
      </c>
      <c r="G7">
        <v>583</v>
      </c>
      <c r="H7">
        <v>7609462.2000000002</v>
      </c>
      <c r="I7">
        <v>12.8</v>
      </c>
      <c r="J7">
        <v>0.98651685714721682</v>
      </c>
      <c r="K7">
        <v>1</v>
      </c>
      <c r="L7">
        <v>0.96315788030624394</v>
      </c>
      <c r="M7">
        <v>0.94736842105263153</v>
      </c>
      <c r="N7">
        <v>1</v>
      </c>
      <c r="O7">
        <v>0.97752808988764039</v>
      </c>
      <c r="P7">
        <v>9999</v>
      </c>
      <c r="Q7">
        <v>162754058.59999999</v>
      </c>
      <c r="R7">
        <v>535</v>
      </c>
      <c r="S7">
        <v>2</v>
      </c>
      <c r="T7">
        <v>14</v>
      </c>
      <c r="U7">
        <v>0.94736842105263153</v>
      </c>
      <c r="V7">
        <v>1</v>
      </c>
      <c r="W7">
        <v>0.97752808988764039</v>
      </c>
      <c r="X7">
        <v>9999</v>
      </c>
      <c r="Y7">
        <v>166898947.19999999</v>
      </c>
      <c r="Z7">
        <v>603</v>
      </c>
      <c r="AA7">
        <v>2</v>
      </c>
      <c r="AB7">
        <v>15</v>
      </c>
      <c r="AD7">
        <f>Tabela4[[#This Row],[kan_params]]</f>
        <v>583</v>
      </c>
      <c r="AE7">
        <f>Tabela4[[#This Row],[kan_train_acc]]</f>
        <v>0.98651685714721682</v>
      </c>
      <c r="AF7">
        <f>Tabela4[[#This Row],[kan_val_acc]]</f>
        <v>1</v>
      </c>
      <c r="AG7">
        <f>Tabela4[[#This Row],[kan_test_acc]]</f>
        <v>0.96315788030624394</v>
      </c>
      <c r="AH7">
        <f>Tabela4[[#This Row],[mlp_test_acc]]</f>
        <v>0.94736842105263153</v>
      </c>
      <c r="AI7">
        <f>Tabela4[[#This Row],[mlp_val_acc]]</f>
        <v>1</v>
      </c>
      <c r="AJ7">
        <f>Tabela4[[#This Row],[mlp_train_acc]]</f>
        <v>0.97752808988764039</v>
      </c>
    </row>
    <row r="8" spans="1:36" hidden="1" x14ac:dyDescent="0.25">
      <c r="A8" t="s">
        <v>196</v>
      </c>
      <c r="B8">
        <v>10</v>
      </c>
      <c r="C8">
        <v>5</v>
      </c>
      <c r="D8">
        <v>2</v>
      </c>
      <c r="E8">
        <v>0</v>
      </c>
      <c r="F8" t="s">
        <v>202</v>
      </c>
      <c r="G8">
        <v>671</v>
      </c>
      <c r="H8">
        <v>8182955</v>
      </c>
      <c r="I8">
        <v>13.6</v>
      </c>
      <c r="J8">
        <v>1</v>
      </c>
      <c r="K8">
        <v>0.93913044929504397</v>
      </c>
      <c r="L8">
        <v>0.93157894611358638</v>
      </c>
      <c r="M8">
        <v>0.89473684210526316</v>
      </c>
      <c r="N8">
        <v>1</v>
      </c>
      <c r="O8">
        <v>1</v>
      </c>
      <c r="P8">
        <v>9999</v>
      </c>
      <c r="Q8">
        <v>131957800.40000001</v>
      </c>
      <c r="R8">
        <v>603</v>
      </c>
      <c r="S8">
        <v>2</v>
      </c>
      <c r="T8">
        <v>15</v>
      </c>
      <c r="U8">
        <v>0.9</v>
      </c>
      <c r="V8">
        <v>1</v>
      </c>
      <c r="W8">
        <v>1</v>
      </c>
      <c r="X8">
        <v>9999</v>
      </c>
      <c r="Y8">
        <v>130437557.2</v>
      </c>
      <c r="Z8">
        <v>675</v>
      </c>
      <c r="AA8">
        <v>2</v>
      </c>
      <c r="AB8">
        <v>16</v>
      </c>
      <c r="AD8">
        <f>Tabela4[[#This Row],[kan_params]]</f>
        <v>671</v>
      </c>
      <c r="AE8">
        <f>Tabela4[[#This Row],[kan_train_acc]]</f>
        <v>1</v>
      </c>
      <c r="AF8">
        <f>Tabela4[[#This Row],[kan_val_acc]]</f>
        <v>0.93913044929504397</v>
      </c>
      <c r="AG8">
        <f>Tabela4[[#This Row],[kan_test_acc]]</f>
        <v>0.93157894611358638</v>
      </c>
      <c r="AH8">
        <f>Tabela4[[#This Row],[mlp_test_acc]]</f>
        <v>0.89473684210526316</v>
      </c>
      <c r="AI8">
        <f>Tabela4[[#This Row],[mlp_val_acc]]</f>
        <v>1</v>
      </c>
      <c r="AJ8">
        <f>Tabela4[[#This Row],[mlp_train_acc]]</f>
        <v>1</v>
      </c>
    </row>
    <row r="9" spans="1:36" x14ac:dyDescent="0.25">
      <c r="A9" t="s">
        <v>196</v>
      </c>
      <c r="B9">
        <v>10</v>
      </c>
      <c r="C9">
        <v>3</v>
      </c>
      <c r="D9">
        <v>3</v>
      </c>
      <c r="E9">
        <v>0</v>
      </c>
      <c r="F9" t="s">
        <v>202</v>
      </c>
      <c r="G9">
        <v>715</v>
      </c>
      <c r="H9">
        <v>12445910.4</v>
      </c>
      <c r="I9">
        <v>14</v>
      </c>
      <c r="J9">
        <v>0.99325842857360835</v>
      </c>
      <c r="K9">
        <v>1</v>
      </c>
      <c r="L9">
        <v>0.96842105388641353</v>
      </c>
      <c r="M9">
        <v>0.94736842105263153</v>
      </c>
      <c r="N9">
        <v>1</v>
      </c>
      <c r="O9">
        <v>0.97752808988764039</v>
      </c>
      <c r="P9">
        <v>9999</v>
      </c>
      <c r="Q9">
        <v>221783339.80000001</v>
      </c>
      <c r="R9">
        <v>675</v>
      </c>
      <c r="S9">
        <v>2</v>
      </c>
      <c r="T9">
        <v>16</v>
      </c>
      <c r="U9">
        <v>0.94736842105263153</v>
      </c>
      <c r="V9">
        <v>1</v>
      </c>
      <c r="W9">
        <v>0.98202247191011227</v>
      </c>
      <c r="X9">
        <v>9999</v>
      </c>
      <c r="Y9">
        <v>222770673.59999999</v>
      </c>
      <c r="Z9">
        <v>751</v>
      </c>
      <c r="AA9">
        <v>2</v>
      </c>
      <c r="AB9">
        <v>17</v>
      </c>
      <c r="AD9">
        <f>Tabela4[[#This Row],[kan_params]]</f>
        <v>715</v>
      </c>
      <c r="AE9">
        <f>Tabela4[[#This Row],[kan_train_acc]]</f>
        <v>0.99325842857360835</v>
      </c>
      <c r="AF9">
        <f>Tabela4[[#This Row],[kan_val_acc]]</f>
        <v>1</v>
      </c>
      <c r="AG9">
        <f>Tabela4[[#This Row],[kan_test_acc]]</f>
        <v>0.96842105388641353</v>
      </c>
      <c r="AH9">
        <f>Tabela4[[#This Row],[mlp_test_acc]]</f>
        <v>0.94736842105263153</v>
      </c>
      <c r="AI9">
        <f>Tabela4[[#This Row],[mlp_val_acc]]</f>
        <v>1</v>
      </c>
      <c r="AJ9">
        <f>Tabela4[[#This Row],[mlp_train_acc]]</f>
        <v>0.97752808988764039</v>
      </c>
    </row>
    <row r="10" spans="1:36" x14ac:dyDescent="0.25">
      <c r="A10" t="s">
        <v>196</v>
      </c>
      <c r="B10">
        <v>8</v>
      </c>
      <c r="C10">
        <v>3</v>
      </c>
      <c r="D10">
        <v>2</v>
      </c>
      <c r="E10">
        <v>0</v>
      </c>
      <c r="F10" t="s">
        <v>206</v>
      </c>
      <c r="G10">
        <v>739</v>
      </c>
      <c r="H10">
        <v>4777049.4000000004</v>
      </c>
      <c r="I10">
        <v>12</v>
      </c>
      <c r="J10">
        <v>1</v>
      </c>
      <c r="K10">
        <v>1</v>
      </c>
      <c r="L10">
        <v>0.9315789580345154</v>
      </c>
      <c r="M10">
        <v>0.94736842105263153</v>
      </c>
      <c r="N10">
        <v>1</v>
      </c>
      <c r="O10">
        <v>0.97752808988764039</v>
      </c>
      <c r="P10">
        <v>9999</v>
      </c>
      <c r="Q10">
        <v>142249205.40000001</v>
      </c>
      <c r="R10">
        <v>675</v>
      </c>
      <c r="S10">
        <v>2</v>
      </c>
      <c r="T10">
        <v>16</v>
      </c>
      <c r="U10">
        <v>0.94736842105263153</v>
      </c>
      <c r="V10">
        <v>1</v>
      </c>
      <c r="W10">
        <v>0.97752808988764039</v>
      </c>
      <c r="X10">
        <v>9999</v>
      </c>
      <c r="Y10">
        <v>142228960.19999999</v>
      </c>
      <c r="Z10">
        <v>751</v>
      </c>
      <c r="AA10">
        <v>2</v>
      </c>
      <c r="AB10">
        <v>17</v>
      </c>
      <c r="AD10">
        <f>Tabela4[[#This Row],[kan_params]]</f>
        <v>739</v>
      </c>
      <c r="AE10">
        <f>Tabela4[[#This Row],[kan_train_acc]]</f>
        <v>1</v>
      </c>
      <c r="AF10">
        <f>Tabela4[[#This Row],[kan_val_acc]]</f>
        <v>1</v>
      </c>
      <c r="AG10">
        <f>Tabela4[[#This Row],[kan_test_acc]]</f>
        <v>0.9315789580345154</v>
      </c>
      <c r="AH10">
        <f>Tabela4[[#This Row],[mlp_test_acc]]</f>
        <v>0.94736842105263153</v>
      </c>
      <c r="AI10">
        <f>Tabela4[[#This Row],[mlp_val_acc]]</f>
        <v>1</v>
      </c>
      <c r="AJ10">
        <f>Tabela4[[#This Row],[mlp_train_acc]]</f>
        <v>0.97752808988764039</v>
      </c>
    </row>
    <row r="11" spans="1:36" x14ac:dyDescent="0.25">
      <c r="A11" t="s">
        <v>196</v>
      </c>
      <c r="B11">
        <v>8</v>
      </c>
      <c r="C11">
        <v>3</v>
      </c>
      <c r="D11">
        <v>2</v>
      </c>
      <c r="E11">
        <v>0</v>
      </c>
      <c r="F11" t="s">
        <v>204</v>
      </c>
      <c r="G11">
        <v>793</v>
      </c>
      <c r="H11">
        <v>10863149.6</v>
      </c>
      <c r="I11">
        <v>14</v>
      </c>
      <c r="J11">
        <v>1</v>
      </c>
      <c r="K11">
        <v>1</v>
      </c>
      <c r="L11">
        <v>0.91052632331848149</v>
      </c>
      <c r="M11">
        <v>0.9631578947368421</v>
      </c>
      <c r="N11">
        <v>1</v>
      </c>
      <c r="O11">
        <v>0.98426966292134832</v>
      </c>
      <c r="P11">
        <v>9999</v>
      </c>
      <c r="Q11">
        <v>202090406.19999999</v>
      </c>
      <c r="R11">
        <v>751</v>
      </c>
      <c r="S11">
        <v>2</v>
      </c>
      <c r="T11">
        <v>17</v>
      </c>
      <c r="U11">
        <v>0.94736842105263153</v>
      </c>
      <c r="V11">
        <v>1</v>
      </c>
      <c r="W11">
        <v>0.97752808988764039</v>
      </c>
      <c r="X11">
        <v>9999</v>
      </c>
      <c r="Y11">
        <v>201944762.80000001</v>
      </c>
      <c r="Z11">
        <v>831</v>
      </c>
      <c r="AA11">
        <v>2</v>
      </c>
      <c r="AB11">
        <v>18</v>
      </c>
      <c r="AD11">
        <f>Tabela4[[#This Row],[kan_params]]</f>
        <v>793</v>
      </c>
      <c r="AE11">
        <f>Tabela4[[#This Row],[kan_train_acc]]</f>
        <v>1</v>
      </c>
      <c r="AF11">
        <f>Tabela4[[#This Row],[kan_val_acc]]</f>
        <v>1</v>
      </c>
      <c r="AG11">
        <f>Tabela4[[#This Row],[kan_test_acc]]</f>
        <v>0.91052632331848149</v>
      </c>
      <c r="AH11">
        <f>Tabela4[[#This Row],[mlp_test_acc]]</f>
        <v>0.9631578947368421</v>
      </c>
      <c r="AI11">
        <f>Tabela4[[#This Row],[mlp_val_acc]]</f>
        <v>1</v>
      </c>
      <c r="AJ11">
        <f>Tabela4[[#This Row],[mlp_train_acc]]</f>
        <v>0.98426966292134832</v>
      </c>
    </row>
    <row r="12" spans="1:36" x14ac:dyDescent="0.25">
      <c r="A12" t="s">
        <v>196</v>
      </c>
      <c r="B12">
        <v>12</v>
      </c>
      <c r="C12">
        <v>3</v>
      </c>
      <c r="D12">
        <v>4</v>
      </c>
      <c r="E12">
        <v>0</v>
      </c>
      <c r="F12" t="s">
        <v>202</v>
      </c>
      <c r="G12">
        <v>847</v>
      </c>
      <c r="H12">
        <v>9051295.8000000007</v>
      </c>
      <c r="I12">
        <v>13.4</v>
      </c>
      <c r="J12">
        <v>0.96404494047164913</v>
      </c>
      <c r="K12">
        <v>0.97391304969787595</v>
      </c>
      <c r="L12">
        <v>0.81578947305679317</v>
      </c>
      <c r="M12">
        <v>0.91578947368421049</v>
      </c>
      <c r="N12">
        <v>1</v>
      </c>
      <c r="O12">
        <v>1</v>
      </c>
      <c r="P12">
        <v>9999</v>
      </c>
      <c r="Q12">
        <v>132608870.2</v>
      </c>
      <c r="R12">
        <v>831</v>
      </c>
      <c r="S12">
        <v>2</v>
      </c>
      <c r="T12">
        <v>18</v>
      </c>
      <c r="U12">
        <v>0.9</v>
      </c>
      <c r="V12">
        <v>1</v>
      </c>
      <c r="W12">
        <v>1</v>
      </c>
      <c r="X12">
        <v>9999</v>
      </c>
      <c r="Y12">
        <v>132782681.40000001</v>
      </c>
      <c r="Z12">
        <v>915</v>
      </c>
      <c r="AA12">
        <v>2</v>
      </c>
      <c r="AB12">
        <v>19</v>
      </c>
      <c r="AD12">
        <f>Tabela4[[#This Row],[kan_params]]</f>
        <v>847</v>
      </c>
      <c r="AE12">
        <f>Tabela4[[#This Row],[kan_train_acc]]</f>
        <v>0.96404494047164913</v>
      </c>
      <c r="AF12">
        <f>Tabela4[[#This Row],[kan_val_acc]]</f>
        <v>0.97391304969787595</v>
      </c>
      <c r="AG12">
        <f>Tabela4[[#This Row],[kan_test_acc]]</f>
        <v>0.81578947305679317</v>
      </c>
      <c r="AH12">
        <f>Tabela4[[#This Row],[mlp_test_acc]]</f>
        <v>0.91578947368421049</v>
      </c>
      <c r="AI12">
        <f>Tabela4[[#This Row],[mlp_val_acc]]</f>
        <v>1</v>
      </c>
      <c r="AJ12">
        <f>Tabela4[[#This Row],[mlp_train_acc]]</f>
        <v>1</v>
      </c>
    </row>
    <row r="13" spans="1:36" hidden="1" x14ac:dyDescent="0.25">
      <c r="A13" t="s">
        <v>196</v>
      </c>
      <c r="B13">
        <v>10</v>
      </c>
      <c r="C13">
        <v>5</v>
      </c>
      <c r="D13">
        <v>2</v>
      </c>
      <c r="E13">
        <v>0</v>
      </c>
      <c r="F13" t="s">
        <v>206</v>
      </c>
      <c r="G13">
        <v>851</v>
      </c>
      <c r="H13">
        <v>5134113.2</v>
      </c>
      <c r="I13">
        <v>13</v>
      </c>
      <c r="J13">
        <v>1</v>
      </c>
      <c r="K13">
        <v>1</v>
      </c>
      <c r="L13">
        <v>0.92105263471603394</v>
      </c>
      <c r="M13">
        <v>0.92105263157894735</v>
      </c>
      <c r="N13">
        <v>1</v>
      </c>
      <c r="O13">
        <v>1</v>
      </c>
      <c r="P13">
        <v>9999</v>
      </c>
      <c r="Q13">
        <v>126065786.2</v>
      </c>
      <c r="R13">
        <v>831</v>
      </c>
      <c r="S13">
        <v>2</v>
      </c>
      <c r="T13">
        <v>18</v>
      </c>
      <c r="U13">
        <v>0.89473684210526316</v>
      </c>
      <c r="V13">
        <v>1</v>
      </c>
      <c r="W13">
        <v>1</v>
      </c>
      <c r="X13">
        <v>9999</v>
      </c>
      <c r="Y13">
        <v>127225691.59999999</v>
      </c>
      <c r="Z13">
        <v>915</v>
      </c>
      <c r="AA13">
        <v>2</v>
      </c>
      <c r="AB13">
        <v>19</v>
      </c>
      <c r="AD13">
        <f>Tabela4[[#This Row],[kan_params]]</f>
        <v>851</v>
      </c>
      <c r="AE13">
        <f>Tabela4[[#This Row],[kan_train_acc]]</f>
        <v>1</v>
      </c>
      <c r="AF13">
        <f>Tabela4[[#This Row],[kan_val_acc]]</f>
        <v>1</v>
      </c>
      <c r="AG13">
        <f>Tabela4[[#This Row],[kan_test_acc]]</f>
        <v>0.92105263471603394</v>
      </c>
      <c r="AH13">
        <f>Tabela4[[#This Row],[mlp_test_acc]]</f>
        <v>0.92105263157894735</v>
      </c>
      <c r="AI13">
        <f>Tabela4[[#This Row],[mlp_val_acc]]</f>
        <v>1</v>
      </c>
      <c r="AJ13">
        <f>Tabela4[[#This Row],[mlp_train_acc]]</f>
        <v>1</v>
      </c>
    </row>
    <row r="14" spans="1:36" x14ac:dyDescent="0.25">
      <c r="A14" t="s">
        <v>196</v>
      </c>
      <c r="B14">
        <v>10</v>
      </c>
      <c r="C14">
        <v>3</v>
      </c>
      <c r="D14">
        <v>3</v>
      </c>
      <c r="E14">
        <v>0</v>
      </c>
      <c r="F14" t="s">
        <v>206</v>
      </c>
      <c r="G14">
        <v>907</v>
      </c>
      <c r="H14">
        <v>8152528.4000000004</v>
      </c>
      <c r="I14">
        <v>13.6</v>
      </c>
      <c r="J14">
        <v>0.99775280952453616</v>
      </c>
      <c r="K14">
        <v>1</v>
      </c>
      <c r="L14">
        <v>0.95789473056793217</v>
      </c>
      <c r="M14">
        <v>0.94736842105263153</v>
      </c>
      <c r="N14">
        <v>1</v>
      </c>
      <c r="O14">
        <v>0.97752808988764039</v>
      </c>
      <c r="P14">
        <v>9999</v>
      </c>
      <c r="Q14">
        <v>211892022.40000001</v>
      </c>
      <c r="R14">
        <v>831</v>
      </c>
      <c r="S14">
        <v>2</v>
      </c>
      <c r="T14">
        <v>18</v>
      </c>
      <c r="U14">
        <v>0.94736842105263153</v>
      </c>
      <c r="V14">
        <v>1</v>
      </c>
      <c r="W14">
        <v>0.98202247191011227</v>
      </c>
      <c r="X14">
        <v>9999</v>
      </c>
      <c r="Y14">
        <v>212765784.19999999</v>
      </c>
      <c r="Z14">
        <v>915</v>
      </c>
      <c r="AA14">
        <v>2</v>
      </c>
      <c r="AB14">
        <v>19</v>
      </c>
      <c r="AD14">
        <f>Tabela4[[#This Row],[kan_params]]</f>
        <v>907</v>
      </c>
      <c r="AE14">
        <f>Tabela4[[#This Row],[kan_train_acc]]</f>
        <v>0.99775280952453616</v>
      </c>
      <c r="AF14">
        <f>Tabela4[[#This Row],[kan_val_acc]]</f>
        <v>1</v>
      </c>
      <c r="AG14">
        <f>Tabela4[[#This Row],[kan_test_acc]]</f>
        <v>0.95789473056793217</v>
      </c>
      <c r="AH14">
        <f>Tabela4[[#This Row],[mlp_test_acc]]</f>
        <v>0.94736842105263153</v>
      </c>
      <c r="AI14">
        <f>Tabela4[[#This Row],[mlp_val_acc]]</f>
        <v>1</v>
      </c>
      <c r="AJ14">
        <f>Tabela4[[#This Row],[mlp_train_acc]]</f>
        <v>0.97752808988764039</v>
      </c>
    </row>
    <row r="15" spans="1:36" x14ac:dyDescent="0.25">
      <c r="A15" t="s">
        <v>196</v>
      </c>
      <c r="B15">
        <v>10</v>
      </c>
      <c r="C15">
        <v>3</v>
      </c>
      <c r="D15">
        <v>3</v>
      </c>
      <c r="E15">
        <v>0</v>
      </c>
      <c r="F15" t="s">
        <v>204</v>
      </c>
      <c r="G15">
        <v>973</v>
      </c>
      <c r="H15">
        <v>11786793.4</v>
      </c>
      <c r="I15">
        <v>13</v>
      </c>
      <c r="J15">
        <v>0.99325842857360835</v>
      </c>
      <c r="K15">
        <v>1</v>
      </c>
      <c r="L15">
        <v>0.97368421554565432</v>
      </c>
      <c r="M15">
        <v>0.94736842105263153</v>
      </c>
      <c r="N15">
        <v>1</v>
      </c>
      <c r="O15">
        <v>0.97752808988764039</v>
      </c>
      <c r="P15">
        <v>9999</v>
      </c>
      <c r="Q15">
        <v>220511930</v>
      </c>
      <c r="R15">
        <v>915</v>
      </c>
      <c r="S15">
        <v>2</v>
      </c>
      <c r="T15">
        <v>19</v>
      </c>
      <c r="U15">
        <v>0.94736842105263153</v>
      </c>
      <c r="V15">
        <v>1</v>
      </c>
      <c r="W15">
        <v>0.9887640449438202</v>
      </c>
      <c r="X15">
        <v>9999</v>
      </c>
      <c r="Y15">
        <v>220409273.59999999</v>
      </c>
      <c r="Z15">
        <v>1003</v>
      </c>
      <c r="AA15">
        <v>2</v>
      </c>
      <c r="AB15">
        <v>20</v>
      </c>
      <c r="AD15">
        <f>Tabela4[[#This Row],[kan_params]]</f>
        <v>973</v>
      </c>
      <c r="AE15">
        <f>Tabela4[[#This Row],[kan_train_acc]]</f>
        <v>0.99325842857360835</v>
      </c>
      <c r="AF15">
        <f>Tabela4[[#This Row],[kan_val_acc]]</f>
        <v>1</v>
      </c>
      <c r="AG15">
        <f>Tabela4[[#This Row],[kan_test_acc]]</f>
        <v>0.97368421554565432</v>
      </c>
      <c r="AH15">
        <f>Tabela4[[#This Row],[mlp_test_acc]]</f>
        <v>0.94736842105263153</v>
      </c>
      <c r="AI15">
        <f>Tabela4[[#This Row],[mlp_val_acc]]</f>
        <v>1</v>
      </c>
      <c r="AJ15">
        <f>Tabela4[[#This Row],[mlp_train_acc]]</f>
        <v>0.97752808988764039</v>
      </c>
    </row>
    <row r="16" spans="1:36" x14ac:dyDescent="0.25">
      <c r="A16" t="s">
        <v>196</v>
      </c>
      <c r="B16">
        <v>14</v>
      </c>
      <c r="C16">
        <v>3</v>
      </c>
      <c r="D16">
        <v>5</v>
      </c>
      <c r="E16">
        <v>0</v>
      </c>
      <c r="F16" t="s">
        <v>202</v>
      </c>
      <c r="G16">
        <v>979</v>
      </c>
      <c r="H16">
        <v>13207556.4</v>
      </c>
      <c r="I16">
        <v>16.399999999999999</v>
      </c>
      <c r="J16">
        <v>0.99550561904907231</v>
      </c>
      <c r="K16">
        <v>0.96521739959716801</v>
      </c>
      <c r="L16">
        <v>0.87368421554565434</v>
      </c>
      <c r="M16">
        <v>0.91578947368421049</v>
      </c>
      <c r="N16">
        <v>1</v>
      </c>
      <c r="O16">
        <v>1</v>
      </c>
      <c r="P16">
        <v>9999</v>
      </c>
      <c r="Q16">
        <v>135917709.19999999</v>
      </c>
      <c r="R16">
        <v>915</v>
      </c>
      <c r="S16">
        <v>2</v>
      </c>
      <c r="T16">
        <v>19</v>
      </c>
      <c r="U16">
        <v>0.91578947368421049</v>
      </c>
      <c r="V16">
        <v>1</v>
      </c>
      <c r="W16">
        <v>1</v>
      </c>
      <c r="X16">
        <v>9999</v>
      </c>
      <c r="Y16">
        <v>134710550.59999999</v>
      </c>
      <c r="Z16">
        <v>1003</v>
      </c>
      <c r="AA16">
        <v>2</v>
      </c>
      <c r="AB16">
        <v>20</v>
      </c>
      <c r="AD16">
        <f>Tabela4[[#This Row],[kan_params]]</f>
        <v>979</v>
      </c>
      <c r="AE16">
        <f>Tabela4[[#This Row],[kan_train_acc]]</f>
        <v>0.99550561904907231</v>
      </c>
      <c r="AF16">
        <f>Tabela4[[#This Row],[kan_val_acc]]</f>
        <v>0.96521739959716801</v>
      </c>
      <c r="AG16">
        <f>Tabela4[[#This Row],[kan_test_acc]]</f>
        <v>0.87368421554565434</v>
      </c>
      <c r="AH16">
        <f>Tabela4[[#This Row],[mlp_test_acc]]</f>
        <v>0.91578947368421049</v>
      </c>
      <c r="AI16">
        <f>Tabela4[[#This Row],[mlp_val_acc]]</f>
        <v>1</v>
      </c>
      <c r="AJ16">
        <f>Tabela4[[#This Row],[mlp_train_acc]]</f>
        <v>1</v>
      </c>
    </row>
    <row r="17" spans="1:36" x14ac:dyDescent="0.25">
      <c r="A17" t="s">
        <v>196</v>
      </c>
      <c r="B17">
        <v>8</v>
      </c>
      <c r="C17">
        <v>3</v>
      </c>
      <c r="D17">
        <v>2</v>
      </c>
      <c r="E17">
        <v>0</v>
      </c>
      <c r="F17" t="s">
        <v>207</v>
      </c>
      <c r="G17">
        <v>1003</v>
      </c>
      <c r="H17">
        <v>12380002.800000001</v>
      </c>
      <c r="I17">
        <v>15.8</v>
      </c>
      <c r="J17">
        <v>0.98876404762268066</v>
      </c>
      <c r="K17">
        <v>1</v>
      </c>
      <c r="L17">
        <v>0.94736843109130864</v>
      </c>
      <c r="M17">
        <v>0.94736842105263153</v>
      </c>
      <c r="N17">
        <v>1</v>
      </c>
      <c r="O17">
        <v>0.98202247191011227</v>
      </c>
      <c r="P17">
        <v>9999</v>
      </c>
      <c r="Q17">
        <v>209423666.40000001</v>
      </c>
      <c r="R17">
        <v>915</v>
      </c>
      <c r="S17">
        <v>2</v>
      </c>
      <c r="T17">
        <v>19</v>
      </c>
      <c r="U17">
        <v>0.94736842105263153</v>
      </c>
      <c r="V17">
        <v>1</v>
      </c>
      <c r="W17">
        <v>0.97752808988764039</v>
      </c>
      <c r="X17">
        <v>9999</v>
      </c>
      <c r="Y17">
        <v>209068017.19999999</v>
      </c>
      <c r="Z17">
        <v>1003</v>
      </c>
      <c r="AA17">
        <v>2</v>
      </c>
      <c r="AB17">
        <v>20</v>
      </c>
      <c r="AD17">
        <f>Tabela4[[#This Row],[kan_params]]</f>
        <v>1003</v>
      </c>
      <c r="AE17">
        <f>Tabela4[[#This Row],[kan_train_acc]]</f>
        <v>0.98876404762268066</v>
      </c>
      <c r="AF17">
        <f>Tabela4[[#This Row],[kan_val_acc]]</f>
        <v>1</v>
      </c>
      <c r="AG17">
        <f>Tabela4[[#This Row],[kan_test_acc]]</f>
        <v>0.94736843109130864</v>
      </c>
      <c r="AH17">
        <f>Tabela4[[#This Row],[mlp_test_acc]]</f>
        <v>0.94736842105263153</v>
      </c>
      <c r="AI17">
        <f>Tabela4[[#This Row],[mlp_val_acc]]</f>
        <v>1</v>
      </c>
      <c r="AJ17">
        <f>Tabela4[[#This Row],[mlp_train_acc]]</f>
        <v>0.98202247191011227</v>
      </c>
    </row>
    <row r="18" spans="1:36" x14ac:dyDescent="0.25">
      <c r="A18" t="s">
        <v>196</v>
      </c>
      <c r="B18">
        <v>8</v>
      </c>
      <c r="C18">
        <v>3</v>
      </c>
      <c r="D18">
        <v>2</v>
      </c>
      <c r="E18">
        <v>0</v>
      </c>
      <c r="F18" t="s">
        <v>203</v>
      </c>
      <c r="G18">
        <v>1043</v>
      </c>
      <c r="H18">
        <v>9798643.4000000004</v>
      </c>
      <c r="I18">
        <v>13</v>
      </c>
      <c r="J18">
        <v>0.98876404762268066</v>
      </c>
      <c r="K18">
        <v>1</v>
      </c>
      <c r="L18">
        <v>0.95789473056793217</v>
      </c>
      <c r="M18">
        <v>0.94736842105263153</v>
      </c>
      <c r="N18">
        <v>1</v>
      </c>
      <c r="O18">
        <v>0.97752808988764039</v>
      </c>
      <c r="P18">
        <v>9999</v>
      </c>
      <c r="Q18">
        <v>192665817.59999999</v>
      </c>
      <c r="R18">
        <v>1003</v>
      </c>
      <c r="S18">
        <v>2</v>
      </c>
      <c r="T18">
        <v>20</v>
      </c>
      <c r="U18">
        <v>0.94736842105263153</v>
      </c>
      <c r="V18">
        <v>1</v>
      </c>
      <c r="W18">
        <v>0.97752808988764039</v>
      </c>
      <c r="X18">
        <v>9999</v>
      </c>
      <c r="Y18">
        <v>193507277.40000001</v>
      </c>
      <c r="Z18">
        <v>1095</v>
      </c>
      <c r="AA18">
        <v>2</v>
      </c>
      <c r="AB18">
        <v>21</v>
      </c>
      <c r="AD18">
        <f>Tabela4[[#This Row],[kan_params]]</f>
        <v>1043</v>
      </c>
      <c r="AE18">
        <f>Tabela4[[#This Row],[kan_train_acc]]</f>
        <v>0.98876404762268066</v>
      </c>
      <c r="AF18">
        <f>Tabela4[[#This Row],[kan_val_acc]]</f>
        <v>1</v>
      </c>
      <c r="AG18">
        <f>Tabela4[[#This Row],[kan_test_acc]]</f>
        <v>0.95789473056793217</v>
      </c>
      <c r="AH18">
        <f>Tabela4[[#This Row],[mlp_test_acc]]</f>
        <v>0.94736842105263153</v>
      </c>
      <c r="AI18">
        <f>Tabela4[[#This Row],[mlp_val_acc]]</f>
        <v>1</v>
      </c>
      <c r="AJ18">
        <f>Tabela4[[#This Row],[mlp_train_acc]]</f>
        <v>0.97752808988764039</v>
      </c>
    </row>
    <row r="19" spans="1:36" x14ac:dyDescent="0.25">
      <c r="A19" t="s">
        <v>196</v>
      </c>
      <c r="B19">
        <v>12</v>
      </c>
      <c r="C19">
        <v>3</v>
      </c>
      <c r="D19">
        <v>4</v>
      </c>
      <c r="E19">
        <v>0</v>
      </c>
      <c r="F19" t="s">
        <v>206</v>
      </c>
      <c r="G19">
        <v>1075</v>
      </c>
      <c r="H19">
        <v>6768310.4000000004</v>
      </c>
      <c r="I19">
        <v>13</v>
      </c>
      <c r="J19">
        <v>1</v>
      </c>
      <c r="K19">
        <v>0.95652174949645996</v>
      </c>
      <c r="L19">
        <v>0.84210526943206787</v>
      </c>
      <c r="M19">
        <v>0.89473684210526316</v>
      </c>
      <c r="N19">
        <v>1</v>
      </c>
      <c r="O19">
        <v>1</v>
      </c>
      <c r="P19">
        <v>9999</v>
      </c>
      <c r="Q19">
        <v>130934654.40000001</v>
      </c>
      <c r="R19">
        <v>1003</v>
      </c>
      <c r="S19">
        <v>2</v>
      </c>
      <c r="T19">
        <v>20</v>
      </c>
      <c r="U19">
        <v>0.89473684210526316</v>
      </c>
      <c r="V19">
        <v>1</v>
      </c>
      <c r="W19">
        <v>1</v>
      </c>
      <c r="X19">
        <v>9999</v>
      </c>
      <c r="Y19">
        <v>132008715.2</v>
      </c>
      <c r="Z19">
        <v>1095</v>
      </c>
      <c r="AA19">
        <v>2</v>
      </c>
      <c r="AB19">
        <v>21</v>
      </c>
      <c r="AD19">
        <f>Tabela4[[#This Row],[kan_params]]</f>
        <v>1075</v>
      </c>
      <c r="AE19">
        <f>Tabela4[[#This Row],[kan_train_acc]]</f>
        <v>1</v>
      </c>
      <c r="AF19">
        <f>Tabela4[[#This Row],[kan_val_acc]]</f>
        <v>0.95652174949645996</v>
      </c>
      <c r="AG19">
        <f>Tabela4[[#This Row],[kan_test_acc]]</f>
        <v>0.84210526943206787</v>
      </c>
      <c r="AH19">
        <f>Tabela4[[#This Row],[mlp_test_acc]]</f>
        <v>0.89473684210526316</v>
      </c>
      <c r="AI19">
        <f>Tabela4[[#This Row],[mlp_val_acc]]</f>
        <v>1</v>
      </c>
      <c r="AJ19">
        <f>Tabela4[[#This Row],[mlp_train_acc]]</f>
        <v>1</v>
      </c>
    </row>
    <row r="20" spans="1:36" x14ac:dyDescent="0.25">
      <c r="A20" t="s">
        <v>196</v>
      </c>
      <c r="B20">
        <v>12</v>
      </c>
      <c r="C20">
        <v>3</v>
      </c>
      <c r="D20">
        <v>4</v>
      </c>
      <c r="E20">
        <v>0</v>
      </c>
      <c r="F20" t="s">
        <v>204</v>
      </c>
      <c r="G20">
        <v>1153</v>
      </c>
      <c r="H20">
        <v>11604270.6</v>
      </c>
      <c r="I20">
        <v>15.2</v>
      </c>
      <c r="J20">
        <v>1</v>
      </c>
      <c r="K20">
        <v>0.98260869979858401</v>
      </c>
      <c r="L20">
        <v>0.89473685026168825</v>
      </c>
      <c r="M20">
        <v>0.90526315789473688</v>
      </c>
      <c r="N20">
        <v>1</v>
      </c>
      <c r="O20">
        <v>1</v>
      </c>
      <c r="P20">
        <v>9999</v>
      </c>
      <c r="Q20">
        <v>136956249.80000001</v>
      </c>
      <c r="R20">
        <v>1095</v>
      </c>
      <c r="S20">
        <v>2</v>
      </c>
      <c r="T20">
        <v>21</v>
      </c>
      <c r="U20">
        <v>0.90526315789473688</v>
      </c>
      <c r="V20">
        <v>1</v>
      </c>
      <c r="W20">
        <v>1</v>
      </c>
      <c r="X20">
        <v>9999</v>
      </c>
      <c r="Y20">
        <v>133174109.40000001</v>
      </c>
      <c r="Z20">
        <v>1191</v>
      </c>
      <c r="AA20">
        <v>2</v>
      </c>
      <c r="AB20">
        <v>22</v>
      </c>
      <c r="AD20">
        <f>Tabela4[[#This Row],[kan_params]]</f>
        <v>1153</v>
      </c>
      <c r="AE20">
        <f>Tabela4[[#This Row],[kan_train_acc]]</f>
        <v>1</v>
      </c>
      <c r="AF20">
        <f>Tabela4[[#This Row],[kan_val_acc]]</f>
        <v>0.98260869979858401</v>
      </c>
      <c r="AG20">
        <f>Tabela4[[#This Row],[kan_test_acc]]</f>
        <v>0.89473685026168825</v>
      </c>
      <c r="AH20">
        <f>Tabela4[[#This Row],[mlp_test_acc]]</f>
        <v>0.90526315789473688</v>
      </c>
      <c r="AI20">
        <f>Tabela4[[#This Row],[mlp_val_acc]]</f>
        <v>1</v>
      </c>
      <c r="AJ20">
        <f>Tabela4[[#This Row],[mlp_train_acc]]</f>
        <v>1</v>
      </c>
    </row>
    <row r="21" spans="1:36" hidden="1" x14ac:dyDescent="0.25">
      <c r="A21" t="s">
        <v>196</v>
      </c>
      <c r="B21">
        <v>10</v>
      </c>
      <c r="C21">
        <v>5</v>
      </c>
      <c r="D21">
        <v>2</v>
      </c>
      <c r="E21">
        <v>0</v>
      </c>
      <c r="F21" t="s">
        <v>203</v>
      </c>
      <c r="G21">
        <v>1201</v>
      </c>
      <c r="H21">
        <v>8035036</v>
      </c>
      <c r="I21">
        <v>14.5</v>
      </c>
      <c r="J21">
        <v>1</v>
      </c>
      <c r="K21">
        <v>0.97826087474822998</v>
      </c>
      <c r="L21">
        <v>0.93421053886413574</v>
      </c>
      <c r="M21">
        <v>0.90789473684210531</v>
      </c>
      <c r="N21">
        <v>1</v>
      </c>
      <c r="O21">
        <v>1</v>
      </c>
      <c r="P21">
        <v>9999</v>
      </c>
      <c r="Q21">
        <v>126131413.5</v>
      </c>
      <c r="R21">
        <v>1191</v>
      </c>
      <c r="S21">
        <v>2</v>
      </c>
      <c r="T21">
        <v>22</v>
      </c>
      <c r="U21">
        <v>0.90789473684210531</v>
      </c>
      <c r="V21">
        <v>1</v>
      </c>
      <c r="W21">
        <v>1</v>
      </c>
      <c r="X21">
        <v>9999</v>
      </c>
      <c r="Y21">
        <v>127223518</v>
      </c>
      <c r="Z21">
        <v>1291</v>
      </c>
      <c r="AA21">
        <v>2</v>
      </c>
      <c r="AB21">
        <v>23</v>
      </c>
      <c r="AD21">
        <f>Tabela4[[#This Row],[kan_params]]</f>
        <v>1201</v>
      </c>
      <c r="AE21">
        <f>Tabela4[[#This Row],[kan_train_acc]]</f>
        <v>1</v>
      </c>
      <c r="AF21">
        <f>Tabela4[[#This Row],[kan_val_acc]]</f>
        <v>0.97826087474822998</v>
      </c>
      <c r="AG21">
        <f>Tabela4[[#This Row],[kan_test_acc]]</f>
        <v>0.93421053886413574</v>
      </c>
      <c r="AH21">
        <f>Tabela4[[#This Row],[mlp_test_acc]]</f>
        <v>0.90789473684210531</v>
      </c>
      <c r="AI21">
        <f>Tabela4[[#This Row],[mlp_val_acc]]</f>
        <v>1</v>
      </c>
      <c r="AJ21">
        <f>Tabela4[[#This Row],[mlp_train_acc]]</f>
        <v>1</v>
      </c>
    </row>
    <row r="22" spans="1:36" x14ac:dyDescent="0.25">
      <c r="A22" t="s">
        <v>196</v>
      </c>
      <c r="B22">
        <v>8</v>
      </c>
      <c r="C22">
        <v>3</v>
      </c>
      <c r="D22">
        <v>2</v>
      </c>
      <c r="E22">
        <v>0</v>
      </c>
      <c r="F22" t="s">
        <v>197</v>
      </c>
      <c r="G22">
        <v>1213</v>
      </c>
      <c r="H22">
        <v>12115142.6</v>
      </c>
      <c r="I22">
        <v>14.6</v>
      </c>
      <c r="J22">
        <v>1</v>
      </c>
      <c r="K22">
        <v>1</v>
      </c>
      <c r="L22">
        <v>0.96842104196548462</v>
      </c>
      <c r="M22">
        <v>0.94736842105263153</v>
      </c>
      <c r="N22">
        <v>1</v>
      </c>
      <c r="O22">
        <v>0.97752808988764039</v>
      </c>
      <c r="P22">
        <v>9999</v>
      </c>
      <c r="Q22">
        <v>209887628.80000001</v>
      </c>
      <c r="R22">
        <v>1191</v>
      </c>
      <c r="S22">
        <v>2</v>
      </c>
      <c r="T22">
        <v>22</v>
      </c>
      <c r="U22">
        <v>0.94736842105263153</v>
      </c>
      <c r="V22">
        <v>1</v>
      </c>
      <c r="W22">
        <v>0.97752808988764039</v>
      </c>
      <c r="X22">
        <v>9999</v>
      </c>
      <c r="Y22">
        <v>211490793.40000001</v>
      </c>
      <c r="Z22">
        <v>1291</v>
      </c>
      <c r="AA22">
        <v>2</v>
      </c>
      <c r="AB22">
        <v>23</v>
      </c>
      <c r="AD22">
        <f>Tabela4[[#This Row],[kan_params]]</f>
        <v>1213</v>
      </c>
      <c r="AE22">
        <f>Tabela4[[#This Row],[kan_train_acc]]</f>
        <v>1</v>
      </c>
      <c r="AF22">
        <f>Tabela4[[#This Row],[kan_val_acc]]</f>
        <v>1</v>
      </c>
      <c r="AG22">
        <f>Tabela4[[#This Row],[kan_test_acc]]</f>
        <v>0.96842104196548462</v>
      </c>
      <c r="AH22">
        <f>Tabela4[[#This Row],[mlp_test_acc]]</f>
        <v>0.94736842105263153</v>
      </c>
      <c r="AI22">
        <f>Tabela4[[#This Row],[mlp_val_acc]]</f>
        <v>1</v>
      </c>
      <c r="AJ22">
        <f>Tabela4[[#This Row],[mlp_train_acc]]</f>
        <v>0.97752808988764039</v>
      </c>
    </row>
    <row r="23" spans="1:36" x14ac:dyDescent="0.25">
      <c r="A23" t="s">
        <v>196</v>
      </c>
      <c r="B23">
        <v>10</v>
      </c>
      <c r="C23">
        <v>3</v>
      </c>
      <c r="D23">
        <v>3</v>
      </c>
      <c r="E23">
        <v>0</v>
      </c>
      <c r="F23" t="s">
        <v>207</v>
      </c>
      <c r="G23">
        <v>1231</v>
      </c>
      <c r="H23">
        <v>15454674.6</v>
      </c>
      <c r="I23">
        <v>16.8</v>
      </c>
      <c r="J23">
        <v>0.99325842857360835</v>
      </c>
      <c r="K23">
        <v>1</v>
      </c>
      <c r="L23">
        <v>0.96315789222717285</v>
      </c>
      <c r="M23">
        <v>0.94736842105263153</v>
      </c>
      <c r="N23">
        <v>1</v>
      </c>
      <c r="O23">
        <v>0.97752808988764039</v>
      </c>
      <c r="P23">
        <v>9999</v>
      </c>
      <c r="Q23">
        <v>220288422</v>
      </c>
      <c r="R23">
        <v>1191</v>
      </c>
      <c r="S23">
        <v>2</v>
      </c>
      <c r="T23">
        <v>22</v>
      </c>
      <c r="U23">
        <v>0.94736842105263153</v>
      </c>
      <c r="V23">
        <v>1</v>
      </c>
      <c r="W23">
        <v>0.97752808988764039</v>
      </c>
      <c r="X23">
        <v>9999</v>
      </c>
      <c r="Y23">
        <v>223208659</v>
      </c>
      <c r="Z23">
        <v>1291</v>
      </c>
      <c r="AA23">
        <v>2</v>
      </c>
      <c r="AB23">
        <v>23</v>
      </c>
      <c r="AD23">
        <f>Tabela4[[#This Row],[kan_params]]</f>
        <v>1231</v>
      </c>
      <c r="AE23">
        <f>Tabela4[[#This Row],[kan_train_acc]]</f>
        <v>0.99325842857360835</v>
      </c>
      <c r="AF23">
        <f>Tabela4[[#This Row],[kan_val_acc]]</f>
        <v>1</v>
      </c>
      <c r="AG23">
        <f>Tabela4[[#This Row],[kan_test_acc]]</f>
        <v>0.96315789222717285</v>
      </c>
      <c r="AH23">
        <f>Tabela4[[#This Row],[mlp_test_acc]]</f>
        <v>0.94736842105263153</v>
      </c>
      <c r="AI23">
        <f>Tabela4[[#This Row],[mlp_val_acc]]</f>
        <v>1</v>
      </c>
      <c r="AJ23">
        <f>Tabela4[[#This Row],[mlp_train_acc]]</f>
        <v>0.97752808988764039</v>
      </c>
    </row>
    <row r="24" spans="1:36" x14ac:dyDescent="0.25">
      <c r="A24" t="s">
        <v>196</v>
      </c>
      <c r="B24">
        <v>14</v>
      </c>
      <c r="C24">
        <v>3</v>
      </c>
      <c r="D24">
        <v>5</v>
      </c>
      <c r="E24">
        <v>0</v>
      </c>
      <c r="F24" t="s">
        <v>206</v>
      </c>
      <c r="G24">
        <v>1243</v>
      </c>
      <c r="H24">
        <v>8875321</v>
      </c>
      <c r="I24">
        <v>15.2</v>
      </c>
      <c r="J24">
        <v>0.97078651189804077</v>
      </c>
      <c r="K24">
        <v>1</v>
      </c>
      <c r="L24">
        <v>0.82105263471603396</v>
      </c>
      <c r="M24">
        <v>0.90526315789473688</v>
      </c>
      <c r="N24">
        <v>1</v>
      </c>
      <c r="O24">
        <v>1</v>
      </c>
      <c r="P24">
        <v>9999</v>
      </c>
      <c r="Q24">
        <v>135732707.59999999</v>
      </c>
      <c r="R24">
        <v>1191</v>
      </c>
      <c r="S24">
        <v>2</v>
      </c>
      <c r="T24">
        <v>22</v>
      </c>
      <c r="U24">
        <v>0.90526315789473688</v>
      </c>
      <c r="V24">
        <v>1</v>
      </c>
      <c r="W24">
        <v>1</v>
      </c>
      <c r="X24">
        <v>9999</v>
      </c>
      <c r="Y24">
        <v>136338112</v>
      </c>
      <c r="Z24">
        <v>1291</v>
      </c>
      <c r="AA24">
        <v>2</v>
      </c>
      <c r="AB24">
        <v>23</v>
      </c>
      <c r="AD24">
        <f>Tabela4[[#This Row],[kan_params]]</f>
        <v>1243</v>
      </c>
      <c r="AE24">
        <f>Tabela4[[#This Row],[kan_train_acc]]</f>
        <v>0.97078651189804077</v>
      </c>
      <c r="AF24">
        <f>Tabela4[[#This Row],[kan_val_acc]]</f>
        <v>1</v>
      </c>
      <c r="AG24">
        <f>Tabela4[[#This Row],[kan_test_acc]]</f>
        <v>0.82105263471603396</v>
      </c>
      <c r="AH24">
        <f>Tabela4[[#This Row],[mlp_test_acc]]</f>
        <v>0.90526315789473688</v>
      </c>
      <c r="AI24">
        <f>Tabela4[[#This Row],[mlp_val_acc]]</f>
        <v>1</v>
      </c>
      <c r="AJ24">
        <f>Tabela4[[#This Row],[mlp_train_acc]]</f>
        <v>1</v>
      </c>
    </row>
    <row r="25" spans="1:36" x14ac:dyDescent="0.25">
      <c r="A25" t="s">
        <v>196</v>
      </c>
      <c r="B25">
        <v>10</v>
      </c>
      <c r="C25">
        <v>3</v>
      </c>
      <c r="D25">
        <v>3</v>
      </c>
      <c r="E25">
        <v>0</v>
      </c>
      <c r="F25" t="s">
        <v>203</v>
      </c>
      <c r="G25">
        <v>1280</v>
      </c>
      <c r="H25">
        <v>13076776.199999999</v>
      </c>
      <c r="I25">
        <v>13.6</v>
      </c>
      <c r="J25">
        <v>0.98876404762268066</v>
      </c>
      <c r="K25">
        <v>1</v>
      </c>
      <c r="L25">
        <v>0.97894735336303706</v>
      </c>
      <c r="M25">
        <v>0.93684210526315781</v>
      </c>
      <c r="N25">
        <v>1</v>
      </c>
      <c r="O25">
        <v>0.98202247191011227</v>
      </c>
      <c r="P25">
        <v>9999</v>
      </c>
      <c r="Q25">
        <v>221090001.80000001</v>
      </c>
      <c r="R25">
        <v>1191</v>
      </c>
      <c r="S25">
        <v>2</v>
      </c>
      <c r="T25">
        <v>22</v>
      </c>
      <c r="U25">
        <v>0.94736842105263153</v>
      </c>
      <c r="V25">
        <v>1</v>
      </c>
      <c r="W25">
        <v>0.97752808988764039</v>
      </c>
      <c r="X25">
        <v>9999</v>
      </c>
      <c r="Y25">
        <v>220297889.59999999</v>
      </c>
      <c r="Z25">
        <v>1291</v>
      </c>
      <c r="AA25">
        <v>2</v>
      </c>
      <c r="AB25">
        <v>23</v>
      </c>
      <c r="AD25">
        <f>Tabela4[[#This Row],[kan_params]]</f>
        <v>1280</v>
      </c>
      <c r="AE25">
        <f>Tabela4[[#This Row],[kan_train_acc]]</f>
        <v>0.98876404762268066</v>
      </c>
      <c r="AF25">
        <f>Tabela4[[#This Row],[kan_val_acc]]</f>
        <v>1</v>
      </c>
      <c r="AG25">
        <f>Tabela4[[#This Row],[kan_test_acc]]</f>
        <v>0.97894735336303706</v>
      </c>
      <c r="AH25">
        <f>Tabela4[[#This Row],[mlp_test_acc]]</f>
        <v>0.93684210526315781</v>
      </c>
      <c r="AI25">
        <f>Tabela4[[#This Row],[mlp_val_acc]]</f>
        <v>1</v>
      </c>
      <c r="AJ25">
        <f>Tabela4[[#This Row],[mlp_train_acc]]</f>
        <v>0.98202247191011227</v>
      </c>
    </row>
    <row r="26" spans="1:36" x14ac:dyDescent="0.25">
      <c r="A26" t="s">
        <v>196</v>
      </c>
      <c r="B26">
        <v>14</v>
      </c>
      <c r="C26">
        <v>3</v>
      </c>
      <c r="D26">
        <v>5</v>
      </c>
      <c r="E26">
        <v>0</v>
      </c>
      <c r="F26" t="s">
        <v>204</v>
      </c>
      <c r="G26">
        <v>1333</v>
      </c>
      <c r="H26">
        <v>13556294</v>
      </c>
      <c r="I26">
        <v>15.8</v>
      </c>
      <c r="J26">
        <v>1</v>
      </c>
      <c r="K26">
        <v>0.99130434989929195</v>
      </c>
      <c r="L26">
        <v>0.86315789222717287</v>
      </c>
      <c r="M26">
        <v>0.9</v>
      </c>
      <c r="N26">
        <v>1</v>
      </c>
      <c r="O26">
        <v>1</v>
      </c>
      <c r="P26">
        <v>9999</v>
      </c>
      <c r="Q26">
        <v>131935487.8</v>
      </c>
      <c r="R26">
        <v>1291</v>
      </c>
      <c r="S26">
        <v>2</v>
      </c>
      <c r="T26">
        <v>23</v>
      </c>
      <c r="U26">
        <v>0.90526315789473688</v>
      </c>
      <c r="V26">
        <v>1</v>
      </c>
      <c r="W26">
        <v>1</v>
      </c>
      <c r="X26">
        <v>9999</v>
      </c>
      <c r="Y26">
        <v>131953426.2</v>
      </c>
      <c r="Z26">
        <v>1395</v>
      </c>
      <c r="AA26">
        <v>2</v>
      </c>
      <c r="AB26">
        <v>24</v>
      </c>
      <c r="AD26">
        <f>Tabela4[[#This Row],[kan_params]]</f>
        <v>1333</v>
      </c>
      <c r="AE26">
        <f>Tabela4[[#This Row],[kan_train_acc]]</f>
        <v>1</v>
      </c>
      <c r="AF26">
        <f>Tabela4[[#This Row],[kan_val_acc]]</f>
        <v>0.99130434989929195</v>
      </c>
      <c r="AG26">
        <f>Tabela4[[#This Row],[kan_test_acc]]</f>
        <v>0.86315789222717287</v>
      </c>
      <c r="AH26">
        <f>Tabela4[[#This Row],[mlp_test_acc]]</f>
        <v>0.9</v>
      </c>
      <c r="AI26">
        <f>Tabela4[[#This Row],[mlp_val_acc]]</f>
        <v>1</v>
      </c>
      <c r="AJ26">
        <f>Tabela4[[#This Row],[mlp_train_acc]]</f>
        <v>1</v>
      </c>
    </row>
    <row r="27" spans="1:36" x14ac:dyDescent="0.25">
      <c r="A27" t="s">
        <v>196</v>
      </c>
      <c r="B27">
        <v>8</v>
      </c>
      <c r="C27">
        <v>3</v>
      </c>
      <c r="D27">
        <v>2</v>
      </c>
      <c r="E27">
        <v>0</v>
      </c>
      <c r="F27" t="s">
        <v>205</v>
      </c>
      <c r="G27">
        <v>1383</v>
      </c>
      <c r="H27">
        <v>10068308.800000001</v>
      </c>
      <c r="I27">
        <v>13</v>
      </c>
      <c r="J27">
        <v>0.99101123809814451</v>
      </c>
      <c r="K27">
        <v>1</v>
      </c>
      <c r="L27">
        <v>0.94210526943206785</v>
      </c>
      <c r="M27">
        <v>0.94736842105263153</v>
      </c>
      <c r="N27">
        <v>1</v>
      </c>
      <c r="O27">
        <v>0.97752808988764039</v>
      </c>
      <c r="P27">
        <v>9999</v>
      </c>
      <c r="Q27">
        <v>208936881.59999999</v>
      </c>
      <c r="R27">
        <v>1291</v>
      </c>
      <c r="S27">
        <v>2</v>
      </c>
      <c r="T27">
        <v>23</v>
      </c>
      <c r="U27">
        <v>0.94736842105263153</v>
      </c>
      <c r="V27">
        <v>1</v>
      </c>
      <c r="W27">
        <v>0.97752808988764039</v>
      </c>
      <c r="X27">
        <v>9999</v>
      </c>
      <c r="Y27">
        <v>206084026</v>
      </c>
      <c r="Z27">
        <v>1395</v>
      </c>
      <c r="AA27">
        <v>2</v>
      </c>
      <c r="AB27">
        <v>24</v>
      </c>
      <c r="AD27">
        <f>Tabela4[[#This Row],[kan_params]]</f>
        <v>1383</v>
      </c>
      <c r="AE27">
        <f>Tabela4[[#This Row],[kan_train_acc]]</f>
        <v>0.99101123809814451</v>
      </c>
      <c r="AF27">
        <f>Tabela4[[#This Row],[kan_val_acc]]</f>
        <v>1</v>
      </c>
      <c r="AG27">
        <f>Tabela4[[#This Row],[kan_test_acc]]</f>
        <v>0.94210526943206785</v>
      </c>
      <c r="AH27">
        <f>Tabela4[[#This Row],[mlp_test_acc]]</f>
        <v>0.94736842105263153</v>
      </c>
      <c r="AI27">
        <f>Tabela4[[#This Row],[mlp_val_acc]]</f>
        <v>1</v>
      </c>
      <c r="AJ27">
        <f>Tabela4[[#This Row],[mlp_train_acc]]</f>
        <v>0.97752808988764039</v>
      </c>
    </row>
    <row r="28" spans="1:36" x14ac:dyDescent="0.25">
      <c r="A28" t="s">
        <v>196</v>
      </c>
      <c r="B28">
        <v>8</v>
      </c>
      <c r="C28">
        <v>3</v>
      </c>
      <c r="D28">
        <v>2</v>
      </c>
      <c r="E28">
        <v>0</v>
      </c>
      <c r="F28" t="s">
        <v>199</v>
      </c>
      <c r="G28">
        <v>1423</v>
      </c>
      <c r="H28">
        <v>11538394.800000001</v>
      </c>
      <c r="I28">
        <v>13.6</v>
      </c>
      <c r="J28">
        <v>0.99775280952453616</v>
      </c>
      <c r="K28">
        <v>1</v>
      </c>
      <c r="L28">
        <v>0.94210526943206785</v>
      </c>
      <c r="M28">
        <v>0.9631578947368421</v>
      </c>
      <c r="N28">
        <v>1</v>
      </c>
      <c r="O28">
        <v>0.98426966292134832</v>
      </c>
      <c r="P28">
        <v>9999</v>
      </c>
      <c r="Q28">
        <v>213783832.40000001</v>
      </c>
      <c r="R28">
        <v>1395</v>
      </c>
      <c r="S28">
        <v>2</v>
      </c>
      <c r="T28">
        <v>24</v>
      </c>
      <c r="U28">
        <v>0.94736842105263153</v>
      </c>
      <c r="V28">
        <v>1</v>
      </c>
      <c r="W28">
        <v>0.97752808988764039</v>
      </c>
      <c r="X28">
        <v>9999</v>
      </c>
      <c r="Y28">
        <v>215069281.19999999</v>
      </c>
      <c r="Z28">
        <v>1503</v>
      </c>
      <c r="AA28">
        <v>2</v>
      </c>
      <c r="AB28">
        <v>25</v>
      </c>
      <c r="AD28">
        <f>Tabela4[[#This Row],[kan_params]]</f>
        <v>1423</v>
      </c>
      <c r="AE28">
        <f>Tabela4[[#This Row],[kan_train_acc]]</f>
        <v>0.99775280952453616</v>
      </c>
      <c r="AF28">
        <f>Tabela4[[#This Row],[kan_val_acc]]</f>
        <v>1</v>
      </c>
      <c r="AG28">
        <f>Tabela4[[#This Row],[kan_test_acc]]</f>
        <v>0.94210526943206785</v>
      </c>
      <c r="AH28">
        <f>Tabela4[[#This Row],[mlp_test_acc]]</f>
        <v>0.9631578947368421</v>
      </c>
      <c r="AI28">
        <f>Tabela4[[#This Row],[mlp_val_acc]]</f>
        <v>1</v>
      </c>
      <c r="AJ28">
        <f>Tabela4[[#This Row],[mlp_train_acc]]</f>
        <v>0.98426966292134832</v>
      </c>
    </row>
    <row r="29" spans="1:36" x14ac:dyDescent="0.25">
      <c r="A29" t="s">
        <v>196</v>
      </c>
      <c r="B29">
        <v>12</v>
      </c>
      <c r="C29">
        <v>3</v>
      </c>
      <c r="D29">
        <v>4</v>
      </c>
      <c r="E29">
        <v>0</v>
      </c>
      <c r="F29" t="s">
        <v>207</v>
      </c>
      <c r="G29">
        <v>1459</v>
      </c>
      <c r="H29">
        <v>9983955.4000000004</v>
      </c>
      <c r="I29">
        <v>15</v>
      </c>
      <c r="J29">
        <v>1</v>
      </c>
      <c r="K29">
        <v>0.92173914909362797</v>
      </c>
      <c r="L29">
        <v>0.84736841917037964</v>
      </c>
      <c r="M29">
        <v>0.90526315789473688</v>
      </c>
      <c r="N29">
        <v>1</v>
      </c>
      <c r="O29">
        <v>1</v>
      </c>
      <c r="P29">
        <v>9999</v>
      </c>
      <c r="Q29">
        <v>137341648</v>
      </c>
      <c r="R29">
        <v>1395</v>
      </c>
      <c r="S29">
        <v>2</v>
      </c>
      <c r="T29">
        <v>24</v>
      </c>
      <c r="U29">
        <v>0.90526315789473688</v>
      </c>
      <c r="V29">
        <v>1</v>
      </c>
      <c r="W29">
        <v>1</v>
      </c>
      <c r="X29">
        <v>9999</v>
      </c>
      <c r="Y29">
        <v>137757121.59999999</v>
      </c>
      <c r="Z29">
        <v>1503</v>
      </c>
      <c r="AA29">
        <v>2</v>
      </c>
      <c r="AB29">
        <v>25</v>
      </c>
      <c r="AD29">
        <f>Tabela4[[#This Row],[kan_params]]</f>
        <v>1459</v>
      </c>
      <c r="AE29">
        <f>Tabela4[[#This Row],[kan_train_acc]]</f>
        <v>1</v>
      </c>
      <c r="AF29">
        <f>Tabela4[[#This Row],[kan_val_acc]]</f>
        <v>0.92173914909362797</v>
      </c>
      <c r="AG29">
        <f>Tabela4[[#This Row],[kan_test_acc]]</f>
        <v>0.84736841917037964</v>
      </c>
      <c r="AH29">
        <f>Tabela4[[#This Row],[mlp_test_acc]]</f>
        <v>0.90526315789473688</v>
      </c>
      <c r="AI29">
        <f>Tabela4[[#This Row],[mlp_val_acc]]</f>
        <v>1</v>
      </c>
      <c r="AJ29">
        <f>Tabela4[[#This Row],[mlp_train_acc]]</f>
        <v>1</v>
      </c>
    </row>
    <row r="30" spans="1:36" x14ac:dyDescent="0.25">
      <c r="A30" t="s">
        <v>196</v>
      </c>
      <c r="B30">
        <v>10</v>
      </c>
      <c r="C30">
        <v>3</v>
      </c>
      <c r="D30">
        <v>3</v>
      </c>
      <c r="E30">
        <v>0</v>
      </c>
      <c r="F30" t="s">
        <v>197</v>
      </c>
      <c r="G30">
        <v>1489</v>
      </c>
      <c r="H30">
        <v>6540342.5999999996</v>
      </c>
      <c r="I30">
        <v>12.6</v>
      </c>
      <c r="J30">
        <v>1</v>
      </c>
      <c r="K30">
        <v>0.97391304969787595</v>
      </c>
      <c r="L30">
        <v>0.91578947305679326</v>
      </c>
      <c r="M30">
        <v>0.9</v>
      </c>
      <c r="N30">
        <v>1</v>
      </c>
      <c r="O30">
        <v>1</v>
      </c>
      <c r="P30">
        <v>9999</v>
      </c>
      <c r="Q30">
        <v>120409939.40000001</v>
      </c>
      <c r="R30">
        <v>1395</v>
      </c>
      <c r="S30">
        <v>2</v>
      </c>
      <c r="T30">
        <v>24</v>
      </c>
      <c r="U30">
        <v>0.91578947368421049</v>
      </c>
      <c r="V30">
        <v>1</v>
      </c>
      <c r="W30">
        <v>1</v>
      </c>
      <c r="X30">
        <v>9999</v>
      </c>
      <c r="Y30">
        <v>119780059.40000001</v>
      </c>
      <c r="Z30">
        <v>1503</v>
      </c>
      <c r="AA30">
        <v>2</v>
      </c>
      <c r="AB30">
        <v>25</v>
      </c>
      <c r="AD30">
        <f>Tabela4[[#This Row],[kan_params]]</f>
        <v>1489</v>
      </c>
      <c r="AE30">
        <f>Tabela4[[#This Row],[kan_train_acc]]</f>
        <v>1</v>
      </c>
      <c r="AF30">
        <f>Tabela4[[#This Row],[kan_val_acc]]</f>
        <v>0.97391304969787595</v>
      </c>
      <c r="AG30">
        <f>Tabela4[[#This Row],[kan_test_acc]]</f>
        <v>0.91578947305679326</v>
      </c>
      <c r="AH30">
        <f>Tabela4[[#This Row],[mlp_test_acc]]</f>
        <v>0.9</v>
      </c>
      <c r="AI30">
        <f>Tabela4[[#This Row],[mlp_val_acc]]</f>
        <v>1</v>
      </c>
      <c r="AJ30">
        <f>Tabela4[[#This Row],[mlp_train_acc]]</f>
        <v>1</v>
      </c>
    </row>
    <row r="31" spans="1:36" x14ac:dyDescent="0.25">
      <c r="A31" t="s">
        <v>196</v>
      </c>
      <c r="B31">
        <v>12</v>
      </c>
      <c r="C31">
        <v>3</v>
      </c>
      <c r="D31">
        <v>4</v>
      </c>
      <c r="E31">
        <v>0</v>
      </c>
      <c r="F31" t="s">
        <v>203</v>
      </c>
      <c r="G31">
        <v>1517</v>
      </c>
      <c r="H31">
        <v>9878053.8000000007</v>
      </c>
      <c r="I31">
        <v>13.6</v>
      </c>
      <c r="J31">
        <v>1</v>
      </c>
      <c r="K31">
        <v>0.98260869979858401</v>
      </c>
      <c r="L31">
        <v>0.87368421554565434</v>
      </c>
      <c r="M31">
        <v>0.9</v>
      </c>
      <c r="N31">
        <v>1</v>
      </c>
      <c r="O31">
        <v>1</v>
      </c>
      <c r="P31">
        <v>9999</v>
      </c>
      <c r="Q31">
        <v>134805126.59999999</v>
      </c>
      <c r="R31">
        <v>1503</v>
      </c>
      <c r="S31">
        <v>2</v>
      </c>
      <c r="T31">
        <v>25</v>
      </c>
      <c r="U31">
        <v>0.91052631578947363</v>
      </c>
      <c r="V31">
        <v>1</v>
      </c>
      <c r="W31">
        <v>1</v>
      </c>
      <c r="X31">
        <v>9999</v>
      </c>
      <c r="Y31">
        <v>135247723.40000001</v>
      </c>
      <c r="Z31">
        <v>1615</v>
      </c>
      <c r="AA31">
        <v>2</v>
      </c>
      <c r="AB31">
        <v>26</v>
      </c>
      <c r="AD31">
        <f>Tabela4[[#This Row],[kan_params]]</f>
        <v>1517</v>
      </c>
      <c r="AE31">
        <f>Tabela4[[#This Row],[kan_train_acc]]</f>
        <v>1</v>
      </c>
      <c r="AF31">
        <f>Tabela4[[#This Row],[kan_val_acc]]</f>
        <v>0.98260869979858401</v>
      </c>
      <c r="AG31">
        <f>Tabela4[[#This Row],[kan_test_acc]]</f>
        <v>0.87368421554565434</v>
      </c>
      <c r="AH31">
        <f>Tabela4[[#This Row],[mlp_test_acc]]</f>
        <v>0.9</v>
      </c>
      <c r="AI31">
        <f>Tabela4[[#This Row],[mlp_val_acc]]</f>
        <v>1</v>
      </c>
      <c r="AJ31">
        <f>Tabela4[[#This Row],[mlp_train_acc]]</f>
        <v>1</v>
      </c>
    </row>
    <row r="32" spans="1:36" x14ac:dyDescent="0.25">
      <c r="A32" t="s">
        <v>196</v>
      </c>
      <c r="B32">
        <v>14</v>
      </c>
      <c r="C32">
        <v>3</v>
      </c>
      <c r="D32">
        <v>5</v>
      </c>
      <c r="E32">
        <v>0</v>
      </c>
      <c r="F32" t="s">
        <v>207</v>
      </c>
      <c r="G32">
        <v>1687</v>
      </c>
      <c r="H32">
        <v>13508943.199999999</v>
      </c>
      <c r="I32">
        <v>15.2</v>
      </c>
      <c r="J32">
        <v>0.96853932142257693</v>
      </c>
      <c r="K32">
        <v>0.98260869979858401</v>
      </c>
      <c r="L32">
        <v>0.86315789222717287</v>
      </c>
      <c r="M32">
        <v>0.89473684210526316</v>
      </c>
      <c r="N32">
        <v>1</v>
      </c>
      <c r="O32">
        <v>1</v>
      </c>
      <c r="P32">
        <v>9999</v>
      </c>
      <c r="Q32">
        <v>132723709.8</v>
      </c>
      <c r="R32">
        <v>1615</v>
      </c>
      <c r="S32">
        <v>2</v>
      </c>
      <c r="T32">
        <v>26</v>
      </c>
      <c r="U32">
        <v>0.9</v>
      </c>
      <c r="V32">
        <v>1</v>
      </c>
      <c r="W32">
        <v>1</v>
      </c>
      <c r="X32">
        <v>9999</v>
      </c>
      <c r="Y32">
        <v>133527624.59999999</v>
      </c>
      <c r="Z32">
        <v>1731</v>
      </c>
      <c r="AA32">
        <v>2</v>
      </c>
      <c r="AB32">
        <v>27</v>
      </c>
      <c r="AD32">
        <f>Tabela4[[#This Row],[kan_params]]</f>
        <v>1687</v>
      </c>
      <c r="AE32">
        <f>Tabela4[[#This Row],[kan_train_acc]]</f>
        <v>0.96853932142257693</v>
      </c>
      <c r="AF32">
        <f>Tabela4[[#This Row],[kan_val_acc]]</f>
        <v>0.98260869979858401</v>
      </c>
      <c r="AG32">
        <f>Tabela4[[#This Row],[kan_test_acc]]</f>
        <v>0.86315789222717287</v>
      </c>
      <c r="AH32">
        <f>Tabela4[[#This Row],[mlp_test_acc]]</f>
        <v>0.89473684210526316</v>
      </c>
      <c r="AI32">
        <f>Tabela4[[#This Row],[mlp_val_acc]]</f>
        <v>1</v>
      </c>
      <c r="AJ32">
        <f>Tabela4[[#This Row],[mlp_train_acc]]</f>
        <v>1</v>
      </c>
    </row>
    <row r="33" spans="1:36" x14ac:dyDescent="0.25">
      <c r="A33" t="s">
        <v>196</v>
      </c>
      <c r="B33">
        <v>10</v>
      </c>
      <c r="C33">
        <v>3</v>
      </c>
      <c r="D33">
        <v>3</v>
      </c>
      <c r="E33">
        <v>0</v>
      </c>
      <c r="F33" t="s">
        <v>205</v>
      </c>
      <c r="G33">
        <v>1698</v>
      </c>
      <c r="H33">
        <v>13603151</v>
      </c>
      <c r="I33">
        <v>14.6</v>
      </c>
      <c r="J33">
        <v>1</v>
      </c>
      <c r="K33">
        <v>1</v>
      </c>
      <c r="L33">
        <v>0.95263156890869138</v>
      </c>
      <c r="M33">
        <v>0.94736842105263153</v>
      </c>
      <c r="N33">
        <v>1</v>
      </c>
      <c r="O33">
        <v>0.97752808988764039</v>
      </c>
      <c r="P33">
        <v>9999</v>
      </c>
      <c r="Q33">
        <v>221962914.40000001</v>
      </c>
      <c r="R33">
        <v>1615</v>
      </c>
      <c r="S33">
        <v>2</v>
      </c>
      <c r="T33">
        <v>26</v>
      </c>
      <c r="U33">
        <v>0.94736842105263153</v>
      </c>
      <c r="V33">
        <v>1</v>
      </c>
      <c r="W33">
        <v>0.97752808988764039</v>
      </c>
      <c r="X33">
        <v>9999</v>
      </c>
      <c r="Y33">
        <v>222078672</v>
      </c>
      <c r="Z33">
        <v>1731</v>
      </c>
      <c r="AA33">
        <v>2</v>
      </c>
      <c r="AB33">
        <v>27</v>
      </c>
      <c r="AD33">
        <f>Tabela4[[#This Row],[kan_params]]</f>
        <v>1698</v>
      </c>
      <c r="AE33">
        <f>Tabela4[[#This Row],[kan_train_acc]]</f>
        <v>1</v>
      </c>
      <c r="AF33">
        <f>Tabela4[[#This Row],[kan_val_acc]]</f>
        <v>1</v>
      </c>
      <c r="AG33">
        <f>Tabela4[[#This Row],[kan_test_acc]]</f>
        <v>0.95263156890869138</v>
      </c>
      <c r="AH33">
        <f>Tabela4[[#This Row],[mlp_test_acc]]</f>
        <v>0.94736842105263153</v>
      </c>
      <c r="AI33">
        <f>Tabela4[[#This Row],[mlp_val_acc]]</f>
        <v>1</v>
      </c>
      <c r="AJ33">
        <f>Tabela4[[#This Row],[mlp_train_acc]]</f>
        <v>0.97752808988764039</v>
      </c>
    </row>
    <row r="34" spans="1:36" x14ac:dyDescent="0.25">
      <c r="A34" t="s">
        <v>196</v>
      </c>
      <c r="B34">
        <v>8</v>
      </c>
      <c r="C34">
        <v>3</v>
      </c>
      <c r="D34">
        <v>2</v>
      </c>
      <c r="E34">
        <v>0</v>
      </c>
      <c r="F34" t="s">
        <v>208</v>
      </c>
      <c r="G34">
        <v>1723</v>
      </c>
      <c r="H34">
        <v>11630205.199999999</v>
      </c>
      <c r="I34">
        <v>13</v>
      </c>
      <c r="J34">
        <v>0.99101123809814451</v>
      </c>
      <c r="K34">
        <v>1</v>
      </c>
      <c r="L34">
        <v>0.94210528135299687</v>
      </c>
      <c r="M34">
        <v>0.94736842105263153</v>
      </c>
      <c r="N34">
        <v>1</v>
      </c>
      <c r="O34">
        <v>0.97752808988764039</v>
      </c>
      <c r="P34">
        <v>9999</v>
      </c>
      <c r="Q34">
        <v>212119170.59999999</v>
      </c>
      <c r="R34">
        <v>1615</v>
      </c>
      <c r="S34">
        <v>2</v>
      </c>
      <c r="T34">
        <v>26</v>
      </c>
      <c r="U34">
        <v>0.94736842105263153</v>
      </c>
      <c r="V34">
        <v>1</v>
      </c>
      <c r="W34">
        <v>0.97752808988764039</v>
      </c>
      <c r="X34">
        <v>9999</v>
      </c>
      <c r="Y34">
        <v>211783855.19999999</v>
      </c>
      <c r="Z34">
        <v>1731</v>
      </c>
      <c r="AA34">
        <v>2</v>
      </c>
      <c r="AB34">
        <v>27</v>
      </c>
      <c r="AD34">
        <f>Tabela4[[#This Row],[kan_params]]</f>
        <v>1723</v>
      </c>
      <c r="AE34">
        <f>Tabela4[[#This Row],[kan_train_acc]]</f>
        <v>0.99101123809814451</v>
      </c>
      <c r="AF34">
        <f>Tabela4[[#This Row],[kan_val_acc]]</f>
        <v>1</v>
      </c>
      <c r="AG34">
        <f>Tabela4[[#This Row],[kan_test_acc]]</f>
        <v>0.94210528135299687</v>
      </c>
      <c r="AH34">
        <f>Tabela4[[#This Row],[mlp_test_acc]]</f>
        <v>0.94736842105263153</v>
      </c>
      <c r="AI34">
        <f>Tabela4[[#This Row],[mlp_val_acc]]</f>
        <v>1</v>
      </c>
      <c r="AJ34">
        <f>Tabela4[[#This Row],[mlp_train_acc]]</f>
        <v>0.97752808988764039</v>
      </c>
    </row>
    <row r="35" spans="1:36" x14ac:dyDescent="0.25">
      <c r="A35" t="s">
        <v>196</v>
      </c>
      <c r="B35">
        <v>10</v>
      </c>
      <c r="C35">
        <v>3</v>
      </c>
      <c r="D35">
        <v>3</v>
      </c>
      <c r="E35">
        <v>0</v>
      </c>
      <c r="F35" t="s">
        <v>199</v>
      </c>
      <c r="G35">
        <v>1747</v>
      </c>
      <c r="H35">
        <v>9774810</v>
      </c>
      <c r="I35">
        <v>16.2</v>
      </c>
      <c r="J35">
        <v>1</v>
      </c>
      <c r="K35">
        <v>1</v>
      </c>
      <c r="L35">
        <v>0.92105263471603394</v>
      </c>
      <c r="M35">
        <v>0.91052631578947363</v>
      </c>
      <c r="N35">
        <v>1</v>
      </c>
      <c r="O35">
        <v>1</v>
      </c>
      <c r="P35">
        <v>9999</v>
      </c>
      <c r="Q35">
        <v>123462550.59999999</v>
      </c>
      <c r="R35">
        <v>1731</v>
      </c>
      <c r="S35">
        <v>2</v>
      </c>
      <c r="T35">
        <v>27</v>
      </c>
      <c r="U35">
        <v>0.89473684210526316</v>
      </c>
      <c r="V35">
        <v>1</v>
      </c>
      <c r="W35">
        <v>1</v>
      </c>
      <c r="X35">
        <v>9999</v>
      </c>
      <c r="Y35">
        <v>125139906.2</v>
      </c>
      <c r="Z35">
        <v>1851</v>
      </c>
      <c r="AA35">
        <v>2</v>
      </c>
      <c r="AB35">
        <v>28</v>
      </c>
      <c r="AD35">
        <f>Tabela4[[#This Row],[kan_params]]</f>
        <v>1747</v>
      </c>
      <c r="AE35">
        <f>Tabela4[[#This Row],[kan_train_acc]]</f>
        <v>1</v>
      </c>
      <c r="AF35">
        <f>Tabela4[[#This Row],[kan_val_acc]]</f>
        <v>1</v>
      </c>
      <c r="AG35">
        <f>Tabela4[[#This Row],[kan_test_acc]]</f>
        <v>0.92105263471603394</v>
      </c>
      <c r="AH35">
        <f>Tabela4[[#This Row],[mlp_test_acc]]</f>
        <v>0.91052631578947363</v>
      </c>
      <c r="AI35">
        <f>Tabela4[[#This Row],[mlp_val_acc]]</f>
        <v>1</v>
      </c>
      <c r="AJ35">
        <f>Tabela4[[#This Row],[mlp_train_acc]]</f>
        <v>1</v>
      </c>
    </row>
    <row r="36" spans="1:36" x14ac:dyDescent="0.25">
      <c r="A36" t="s">
        <v>196</v>
      </c>
      <c r="B36">
        <v>14</v>
      </c>
      <c r="C36">
        <v>3</v>
      </c>
      <c r="D36">
        <v>5</v>
      </c>
      <c r="E36">
        <v>0</v>
      </c>
      <c r="F36" t="s">
        <v>203</v>
      </c>
      <c r="G36">
        <v>1754</v>
      </c>
      <c r="H36">
        <v>14110338.800000001</v>
      </c>
      <c r="I36">
        <v>16.2</v>
      </c>
      <c r="J36">
        <v>0.94157302379608154</v>
      </c>
      <c r="K36">
        <v>1</v>
      </c>
      <c r="L36">
        <v>0.79473682641983034</v>
      </c>
      <c r="M36">
        <v>0.9</v>
      </c>
      <c r="N36">
        <v>1</v>
      </c>
      <c r="O36">
        <v>1</v>
      </c>
      <c r="P36">
        <v>9999</v>
      </c>
      <c r="Q36">
        <v>128387343.59999999</v>
      </c>
      <c r="R36">
        <v>1731</v>
      </c>
      <c r="S36">
        <v>2</v>
      </c>
      <c r="T36">
        <v>27</v>
      </c>
      <c r="U36">
        <v>0.91052631578947363</v>
      </c>
      <c r="V36">
        <v>1</v>
      </c>
      <c r="W36">
        <v>1</v>
      </c>
      <c r="X36">
        <v>9999</v>
      </c>
      <c r="Y36">
        <v>130185486.2</v>
      </c>
      <c r="Z36">
        <v>1851</v>
      </c>
      <c r="AA36">
        <v>2</v>
      </c>
      <c r="AB36">
        <v>28</v>
      </c>
      <c r="AD36">
        <f>Tabela4[[#This Row],[kan_params]]</f>
        <v>1754</v>
      </c>
      <c r="AE36">
        <f>Tabela4[[#This Row],[kan_train_acc]]</f>
        <v>0.94157302379608154</v>
      </c>
      <c r="AF36">
        <f>Tabela4[[#This Row],[kan_val_acc]]</f>
        <v>1</v>
      </c>
      <c r="AG36">
        <f>Tabela4[[#This Row],[kan_test_acc]]</f>
        <v>0.79473682641983034</v>
      </c>
      <c r="AH36">
        <f>Tabela4[[#This Row],[mlp_test_acc]]</f>
        <v>0.9</v>
      </c>
      <c r="AI36">
        <f>Tabela4[[#This Row],[mlp_val_acc]]</f>
        <v>1</v>
      </c>
      <c r="AJ36">
        <f>Tabela4[[#This Row],[mlp_train_acc]]</f>
        <v>1</v>
      </c>
    </row>
    <row r="37" spans="1:36" x14ac:dyDescent="0.25">
      <c r="A37" t="s">
        <v>196</v>
      </c>
      <c r="B37">
        <v>12</v>
      </c>
      <c r="C37">
        <v>3</v>
      </c>
      <c r="D37">
        <v>4</v>
      </c>
      <c r="E37">
        <v>0</v>
      </c>
      <c r="F37" t="s">
        <v>197</v>
      </c>
      <c r="G37">
        <v>1765</v>
      </c>
      <c r="H37">
        <v>11272686.800000001</v>
      </c>
      <c r="I37">
        <v>14</v>
      </c>
      <c r="J37">
        <v>0.97528090476989748</v>
      </c>
      <c r="K37">
        <v>0.95652174949645996</v>
      </c>
      <c r="L37">
        <v>0.81578947305679317</v>
      </c>
      <c r="M37">
        <v>0.89473684210526316</v>
      </c>
      <c r="N37">
        <v>1</v>
      </c>
      <c r="O37">
        <v>1</v>
      </c>
      <c r="P37">
        <v>9999</v>
      </c>
      <c r="Q37">
        <v>138551234.80000001</v>
      </c>
      <c r="R37">
        <v>1731</v>
      </c>
      <c r="S37">
        <v>2</v>
      </c>
      <c r="T37">
        <v>27</v>
      </c>
      <c r="U37">
        <v>0.9</v>
      </c>
      <c r="V37">
        <v>1</v>
      </c>
      <c r="W37">
        <v>1</v>
      </c>
      <c r="X37">
        <v>9999</v>
      </c>
      <c r="Y37">
        <v>137426800.19999999</v>
      </c>
      <c r="Z37">
        <v>1851</v>
      </c>
      <c r="AA37">
        <v>2</v>
      </c>
      <c r="AB37">
        <v>28</v>
      </c>
      <c r="AD37">
        <f>Tabela4[[#This Row],[kan_params]]</f>
        <v>1765</v>
      </c>
      <c r="AE37">
        <f>Tabela4[[#This Row],[kan_train_acc]]</f>
        <v>0.97528090476989748</v>
      </c>
      <c r="AF37">
        <f>Tabela4[[#This Row],[kan_val_acc]]</f>
        <v>0.95652174949645996</v>
      </c>
      <c r="AG37">
        <f>Tabela4[[#This Row],[kan_test_acc]]</f>
        <v>0.81578947305679317</v>
      </c>
      <c r="AH37">
        <f>Tabela4[[#This Row],[mlp_test_acc]]</f>
        <v>0.89473684210526316</v>
      </c>
      <c r="AI37">
        <f>Tabela4[[#This Row],[mlp_val_acc]]</f>
        <v>1</v>
      </c>
      <c r="AJ37">
        <f>Tabela4[[#This Row],[mlp_train_acc]]</f>
        <v>1</v>
      </c>
    </row>
    <row r="38" spans="1:36" x14ac:dyDescent="0.25">
      <c r="A38" t="s">
        <v>196</v>
      </c>
      <c r="B38">
        <v>12</v>
      </c>
      <c r="C38">
        <v>3</v>
      </c>
      <c r="D38">
        <v>4</v>
      </c>
      <c r="E38">
        <v>0</v>
      </c>
      <c r="F38" t="s">
        <v>205</v>
      </c>
      <c r="G38">
        <v>2013</v>
      </c>
      <c r="H38">
        <v>10928222.4</v>
      </c>
      <c r="I38">
        <v>14.2</v>
      </c>
      <c r="J38">
        <v>1</v>
      </c>
      <c r="K38">
        <v>0.99130434989929195</v>
      </c>
      <c r="L38">
        <v>0.84210526943206787</v>
      </c>
      <c r="M38">
        <v>0.89473684210526316</v>
      </c>
      <c r="N38">
        <v>1</v>
      </c>
      <c r="O38">
        <v>1</v>
      </c>
      <c r="P38">
        <v>9999</v>
      </c>
      <c r="Q38">
        <v>134702647.80000001</v>
      </c>
      <c r="R38">
        <v>1975</v>
      </c>
      <c r="S38">
        <v>2</v>
      </c>
      <c r="T38">
        <v>29</v>
      </c>
      <c r="U38">
        <v>0.9</v>
      </c>
      <c r="V38">
        <v>1</v>
      </c>
      <c r="W38">
        <v>1</v>
      </c>
      <c r="X38">
        <v>9999</v>
      </c>
      <c r="Y38">
        <v>134610364.59999999</v>
      </c>
      <c r="Z38">
        <v>2103</v>
      </c>
      <c r="AA38">
        <v>2</v>
      </c>
      <c r="AB38">
        <v>30</v>
      </c>
      <c r="AD38">
        <f>Tabela4[[#This Row],[kan_params]]</f>
        <v>2013</v>
      </c>
      <c r="AE38">
        <f>Tabela4[[#This Row],[kan_train_acc]]</f>
        <v>1</v>
      </c>
      <c r="AF38">
        <f>Tabela4[[#This Row],[kan_val_acc]]</f>
        <v>0.99130434989929195</v>
      </c>
      <c r="AG38">
        <f>Tabela4[[#This Row],[kan_test_acc]]</f>
        <v>0.84210526943206787</v>
      </c>
      <c r="AH38">
        <f>Tabela4[[#This Row],[mlp_test_acc]]</f>
        <v>0.89473684210526316</v>
      </c>
      <c r="AI38">
        <f>Tabela4[[#This Row],[mlp_val_acc]]</f>
        <v>1</v>
      </c>
      <c r="AJ38">
        <f>Tabela4[[#This Row],[mlp_train_acc]]</f>
        <v>1</v>
      </c>
    </row>
    <row r="39" spans="1:36" x14ac:dyDescent="0.25">
      <c r="A39" t="s">
        <v>196</v>
      </c>
      <c r="B39">
        <v>14</v>
      </c>
      <c r="C39">
        <v>3</v>
      </c>
      <c r="D39">
        <v>5</v>
      </c>
      <c r="E39">
        <v>0</v>
      </c>
      <c r="F39" t="s">
        <v>197</v>
      </c>
      <c r="G39">
        <v>2041</v>
      </c>
      <c r="H39">
        <v>11524529.6</v>
      </c>
      <c r="I39">
        <v>12.6</v>
      </c>
      <c r="J39">
        <v>0.98876404762268066</v>
      </c>
      <c r="K39">
        <v>0.98260869979858401</v>
      </c>
      <c r="L39">
        <v>0.81578947305679317</v>
      </c>
      <c r="M39">
        <v>0.89473684210526316</v>
      </c>
      <c r="N39">
        <v>1</v>
      </c>
      <c r="O39">
        <v>1</v>
      </c>
      <c r="P39">
        <v>9999</v>
      </c>
      <c r="Q39">
        <v>127983553.8</v>
      </c>
      <c r="R39">
        <v>1975</v>
      </c>
      <c r="S39">
        <v>2</v>
      </c>
      <c r="T39">
        <v>29</v>
      </c>
      <c r="U39">
        <v>0.90526315789473688</v>
      </c>
      <c r="V39">
        <v>1</v>
      </c>
      <c r="W39">
        <v>1</v>
      </c>
      <c r="X39">
        <v>9999</v>
      </c>
      <c r="Y39">
        <v>128423473</v>
      </c>
      <c r="Z39">
        <v>2103</v>
      </c>
      <c r="AA39">
        <v>2</v>
      </c>
      <c r="AB39">
        <v>30</v>
      </c>
      <c r="AD39">
        <f>Tabela4[[#This Row],[kan_params]]</f>
        <v>2041</v>
      </c>
      <c r="AE39">
        <f>Tabela4[[#This Row],[kan_train_acc]]</f>
        <v>0.98876404762268066</v>
      </c>
      <c r="AF39">
        <f>Tabela4[[#This Row],[kan_val_acc]]</f>
        <v>0.98260869979858401</v>
      </c>
      <c r="AG39">
        <f>Tabela4[[#This Row],[kan_test_acc]]</f>
        <v>0.81578947305679317</v>
      </c>
      <c r="AH39">
        <f>Tabela4[[#This Row],[mlp_test_acc]]</f>
        <v>0.89473684210526316</v>
      </c>
      <c r="AI39">
        <f>Tabela4[[#This Row],[mlp_val_acc]]</f>
        <v>1</v>
      </c>
      <c r="AJ39">
        <f>Tabela4[[#This Row],[mlp_train_acc]]</f>
        <v>1</v>
      </c>
    </row>
    <row r="40" spans="1:36" x14ac:dyDescent="0.25">
      <c r="A40" t="s">
        <v>196</v>
      </c>
      <c r="B40">
        <v>8</v>
      </c>
      <c r="C40">
        <v>3</v>
      </c>
      <c r="D40">
        <v>2</v>
      </c>
      <c r="E40">
        <v>0</v>
      </c>
      <c r="F40" t="s">
        <v>198</v>
      </c>
      <c r="G40">
        <v>2063</v>
      </c>
      <c r="H40">
        <v>11800953.4</v>
      </c>
      <c r="I40">
        <v>13.4</v>
      </c>
      <c r="J40">
        <v>1</v>
      </c>
      <c r="K40">
        <v>1</v>
      </c>
      <c r="L40">
        <v>0.9315789580345154</v>
      </c>
      <c r="M40">
        <v>0.94736842105263153</v>
      </c>
      <c r="N40">
        <v>1</v>
      </c>
      <c r="O40">
        <v>0.97752808988764039</v>
      </c>
      <c r="P40">
        <v>9999</v>
      </c>
      <c r="Q40">
        <v>213308773.40000001</v>
      </c>
      <c r="R40">
        <v>1975</v>
      </c>
      <c r="S40">
        <v>2</v>
      </c>
      <c r="T40">
        <v>29</v>
      </c>
      <c r="U40">
        <v>0.95789473684210524</v>
      </c>
      <c r="V40">
        <v>1</v>
      </c>
      <c r="W40">
        <v>0.97752808988764039</v>
      </c>
      <c r="X40">
        <v>9999</v>
      </c>
      <c r="Y40">
        <v>213882333.59999999</v>
      </c>
      <c r="Z40">
        <v>2103</v>
      </c>
      <c r="AA40">
        <v>2</v>
      </c>
      <c r="AB40">
        <v>30</v>
      </c>
      <c r="AD40">
        <f>Tabela4[[#This Row],[kan_params]]</f>
        <v>2063</v>
      </c>
      <c r="AE40">
        <f>Tabela4[[#This Row],[kan_train_acc]]</f>
        <v>1</v>
      </c>
      <c r="AF40">
        <f>Tabela4[[#This Row],[kan_val_acc]]</f>
        <v>1</v>
      </c>
      <c r="AG40">
        <f>Tabela4[[#This Row],[kan_test_acc]]</f>
        <v>0.9315789580345154</v>
      </c>
      <c r="AH40">
        <f>Tabela4[[#This Row],[mlp_test_acc]]</f>
        <v>0.94736842105263153</v>
      </c>
      <c r="AI40">
        <f>Tabela4[[#This Row],[mlp_val_acc]]</f>
        <v>1</v>
      </c>
      <c r="AJ40">
        <f>Tabela4[[#This Row],[mlp_train_acc]]</f>
        <v>0.97752808988764039</v>
      </c>
    </row>
    <row r="41" spans="1:36" x14ac:dyDescent="0.25">
      <c r="A41" t="s">
        <v>196</v>
      </c>
      <c r="B41">
        <v>12</v>
      </c>
      <c r="C41">
        <v>3</v>
      </c>
      <c r="D41">
        <v>4</v>
      </c>
      <c r="E41">
        <v>0</v>
      </c>
      <c r="F41" t="s">
        <v>199</v>
      </c>
      <c r="G41">
        <v>2071</v>
      </c>
      <c r="H41">
        <v>14171940</v>
      </c>
      <c r="I41">
        <v>17</v>
      </c>
      <c r="J41">
        <v>0.99775280952453616</v>
      </c>
      <c r="K41">
        <v>0.96521739959716801</v>
      </c>
      <c r="L41">
        <v>0.86842106580734257</v>
      </c>
      <c r="M41">
        <v>0.9</v>
      </c>
      <c r="N41">
        <v>1</v>
      </c>
      <c r="O41">
        <v>1</v>
      </c>
      <c r="P41">
        <v>9999</v>
      </c>
      <c r="Q41">
        <v>136298787.40000001</v>
      </c>
      <c r="R41">
        <v>1975</v>
      </c>
      <c r="S41">
        <v>2</v>
      </c>
      <c r="T41">
        <v>29</v>
      </c>
      <c r="U41">
        <v>0.89473684210526316</v>
      </c>
      <c r="V41">
        <v>1</v>
      </c>
      <c r="W41">
        <v>1</v>
      </c>
      <c r="X41">
        <v>9999</v>
      </c>
      <c r="Y41">
        <v>139415982.80000001</v>
      </c>
      <c r="Z41">
        <v>2103</v>
      </c>
      <c r="AA41">
        <v>2</v>
      </c>
      <c r="AB41">
        <v>30</v>
      </c>
      <c r="AD41">
        <f>Tabela4[[#This Row],[kan_params]]</f>
        <v>2071</v>
      </c>
      <c r="AE41">
        <f>Tabela4[[#This Row],[kan_train_acc]]</f>
        <v>0.99775280952453616</v>
      </c>
      <c r="AF41">
        <f>Tabela4[[#This Row],[kan_val_acc]]</f>
        <v>0.96521739959716801</v>
      </c>
      <c r="AG41">
        <f>Tabela4[[#This Row],[kan_test_acc]]</f>
        <v>0.86842106580734257</v>
      </c>
      <c r="AH41">
        <f>Tabela4[[#This Row],[mlp_test_acc]]</f>
        <v>0.9</v>
      </c>
      <c r="AI41">
        <f>Tabela4[[#This Row],[mlp_val_acc]]</f>
        <v>1</v>
      </c>
      <c r="AJ41">
        <f>Tabela4[[#This Row],[mlp_train_acc]]</f>
        <v>1</v>
      </c>
    </row>
    <row r="42" spans="1:36" x14ac:dyDescent="0.25">
      <c r="A42" t="s">
        <v>196</v>
      </c>
      <c r="B42">
        <v>10</v>
      </c>
      <c r="C42">
        <v>3</v>
      </c>
      <c r="D42">
        <v>3</v>
      </c>
      <c r="E42">
        <v>0</v>
      </c>
      <c r="F42" t="s">
        <v>208</v>
      </c>
      <c r="G42">
        <v>2116</v>
      </c>
      <c r="H42">
        <v>13235318</v>
      </c>
      <c r="I42">
        <v>14.166666666666666</v>
      </c>
      <c r="J42">
        <v>0.99625468254089355</v>
      </c>
      <c r="K42">
        <v>1</v>
      </c>
      <c r="L42">
        <v>0.97368421157201135</v>
      </c>
      <c r="M42">
        <v>0.94298245614035081</v>
      </c>
      <c r="N42">
        <v>1</v>
      </c>
      <c r="O42">
        <v>0.98127340823970033</v>
      </c>
      <c r="P42">
        <v>9999</v>
      </c>
      <c r="Q42">
        <v>205907136</v>
      </c>
      <c r="R42">
        <v>2103</v>
      </c>
      <c r="S42">
        <v>2</v>
      </c>
      <c r="T42">
        <v>30</v>
      </c>
      <c r="U42">
        <v>0.95175438596491224</v>
      </c>
      <c r="V42">
        <v>1</v>
      </c>
      <c r="W42">
        <v>0.98689138576779023</v>
      </c>
      <c r="X42">
        <v>9999</v>
      </c>
      <c r="Y42">
        <v>207484052</v>
      </c>
      <c r="Z42">
        <v>2235</v>
      </c>
      <c r="AA42">
        <v>2</v>
      </c>
      <c r="AB42">
        <v>31</v>
      </c>
      <c r="AD42">
        <f>Tabela4[[#This Row],[kan_params]]</f>
        <v>2116</v>
      </c>
      <c r="AE42">
        <f>Tabela4[[#This Row],[kan_train_acc]]</f>
        <v>0.99625468254089355</v>
      </c>
      <c r="AF42">
        <f>Tabela4[[#This Row],[kan_val_acc]]</f>
        <v>1</v>
      </c>
      <c r="AG42">
        <f>Tabela4[[#This Row],[kan_test_acc]]</f>
        <v>0.97368421157201135</v>
      </c>
      <c r="AH42">
        <f>Tabela4[[#This Row],[mlp_test_acc]]</f>
        <v>0.94298245614035081</v>
      </c>
      <c r="AI42">
        <f>Tabela4[[#This Row],[mlp_val_acc]]</f>
        <v>1</v>
      </c>
      <c r="AJ42">
        <f>Tabela4[[#This Row],[mlp_train_acc]]</f>
        <v>0.98127340823970033</v>
      </c>
    </row>
    <row r="43" spans="1:36" x14ac:dyDescent="0.25">
      <c r="A43" t="s">
        <v>196</v>
      </c>
      <c r="B43">
        <v>14</v>
      </c>
      <c r="C43">
        <v>3</v>
      </c>
      <c r="D43">
        <v>5</v>
      </c>
      <c r="E43">
        <v>0</v>
      </c>
      <c r="F43" t="s">
        <v>205</v>
      </c>
      <c r="G43">
        <v>2328</v>
      </c>
      <c r="H43">
        <v>9104641.1999999993</v>
      </c>
      <c r="I43">
        <v>12.4</v>
      </c>
      <c r="J43">
        <v>1</v>
      </c>
      <c r="K43">
        <v>0.98260869979858401</v>
      </c>
      <c r="L43">
        <v>0.9</v>
      </c>
      <c r="M43">
        <v>0.89473684210526316</v>
      </c>
      <c r="N43">
        <v>1</v>
      </c>
      <c r="O43">
        <v>1</v>
      </c>
      <c r="P43">
        <v>9999</v>
      </c>
      <c r="Q43">
        <v>132677419.40000001</v>
      </c>
      <c r="R43">
        <v>2235</v>
      </c>
      <c r="S43">
        <v>2</v>
      </c>
      <c r="T43">
        <v>31</v>
      </c>
      <c r="U43">
        <v>0.89473684210526316</v>
      </c>
      <c r="V43">
        <v>1</v>
      </c>
      <c r="W43">
        <v>1</v>
      </c>
      <c r="X43">
        <v>9999</v>
      </c>
      <c r="Y43">
        <v>133093814.40000001</v>
      </c>
      <c r="Z43">
        <v>2371</v>
      </c>
      <c r="AA43">
        <v>2</v>
      </c>
      <c r="AB43">
        <v>32</v>
      </c>
      <c r="AD43">
        <f>Tabela4[[#This Row],[kan_params]]</f>
        <v>2328</v>
      </c>
      <c r="AE43">
        <f>Tabela4[[#This Row],[kan_train_acc]]</f>
        <v>1</v>
      </c>
      <c r="AF43">
        <f>Tabela4[[#This Row],[kan_val_acc]]</f>
        <v>0.98260869979858401</v>
      </c>
      <c r="AG43">
        <f>Tabela4[[#This Row],[kan_test_acc]]</f>
        <v>0.9</v>
      </c>
      <c r="AH43">
        <f>Tabela4[[#This Row],[mlp_test_acc]]</f>
        <v>0.89473684210526316</v>
      </c>
      <c r="AI43">
        <f>Tabela4[[#This Row],[mlp_val_acc]]</f>
        <v>1</v>
      </c>
      <c r="AJ43">
        <f>Tabela4[[#This Row],[mlp_train_acc]]</f>
        <v>1</v>
      </c>
    </row>
    <row r="44" spans="1:36" x14ac:dyDescent="0.25">
      <c r="A44" t="s">
        <v>196</v>
      </c>
      <c r="B44">
        <v>14</v>
      </c>
      <c r="C44">
        <v>3</v>
      </c>
      <c r="D44">
        <v>5</v>
      </c>
      <c r="E44">
        <v>0</v>
      </c>
      <c r="F44" t="s">
        <v>199</v>
      </c>
      <c r="G44">
        <v>2395</v>
      </c>
      <c r="H44">
        <v>11878413.4</v>
      </c>
      <c r="I44">
        <v>13.6</v>
      </c>
      <c r="J44">
        <v>1</v>
      </c>
      <c r="K44">
        <v>0.95652174949645996</v>
      </c>
      <c r="L44">
        <v>0.85789474248886111</v>
      </c>
      <c r="M44">
        <v>0.91052631578947363</v>
      </c>
      <c r="N44">
        <v>1</v>
      </c>
      <c r="O44">
        <v>1</v>
      </c>
      <c r="P44">
        <v>9999</v>
      </c>
      <c r="Q44">
        <v>126691459.8</v>
      </c>
      <c r="R44">
        <v>2371</v>
      </c>
      <c r="S44">
        <v>2</v>
      </c>
      <c r="T44">
        <v>32</v>
      </c>
      <c r="U44">
        <v>0.90526315789473688</v>
      </c>
      <c r="V44">
        <v>1</v>
      </c>
      <c r="W44">
        <v>1</v>
      </c>
      <c r="X44">
        <v>9999</v>
      </c>
      <c r="Y44">
        <v>126459880.59999999</v>
      </c>
      <c r="Z44">
        <v>2511</v>
      </c>
      <c r="AA44">
        <v>2</v>
      </c>
      <c r="AB44">
        <v>33</v>
      </c>
      <c r="AD44">
        <f>Tabela4[[#This Row],[kan_params]]</f>
        <v>2395</v>
      </c>
      <c r="AE44">
        <f>Tabela4[[#This Row],[kan_train_acc]]</f>
        <v>1</v>
      </c>
      <c r="AF44">
        <f>Tabela4[[#This Row],[kan_val_acc]]</f>
        <v>0.95652174949645996</v>
      </c>
      <c r="AG44">
        <f>Tabela4[[#This Row],[kan_test_acc]]</f>
        <v>0.85789474248886111</v>
      </c>
      <c r="AH44">
        <f>Tabela4[[#This Row],[mlp_test_acc]]</f>
        <v>0.91052631578947363</v>
      </c>
      <c r="AI44">
        <f>Tabela4[[#This Row],[mlp_val_acc]]</f>
        <v>1</v>
      </c>
      <c r="AJ44">
        <f>Tabela4[[#This Row],[mlp_train_acc]]</f>
        <v>1</v>
      </c>
    </row>
    <row r="45" spans="1:36" x14ac:dyDescent="0.25">
      <c r="A45" t="s">
        <v>196</v>
      </c>
      <c r="B45">
        <v>8</v>
      </c>
      <c r="C45">
        <v>3</v>
      </c>
      <c r="D45">
        <v>2</v>
      </c>
      <c r="E45">
        <v>0</v>
      </c>
      <c r="F45" t="s">
        <v>200</v>
      </c>
      <c r="G45">
        <v>2403</v>
      </c>
      <c r="H45">
        <v>11752668</v>
      </c>
      <c r="I45">
        <v>13</v>
      </c>
      <c r="J45">
        <v>1</v>
      </c>
      <c r="K45">
        <v>1</v>
      </c>
      <c r="L45">
        <v>0.95789473056793217</v>
      </c>
      <c r="M45">
        <v>0.94736842105263153</v>
      </c>
      <c r="N45">
        <v>1</v>
      </c>
      <c r="O45">
        <v>0.97752808988764039</v>
      </c>
      <c r="P45">
        <v>9999</v>
      </c>
      <c r="Q45">
        <v>215816106.59999999</v>
      </c>
      <c r="R45">
        <v>2371</v>
      </c>
      <c r="S45">
        <v>2</v>
      </c>
      <c r="T45">
        <v>32</v>
      </c>
      <c r="U45">
        <v>0.94736842105263153</v>
      </c>
      <c r="V45">
        <v>1</v>
      </c>
      <c r="W45">
        <v>0.97752808988764039</v>
      </c>
      <c r="X45">
        <v>9999</v>
      </c>
      <c r="Y45">
        <v>215343502.59999999</v>
      </c>
      <c r="Z45">
        <v>2511</v>
      </c>
      <c r="AA45">
        <v>2</v>
      </c>
      <c r="AB45">
        <v>33</v>
      </c>
      <c r="AD45">
        <f>Tabela4[[#This Row],[kan_params]]</f>
        <v>2403</v>
      </c>
      <c r="AE45">
        <f>Tabela4[[#This Row],[kan_train_acc]]</f>
        <v>1</v>
      </c>
      <c r="AF45">
        <f>Tabela4[[#This Row],[kan_val_acc]]</f>
        <v>1</v>
      </c>
      <c r="AG45">
        <f>Tabela4[[#This Row],[kan_test_acc]]</f>
        <v>0.95789473056793217</v>
      </c>
      <c r="AH45">
        <f>Tabela4[[#This Row],[mlp_test_acc]]</f>
        <v>0.94736842105263153</v>
      </c>
      <c r="AI45">
        <f>Tabela4[[#This Row],[mlp_val_acc]]</f>
        <v>1</v>
      </c>
      <c r="AJ45">
        <f>Tabela4[[#This Row],[mlp_train_acc]]</f>
        <v>0.97752808988764039</v>
      </c>
    </row>
    <row r="46" spans="1:36" x14ac:dyDescent="0.25">
      <c r="A46" t="s">
        <v>196</v>
      </c>
      <c r="B46">
        <v>12</v>
      </c>
      <c r="C46">
        <v>3</v>
      </c>
      <c r="D46">
        <v>4</v>
      </c>
      <c r="E46">
        <v>0</v>
      </c>
      <c r="F46" t="s">
        <v>208</v>
      </c>
      <c r="G46">
        <v>2509</v>
      </c>
      <c r="H46">
        <v>12048841.199999999</v>
      </c>
      <c r="I46">
        <v>15.6</v>
      </c>
      <c r="J46">
        <v>0.99775280952453616</v>
      </c>
      <c r="K46">
        <v>0.99130434989929195</v>
      </c>
      <c r="L46">
        <v>0.86315790414810178</v>
      </c>
      <c r="M46">
        <v>0.90526315789473688</v>
      </c>
      <c r="N46">
        <v>1</v>
      </c>
      <c r="O46">
        <v>1</v>
      </c>
      <c r="P46">
        <v>9999</v>
      </c>
      <c r="Q46">
        <v>137219958</v>
      </c>
      <c r="R46">
        <v>2371</v>
      </c>
      <c r="S46">
        <v>2</v>
      </c>
      <c r="T46">
        <v>32</v>
      </c>
      <c r="U46">
        <v>0.90526315789473688</v>
      </c>
      <c r="V46">
        <v>1</v>
      </c>
      <c r="W46">
        <v>1</v>
      </c>
      <c r="X46">
        <v>9999</v>
      </c>
      <c r="Y46">
        <v>138439927.59999999</v>
      </c>
      <c r="Z46">
        <v>2511</v>
      </c>
      <c r="AA46">
        <v>2</v>
      </c>
      <c r="AB46">
        <v>33</v>
      </c>
      <c r="AD46">
        <f>Tabela4[[#This Row],[kan_params]]</f>
        <v>2509</v>
      </c>
      <c r="AE46">
        <f>Tabela4[[#This Row],[kan_train_acc]]</f>
        <v>0.99775280952453616</v>
      </c>
      <c r="AF46">
        <f>Tabela4[[#This Row],[kan_val_acc]]</f>
        <v>0.99130434989929195</v>
      </c>
      <c r="AG46">
        <f>Tabela4[[#This Row],[kan_test_acc]]</f>
        <v>0.86315790414810178</v>
      </c>
      <c r="AH46">
        <f>Tabela4[[#This Row],[mlp_test_acc]]</f>
        <v>0.90526315789473688</v>
      </c>
      <c r="AI46">
        <f>Tabela4[[#This Row],[mlp_val_acc]]</f>
        <v>1</v>
      </c>
      <c r="AJ46">
        <f>Tabela4[[#This Row],[mlp_train_acc]]</f>
        <v>1</v>
      </c>
    </row>
    <row r="47" spans="1:36" x14ac:dyDescent="0.25">
      <c r="A47" t="s">
        <v>196</v>
      </c>
      <c r="B47">
        <v>10</v>
      </c>
      <c r="C47">
        <v>3</v>
      </c>
      <c r="D47">
        <v>3</v>
      </c>
      <c r="E47">
        <v>0</v>
      </c>
      <c r="F47" t="s">
        <v>198</v>
      </c>
      <c r="G47">
        <v>2534</v>
      </c>
      <c r="H47">
        <v>7974522</v>
      </c>
      <c r="I47">
        <v>13.2</v>
      </c>
      <c r="J47">
        <v>1</v>
      </c>
      <c r="K47">
        <v>0.97391304969787595</v>
      </c>
      <c r="L47">
        <v>0.92105263471603394</v>
      </c>
      <c r="M47">
        <v>0.89473684210526316</v>
      </c>
      <c r="N47">
        <v>1</v>
      </c>
      <c r="O47">
        <v>1</v>
      </c>
      <c r="P47">
        <v>9999</v>
      </c>
      <c r="Q47">
        <v>120302919.40000001</v>
      </c>
      <c r="R47">
        <v>2511</v>
      </c>
      <c r="S47">
        <v>2</v>
      </c>
      <c r="T47">
        <v>33</v>
      </c>
      <c r="U47">
        <v>0.92105263157894735</v>
      </c>
      <c r="V47">
        <v>1</v>
      </c>
      <c r="W47">
        <v>1</v>
      </c>
      <c r="X47">
        <v>9999</v>
      </c>
      <c r="Y47">
        <v>121048232</v>
      </c>
      <c r="Z47">
        <v>2655</v>
      </c>
      <c r="AA47">
        <v>2</v>
      </c>
      <c r="AB47">
        <v>34</v>
      </c>
      <c r="AD47">
        <f>Tabela4[[#This Row],[kan_params]]</f>
        <v>2534</v>
      </c>
      <c r="AE47">
        <f>Tabela4[[#This Row],[kan_train_acc]]</f>
        <v>1</v>
      </c>
      <c r="AF47">
        <f>Tabela4[[#This Row],[kan_val_acc]]</f>
        <v>0.97391304969787595</v>
      </c>
      <c r="AG47">
        <f>Tabela4[[#This Row],[kan_test_acc]]</f>
        <v>0.92105263471603394</v>
      </c>
      <c r="AH47">
        <f>Tabela4[[#This Row],[mlp_test_acc]]</f>
        <v>0.89473684210526316</v>
      </c>
      <c r="AI47">
        <f>Tabela4[[#This Row],[mlp_val_acc]]</f>
        <v>1</v>
      </c>
      <c r="AJ47">
        <f>Tabela4[[#This Row],[mlp_train_acc]]</f>
        <v>1</v>
      </c>
    </row>
    <row r="48" spans="1:36" x14ac:dyDescent="0.25">
      <c r="A48" t="s">
        <v>196</v>
      </c>
      <c r="B48">
        <v>14</v>
      </c>
      <c r="C48">
        <v>3</v>
      </c>
      <c r="D48">
        <v>5</v>
      </c>
      <c r="E48">
        <v>0</v>
      </c>
      <c r="F48" t="s">
        <v>208</v>
      </c>
      <c r="G48">
        <v>2902</v>
      </c>
      <c r="H48">
        <v>12329863.6</v>
      </c>
      <c r="I48">
        <v>13.8</v>
      </c>
      <c r="J48">
        <v>0.97078651189804077</v>
      </c>
      <c r="K48">
        <v>0.99130434989929195</v>
      </c>
      <c r="L48">
        <v>0.82105263471603396</v>
      </c>
      <c r="M48">
        <v>0.91578947368421049</v>
      </c>
      <c r="N48">
        <v>1</v>
      </c>
      <c r="O48">
        <v>1</v>
      </c>
      <c r="P48">
        <v>9999</v>
      </c>
      <c r="Q48">
        <v>129093029.40000001</v>
      </c>
      <c r="R48">
        <v>2803</v>
      </c>
      <c r="S48">
        <v>2</v>
      </c>
      <c r="T48">
        <v>35</v>
      </c>
      <c r="U48">
        <v>0.9</v>
      </c>
      <c r="V48">
        <v>1</v>
      </c>
      <c r="W48">
        <v>1</v>
      </c>
      <c r="X48">
        <v>9999</v>
      </c>
      <c r="Y48">
        <v>126622128.8</v>
      </c>
      <c r="Z48">
        <v>2955</v>
      </c>
      <c r="AA48">
        <v>2</v>
      </c>
      <c r="AB48">
        <v>36</v>
      </c>
      <c r="AD48">
        <f>Tabela4[[#This Row],[kan_params]]</f>
        <v>2902</v>
      </c>
      <c r="AE48">
        <f>Tabela4[[#This Row],[kan_train_acc]]</f>
        <v>0.97078651189804077</v>
      </c>
      <c r="AF48">
        <f>Tabela4[[#This Row],[kan_val_acc]]</f>
        <v>0.99130434989929195</v>
      </c>
      <c r="AG48">
        <f>Tabela4[[#This Row],[kan_test_acc]]</f>
        <v>0.82105263471603396</v>
      </c>
      <c r="AH48">
        <f>Tabela4[[#This Row],[mlp_test_acc]]</f>
        <v>0.91578947368421049</v>
      </c>
      <c r="AI48">
        <f>Tabela4[[#This Row],[mlp_val_acc]]</f>
        <v>1</v>
      </c>
      <c r="AJ48">
        <f>Tabela4[[#This Row],[mlp_train_acc]]</f>
        <v>1</v>
      </c>
    </row>
    <row r="49" spans="1:36" x14ac:dyDescent="0.25">
      <c r="A49" t="s">
        <v>196</v>
      </c>
      <c r="B49">
        <v>10</v>
      </c>
      <c r="C49">
        <v>3</v>
      </c>
      <c r="D49">
        <v>3</v>
      </c>
      <c r="E49">
        <v>0</v>
      </c>
      <c r="F49" t="s">
        <v>200</v>
      </c>
      <c r="G49">
        <v>2952</v>
      </c>
      <c r="H49">
        <v>8959247</v>
      </c>
      <c r="I49">
        <v>13.4</v>
      </c>
      <c r="J49">
        <v>1</v>
      </c>
      <c r="K49">
        <v>1</v>
      </c>
      <c r="L49">
        <v>0.93684211969375608</v>
      </c>
      <c r="M49">
        <v>0.92105263157894735</v>
      </c>
      <c r="N49">
        <v>1</v>
      </c>
      <c r="O49">
        <v>1</v>
      </c>
      <c r="P49">
        <v>9999</v>
      </c>
      <c r="Q49">
        <v>117917437.2</v>
      </c>
      <c r="R49">
        <v>2803</v>
      </c>
      <c r="S49">
        <v>2</v>
      </c>
      <c r="T49">
        <v>35</v>
      </c>
      <c r="U49">
        <v>0.89473684210526316</v>
      </c>
      <c r="V49">
        <v>1</v>
      </c>
      <c r="W49">
        <v>1</v>
      </c>
      <c r="X49">
        <v>9999</v>
      </c>
      <c r="Y49">
        <v>119414050.8</v>
      </c>
      <c r="Z49">
        <v>2955</v>
      </c>
      <c r="AA49">
        <v>2</v>
      </c>
      <c r="AB49">
        <v>36</v>
      </c>
      <c r="AD49">
        <f>Tabela4[[#This Row],[kan_params]]</f>
        <v>2952</v>
      </c>
      <c r="AE49">
        <f>Tabela4[[#This Row],[kan_train_acc]]</f>
        <v>1</v>
      </c>
      <c r="AF49">
        <f>Tabela4[[#This Row],[kan_val_acc]]</f>
        <v>1</v>
      </c>
      <c r="AG49">
        <f>Tabela4[[#This Row],[kan_test_acc]]</f>
        <v>0.93684211969375608</v>
      </c>
      <c r="AH49">
        <f>Tabela4[[#This Row],[mlp_test_acc]]</f>
        <v>0.92105263157894735</v>
      </c>
      <c r="AI49">
        <f>Tabela4[[#This Row],[mlp_val_acc]]</f>
        <v>1</v>
      </c>
      <c r="AJ49">
        <f>Tabela4[[#This Row],[mlp_train_acc]]</f>
        <v>1</v>
      </c>
    </row>
    <row r="50" spans="1:36" x14ac:dyDescent="0.25">
      <c r="A50" t="s">
        <v>196</v>
      </c>
      <c r="B50">
        <v>12</v>
      </c>
      <c r="C50">
        <v>3</v>
      </c>
      <c r="D50">
        <v>4</v>
      </c>
      <c r="E50">
        <v>0</v>
      </c>
      <c r="F50" t="s">
        <v>198</v>
      </c>
      <c r="G50">
        <v>3005</v>
      </c>
      <c r="H50">
        <v>9857307.8000000007</v>
      </c>
      <c r="I50">
        <v>12</v>
      </c>
      <c r="J50">
        <v>1</v>
      </c>
      <c r="K50">
        <v>0.98260869979858401</v>
      </c>
      <c r="L50">
        <v>0.8315789461135864</v>
      </c>
      <c r="M50">
        <v>0.89473684210526316</v>
      </c>
      <c r="N50">
        <v>1</v>
      </c>
      <c r="O50">
        <v>1</v>
      </c>
      <c r="P50">
        <v>9999</v>
      </c>
      <c r="Q50">
        <v>136929220.19999999</v>
      </c>
      <c r="R50">
        <v>2955</v>
      </c>
      <c r="S50">
        <v>2</v>
      </c>
      <c r="T50">
        <v>36</v>
      </c>
      <c r="U50">
        <v>0.89473684210526316</v>
      </c>
      <c r="V50">
        <v>1</v>
      </c>
      <c r="W50">
        <v>1</v>
      </c>
      <c r="X50">
        <v>9999</v>
      </c>
      <c r="Y50">
        <v>135953730</v>
      </c>
      <c r="Z50">
        <v>3111</v>
      </c>
      <c r="AA50">
        <v>2</v>
      </c>
      <c r="AB50">
        <v>37</v>
      </c>
      <c r="AD50">
        <f>Tabela4[[#This Row],[kan_params]]</f>
        <v>3005</v>
      </c>
      <c r="AE50">
        <f>Tabela4[[#This Row],[kan_train_acc]]</f>
        <v>1</v>
      </c>
      <c r="AF50">
        <f>Tabela4[[#This Row],[kan_val_acc]]</f>
        <v>0.98260869979858401</v>
      </c>
      <c r="AG50">
        <f>Tabela4[[#This Row],[kan_test_acc]]</f>
        <v>0.8315789461135864</v>
      </c>
      <c r="AH50">
        <f>Tabela4[[#This Row],[mlp_test_acc]]</f>
        <v>0.89473684210526316</v>
      </c>
      <c r="AI50">
        <f>Tabela4[[#This Row],[mlp_val_acc]]</f>
        <v>1</v>
      </c>
      <c r="AJ50">
        <f>Tabela4[[#This Row],[mlp_train_acc]]</f>
        <v>1</v>
      </c>
    </row>
    <row r="51" spans="1:36" x14ac:dyDescent="0.25">
      <c r="A51" t="s">
        <v>196</v>
      </c>
      <c r="B51">
        <v>14</v>
      </c>
      <c r="C51">
        <v>3</v>
      </c>
      <c r="D51">
        <v>5</v>
      </c>
      <c r="E51">
        <v>0</v>
      </c>
      <c r="F51" t="s">
        <v>198</v>
      </c>
      <c r="G51">
        <v>3476</v>
      </c>
      <c r="H51">
        <v>10807503.4</v>
      </c>
      <c r="I51">
        <v>12.2</v>
      </c>
      <c r="J51">
        <v>1</v>
      </c>
      <c r="K51">
        <v>0.98260869979858401</v>
      </c>
      <c r="L51">
        <v>0.87894736528396611</v>
      </c>
      <c r="M51">
        <v>0.89473684210526316</v>
      </c>
      <c r="N51">
        <v>1</v>
      </c>
      <c r="O51">
        <v>1</v>
      </c>
      <c r="P51">
        <v>9999</v>
      </c>
      <c r="Q51">
        <v>130976867.40000001</v>
      </c>
      <c r="R51">
        <v>3435</v>
      </c>
      <c r="S51">
        <v>2</v>
      </c>
      <c r="T51">
        <v>39</v>
      </c>
      <c r="U51">
        <v>0.89473684210526316</v>
      </c>
      <c r="V51">
        <v>1</v>
      </c>
      <c r="W51">
        <v>1</v>
      </c>
      <c r="X51">
        <v>9999</v>
      </c>
      <c r="Y51">
        <v>130071695.8</v>
      </c>
      <c r="Z51">
        <v>3603</v>
      </c>
      <c r="AA51">
        <v>2</v>
      </c>
      <c r="AB51">
        <v>40</v>
      </c>
      <c r="AD51">
        <f>Tabela4[[#This Row],[kan_params]]</f>
        <v>3476</v>
      </c>
      <c r="AE51">
        <f>Tabela4[[#This Row],[kan_train_acc]]</f>
        <v>1</v>
      </c>
      <c r="AF51">
        <f>Tabela4[[#This Row],[kan_val_acc]]</f>
        <v>0.98260869979858401</v>
      </c>
      <c r="AG51">
        <f>Tabela4[[#This Row],[kan_test_acc]]</f>
        <v>0.87894736528396611</v>
      </c>
      <c r="AH51">
        <f>Tabela4[[#This Row],[mlp_test_acc]]</f>
        <v>0.89473684210526316</v>
      </c>
      <c r="AI51">
        <f>Tabela4[[#This Row],[mlp_val_acc]]</f>
        <v>1</v>
      </c>
      <c r="AJ51">
        <f>Tabela4[[#This Row],[mlp_train_acc]]</f>
        <v>1</v>
      </c>
    </row>
    <row r="52" spans="1:36" x14ac:dyDescent="0.25">
      <c r="A52" t="s">
        <v>196</v>
      </c>
      <c r="B52">
        <v>12</v>
      </c>
      <c r="C52">
        <v>3</v>
      </c>
      <c r="D52">
        <v>4</v>
      </c>
      <c r="E52">
        <v>0</v>
      </c>
      <c r="F52" t="s">
        <v>200</v>
      </c>
      <c r="G52">
        <v>3501</v>
      </c>
      <c r="H52">
        <v>11614231.800000001</v>
      </c>
      <c r="I52">
        <v>13.2</v>
      </c>
      <c r="J52">
        <v>1</v>
      </c>
      <c r="K52">
        <v>0.97391304969787595</v>
      </c>
      <c r="L52">
        <v>0.83157895803451543</v>
      </c>
      <c r="M52">
        <v>0.89473684210526316</v>
      </c>
      <c r="N52">
        <v>1</v>
      </c>
      <c r="O52">
        <v>1</v>
      </c>
      <c r="P52">
        <v>9999</v>
      </c>
      <c r="Q52">
        <v>139948722.80000001</v>
      </c>
      <c r="R52">
        <v>3435</v>
      </c>
      <c r="S52">
        <v>2</v>
      </c>
      <c r="T52">
        <v>39</v>
      </c>
      <c r="U52">
        <v>0.89473684210526316</v>
      </c>
      <c r="V52">
        <v>1</v>
      </c>
      <c r="W52">
        <v>1</v>
      </c>
      <c r="X52">
        <v>9999</v>
      </c>
      <c r="Y52">
        <v>138897255.19999999</v>
      </c>
      <c r="Z52">
        <v>3603</v>
      </c>
      <c r="AA52">
        <v>2</v>
      </c>
      <c r="AB52">
        <v>40</v>
      </c>
      <c r="AD52">
        <f>Tabela4[[#This Row],[kan_params]]</f>
        <v>3501</v>
      </c>
      <c r="AE52">
        <f>Tabela4[[#This Row],[kan_train_acc]]</f>
        <v>1</v>
      </c>
      <c r="AF52">
        <f>Tabela4[[#This Row],[kan_val_acc]]</f>
        <v>0.97391304969787595</v>
      </c>
      <c r="AG52">
        <f>Tabela4[[#This Row],[kan_test_acc]]</f>
        <v>0.83157895803451543</v>
      </c>
      <c r="AH52">
        <f>Tabela4[[#This Row],[mlp_test_acc]]</f>
        <v>0.89473684210526316</v>
      </c>
      <c r="AI52">
        <f>Tabela4[[#This Row],[mlp_val_acc]]</f>
        <v>1</v>
      </c>
      <c r="AJ52">
        <f>Tabela4[[#This Row],[mlp_train_acc]]</f>
        <v>1</v>
      </c>
    </row>
    <row r="53" spans="1:36" x14ac:dyDescent="0.25">
      <c r="A53" t="s">
        <v>196</v>
      </c>
      <c r="B53">
        <v>14</v>
      </c>
      <c r="C53">
        <v>3</v>
      </c>
      <c r="D53">
        <v>5</v>
      </c>
      <c r="E53">
        <v>0</v>
      </c>
      <c r="F53" t="s">
        <v>200</v>
      </c>
      <c r="G53">
        <v>4050</v>
      </c>
      <c r="H53">
        <v>11664890.4</v>
      </c>
      <c r="I53">
        <v>13.4</v>
      </c>
      <c r="J53">
        <v>0.98651685714721682</v>
      </c>
      <c r="K53">
        <v>0.97391304969787595</v>
      </c>
      <c r="L53">
        <v>0.83157895803451543</v>
      </c>
      <c r="M53">
        <v>0.89473684210526316</v>
      </c>
      <c r="N53">
        <v>1</v>
      </c>
      <c r="O53">
        <v>1</v>
      </c>
      <c r="P53">
        <v>9999</v>
      </c>
      <c r="Q53">
        <v>129810680</v>
      </c>
      <c r="R53">
        <v>3951</v>
      </c>
      <c r="S53">
        <v>2</v>
      </c>
      <c r="T53">
        <v>42</v>
      </c>
      <c r="U53">
        <v>0.89473684210526316</v>
      </c>
      <c r="V53">
        <v>1</v>
      </c>
      <c r="W53">
        <v>1</v>
      </c>
      <c r="X53">
        <v>9999</v>
      </c>
      <c r="Y53">
        <v>129103392.8</v>
      </c>
      <c r="Z53">
        <v>4131</v>
      </c>
      <c r="AA53">
        <v>2</v>
      </c>
      <c r="AB53">
        <v>43</v>
      </c>
      <c r="AD53">
        <f>Tabela4[[#This Row],[kan_params]]</f>
        <v>4050</v>
      </c>
      <c r="AE53">
        <f>Tabela4[[#This Row],[kan_train_acc]]</f>
        <v>0.98651685714721682</v>
      </c>
      <c r="AF53">
        <f>Tabela4[[#This Row],[kan_val_acc]]</f>
        <v>0.97391304969787595</v>
      </c>
      <c r="AG53">
        <f>Tabela4[[#This Row],[kan_test_acc]]</f>
        <v>0.83157895803451543</v>
      </c>
      <c r="AH53">
        <f>Tabela4[[#This Row],[mlp_test_acc]]</f>
        <v>0.89473684210526316</v>
      </c>
      <c r="AI53">
        <f>Tabela4[[#This Row],[mlp_val_acc]]</f>
        <v>1</v>
      </c>
      <c r="AJ53">
        <f>Tabela4[[#This Row],[mlp_train_acc]]</f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6BB34-6ECC-4988-A18F-15493D092390}">
  <dimension ref="A1:AJ205"/>
  <sheetViews>
    <sheetView workbookViewId="0">
      <selection activeCell="D2" sqref="D2"/>
    </sheetView>
  </sheetViews>
  <sheetFormatPr defaultRowHeight="15" x14ac:dyDescent="0.25"/>
  <cols>
    <col min="1" max="1" width="15.7109375" customWidth="1"/>
    <col min="2" max="2" width="10.5703125" customWidth="1"/>
    <col min="3" max="3" width="28" customWidth="1"/>
    <col min="4" max="4" width="13.42578125" customWidth="1"/>
    <col min="5" max="5" width="10.42578125" customWidth="1"/>
    <col min="6" max="6" width="12.140625" bestFit="1" customWidth="1"/>
    <col min="7" max="7" width="13.7109375" customWidth="1"/>
    <col min="8" max="8" width="21.5703125" customWidth="1"/>
    <col min="9" max="9" width="12.140625" customWidth="1"/>
    <col min="10" max="10" width="15.140625" customWidth="1"/>
    <col min="11" max="11" width="13.5703125" customWidth="1"/>
    <col min="12" max="12" width="14.5703125" customWidth="1"/>
    <col min="13" max="13" width="14.85546875" customWidth="1"/>
    <col min="14" max="14" width="13.85546875" customWidth="1"/>
    <col min="15" max="15" width="15.42578125" customWidth="1"/>
    <col min="16" max="16" width="12.42578125" customWidth="1"/>
    <col min="17" max="17" width="21.85546875" customWidth="1"/>
    <col min="18" max="18" width="14" customWidth="1"/>
    <col min="19" max="19" width="16" customWidth="1"/>
    <col min="20" max="20" width="18.7109375" customWidth="1"/>
    <col min="21" max="21" width="15.85546875" customWidth="1"/>
    <col min="22" max="22" width="14.85546875" customWidth="1"/>
    <col min="23" max="23" width="16.42578125" customWidth="1"/>
    <col min="24" max="24" width="13.42578125" customWidth="1"/>
    <col min="25" max="25" width="22.85546875" customWidth="1"/>
    <col min="26" max="26" width="15" customWidth="1"/>
    <col min="27" max="27" width="12.7109375" customWidth="1"/>
    <col min="28" max="28" width="15.42578125" customWidth="1"/>
  </cols>
  <sheetData>
    <row r="1" spans="1:3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3" t="s">
        <v>27</v>
      </c>
      <c r="AD1" t="s">
        <v>229</v>
      </c>
      <c r="AE1" t="s">
        <v>230</v>
      </c>
      <c r="AF1" t="s">
        <v>231</v>
      </c>
      <c r="AG1" t="s">
        <v>232</v>
      </c>
      <c r="AH1" t="s">
        <v>233</v>
      </c>
      <c r="AI1" t="s">
        <v>234</v>
      </c>
      <c r="AJ1" t="s">
        <v>235</v>
      </c>
    </row>
    <row r="2" spans="1:36" x14ac:dyDescent="0.25">
      <c r="A2" t="s">
        <v>209</v>
      </c>
      <c r="B2">
        <v>8</v>
      </c>
      <c r="C2">
        <v>3</v>
      </c>
      <c r="D2">
        <v>2</v>
      </c>
      <c r="E2">
        <v>0</v>
      </c>
      <c r="F2" t="s">
        <v>228</v>
      </c>
      <c r="G2">
        <v>1884</v>
      </c>
      <c r="H2">
        <v>45669259.700000003</v>
      </c>
      <c r="I2">
        <v>5561.8</v>
      </c>
      <c r="J2">
        <v>0.96132075786590576</v>
      </c>
      <c r="K2">
        <v>0.98148149251937866</v>
      </c>
      <c r="L2">
        <v>0.90888889431953435</v>
      </c>
      <c r="M2">
        <v>0.89777777777777779</v>
      </c>
      <c r="N2">
        <v>0.94814814814814818</v>
      </c>
      <c r="O2">
        <v>0.97169811320754718</v>
      </c>
      <c r="P2">
        <v>5829</v>
      </c>
      <c r="Q2">
        <v>65862427.799999997</v>
      </c>
      <c r="R2">
        <v>1849</v>
      </c>
      <c r="S2">
        <v>2</v>
      </c>
      <c r="T2">
        <v>26</v>
      </c>
      <c r="U2">
        <v>0.91111111111111109</v>
      </c>
      <c r="V2">
        <v>0.95555555555555549</v>
      </c>
      <c r="W2">
        <v>0.96698113207547176</v>
      </c>
      <c r="X2">
        <v>5685.3</v>
      </c>
      <c r="Y2">
        <v>61460167.799999997</v>
      </c>
      <c r="Z2">
        <v>1974</v>
      </c>
      <c r="AA2">
        <v>2</v>
      </c>
      <c r="AB2">
        <v>27</v>
      </c>
      <c r="AD2">
        <f>Tabela5[[#This Row],[kan_params]]</f>
        <v>1884</v>
      </c>
      <c r="AE2">
        <f>Tabela5[[#This Row],[kan_train_acc]]</f>
        <v>0.96132075786590576</v>
      </c>
      <c r="AF2">
        <f>Tabela5[[#This Row],[kan_val_acc]]</f>
        <v>0.98148149251937866</v>
      </c>
      <c r="AG2">
        <f>Tabela5[[#This Row],[kan_test_acc]]</f>
        <v>0.90888889431953435</v>
      </c>
      <c r="AH2">
        <f>Tabela5[[#This Row],[mlp_test_acc]]</f>
        <v>0.89777777777777779</v>
      </c>
      <c r="AI2">
        <f>Tabela5[[#This Row],[mlp_val_acc]]</f>
        <v>0.94814814814814818</v>
      </c>
      <c r="AJ2">
        <f>Tabela5[[#This Row],[mlp_train_acc]]</f>
        <v>0.97169811320754718</v>
      </c>
    </row>
    <row r="3" spans="1:36" hidden="1" x14ac:dyDescent="0.25">
      <c r="A3" t="s">
        <v>209</v>
      </c>
      <c r="B3">
        <v>10</v>
      </c>
      <c r="C3">
        <v>5</v>
      </c>
      <c r="D3">
        <v>2</v>
      </c>
      <c r="E3">
        <v>0</v>
      </c>
      <c r="F3" t="s">
        <v>228</v>
      </c>
      <c r="G3">
        <v>2172</v>
      </c>
      <c r="H3">
        <v>34362553.200000003</v>
      </c>
      <c r="I3">
        <v>6424.8</v>
      </c>
      <c r="J3">
        <v>0.9849056601524353</v>
      </c>
      <c r="K3">
        <v>0.98518519401550297</v>
      </c>
      <c r="L3">
        <v>0.92444444894790645</v>
      </c>
      <c r="M3">
        <v>0.97333333333333327</v>
      </c>
      <c r="N3">
        <v>0.94814814814814807</v>
      </c>
      <c r="O3">
        <v>0.99056603773584906</v>
      </c>
      <c r="P3">
        <v>4307.6000000000004</v>
      </c>
      <c r="Q3">
        <v>46146905.799999997</v>
      </c>
      <c r="R3">
        <v>2103</v>
      </c>
      <c r="S3">
        <v>2</v>
      </c>
      <c r="T3">
        <v>28</v>
      </c>
      <c r="U3">
        <v>0.96444444444444444</v>
      </c>
      <c r="V3">
        <v>0.95555555555555549</v>
      </c>
      <c r="W3">
        <v>0.96981132075471699</v>
      </c>
      <c r="X3">
        <v>3391.4</v>
      </c>
      <c r="Y3">
        <v>37296950</v>
      </c>
      <c r="Z3">
        <v>2236</v>
      </c>
      <c r="AA3">
        <v>2</v>
      </c>
      <c r="AB3">
        <v>29</v>
      </c>
      <c r="AD3">
        <f>Tabela5[[#This Row],[kan_params]]</f>
        <v>2172</v>
      </c>
      <c r="AE3">
        <f>Tabela5[[#This Row],[kan_train_acc]]</f>
        <v>0.9849056601524353</v>
      </c>
      <c r="AF3">
        <f>Tabela5[[#This Row],[kan_val_acc]]</f>
        <v>0.98518519401550297</v>
      </c>
      <c r="AG3">
        <f>Tabela5[[#This Row],[kan_test_acc]]</f>
        <v>0.92444444894790645</v>
      </c>
      <c r="AH3">
        <f>Tabela5[[#This Row],[mlp_test_acc]]</f>
        <v>0.97333333333333327</v>
      </c>
      <c r="AI3">
        <f>Tabela5[[#This Row],[mlp_val_acc]]</f>
        <v>0.94814814814814807</v>
      </c>
      <c r="AJ3">
        <f>Tabela5[[#This Row],[mlp_train_acc]]</f>
        <v>0.99056603773584906</v>
      </c>
    </row>
    <row r="4" spans="1:36" x14ac:dyDescent="0.25">
      <c r="A4" t="s">
        <v>209</v>
      </c>
      <c r="B4">
        <v>10</v>
      </c>
      <c r="C4">
        <v>3</v>
      </c>
      <c r="D4">
        <v>3</v>
      </c>
      <c r="E4">
        <v>0</v>
      </c>
      <c r="F4" t="s">
        <v>228</v>
      </c>
      <c r="G4">
        <v>2316</v>
      </c>
      <c r="H4">
        <v>176671479</v>
      </c>
      <c r="I4">
        <v>10000</v>
      </c>
      <c r="J4">
        <v>0.96981132030487061</v>
      </c>
      <c r="K4">
        <v>0.99259259700775149</v>
      </c>
      <c r="L4">
        <v>0.90222222805023189</v>
      </c>
      <c r="M4">
        <v>0.93333333333333335</v>
      </c>
      <c r="N4">
        <v>1</v>
      </c>
      <c r="O4">
        <v>1</v>
      </c>
      <c r="P4">
        <v>3916.6</v>
      </c>
      <c r="Q4">
        <v>45869311</v>
      </c>
      <c r="R4">
        <v>2236</v>
      </c>
      <c r="S4">
        <v>2</v>
      </c>
      <c r="T4">
        <v>29</v>
      </c>
      <c r="U4">
        <v>0.93333333333333335</v>
      </c>
      <c r="V4">
        <v>0.99259259259259258</v>
      </c>
      <c r="W4">
        <v>1</v>
      </c>
      <c r="X4">
        <v>5148.2</v>
      </c>
      <c r="Y4">
        <v>61446340.399999999</v>
      </c>
      <c r="Z4">
        <v>2373</v>
      </c>
      <c r="AA4">
        <v>2</v>
      </c>
      <c r="AB4">
        <v>30</v>
      </c>
      <c r="AD4">
        <f>Tabela5[[#This Row],[kan_params]]</f>
        <v>2316</v>
      </c>
      <c r="AE4">
        <f>Tabela5[[#This Row],[kan_train_acc]]</f>
        <v>0.96981132030487061</v>
      </c>
      <c r="AF4">
        <f>Tabela5[[#This Row],[kan_val_acc]]</f>
        <v>0.99259259700775149</v>
      </c>
      <c r="AG4">
        <f>Tabela5[[#This Row],[kan_test_acc]]</f>
        <v>0.90222222805023189</v>
      </c>
      <c r="AH4">
        <f>Tabela5[[#This Row],[mlp_test_acc]]</f>
        <v>0.93333333333333335</v>
      </c>
      <c r="AI4">
        <f>Tabela5[[#This Row],[mlp_val_acc]]</f>
        <v>1</v>
      </c>
      <c r="AJ4">
        <f>Tabela5[[#This Row],[mlp_train_acc]]</f>
        <v>1</v>
      </c>
    </row>
    <row r="5" spans="1:36" hidden="1" x14ac:dyDescent="0.25">
      <c r="A5" t="s">
        <v>209</v>
      </c>
      <c r="B5">
        <v>12</v>
      </c>
      <c r="C5">
        <v>5</v>
      </c>
      <c r="D5">
        <v>3</v>
      </c>
      <c r="E5">
        <v>0</v>
      </c>
      <c r="F5" t="s">
        <v>228</v>
      </c>
      <c r="G5">
        <v>2604</v>
      </c>
      <c r="H5">
        <v>253607680</v>
      </c>
      <c r="I5">
        <v>2851</v>
      </c>
      <c r="J5">
        <v>1</v>
      </c>
      <c r="K5">
        <v>0.96296298503875732</v>
      </c>
      <c r="L5">
        <v>0.94666666984558101</v>
      </c>
      <c r="M5">
        <v>0.97333333333333327</v>
      </c>
      <c r="N5">
        <v>0.94074074074074077</v>
      </c>
      <c r="O5">
        <v>0.99056603773584906</v>
      </c>
      <c r="P5">
        <v>4074.8</v>
      </c>
      <c r="Q5">
        <v>47716234</v>
      </c>
      <c r="R5">
        <v>2514</v>
      </c>
      <c r="S5">
        <v>2</v>
      </c>
      <c r="T5">
        <v>31</v>
      </c>
      <c r="U5">
        <v>0.97333333333333327</v>
      </c>
      <c r="V5">
        <v>0.93333333333333335</v>
      </c>
      <c r="W5">
        <v>0.98867924528301887</v>
      </c>
      <c r="X5">
        <v>4062.4</v>
      </c>
      <c r="Y5">
        <v>48439518.600000001</v>
      </c>
      <c r="Z5">
        <v>2659</v>
      </c>
      <c r="AA5">
        <v>2</v>
      </c>
      <c r="AB5">
        <v>32</v>
      </c>
      <c r="AD5">
        <f>Tabela5[[#This Row],[kan_params]]</f>
        <v>2604</v>
      </c>
      <c r="AE5">
        <f>Tabela5[[#This Row],[kan_train_acc]]</f>
        <v>1</v>
      </c>
      <c r="AF5">
        <f>Tabela5[[#This Row],[kan_val_acc]]</f>
        <v>0.96296298503875732</v>
      </c>
      <c r="AG5">
        <f>Tabela5[[#This Row],[kan_test_acc]]</f>
        <v>0.94666666984558101</v>
      </c>
      <c r="AH5">
        <f>Tabela5[[#This Row],[mlp_test_acc]]</f>
        <v>0.97333333333333327</v>
      </c>
      <c r="AI5">
        <f>Tabela5[[#This Row],[mlp_val_acc]]</f>
        <v>0.94074074074074077</v>
      </c>
      <c r="AJ5">
        <f>Tabela5[[#This Row],[mlp_train_acc]]</f>
        <v>0.99056603773584906</v>
      </c>
    </row>
    <row r="6" spans="1:36" x14ac:dyDescent="0.25">
      <c r="A6" t="s">
        <v>209</v>
      </c>
      <c r="B6">
        <v>12</v>
      </c>
      <c r="C6">
        <v>3</v>
      </c>
      <c r="D6">
        <v>4</v>
      </c>
      <c r="E6">
        <v>0</v>
      </c>
      <c r="F6" t="s">
        <v>228</v>
      </c>
      <c r="G6">
        <v>2748</v>
      </c>
      <c r="H6">
        <v>151237565.19999999</v>
      </c>
      <c r="I6">
        <v>3519.2</v>
      </c>
      <c r="J6">
        <v>0.88490566015243532</v>
      </c>
      <c r="K6">
        <v>0.93333333730697632</v>
      </c>
      <c r="L6">
        <v>0.84000000953674314</v>
      </c>
      <c r="M6">
        <v>0.93333333333333335</v>
      </c>
      <c r="N6">
        <v>0.97777777777777775</v>
      </c>
      <c r="O6">
        <v>1</v>
      </c>
      <c r="P6">
        <v>7386.2</v>
      </c>
      <c r="Q6">
        <v>85438645.400000006</v>
      </c>
      <c r="R6">
        <v>2659</v>
      </c>
      <c r="S6">
        <v>2</v>
      </c>
      <c r="T6">
        <v>32</v>
      </c>
      <c r="U6">
        <v>0.93333333333333335</v>
      </c>
      <c r="V6">
        <v>0.99259259259259258</v>
      </c>
      <c r="W6">
        <v>1</v>
      </c>
      <c r="X6">
        <v>4770.3999999999996</v>
      </c>
      <c r="Y6">
        <v>55770682.799999997</v>
      </c>
      <c r="Z6">
        <v>2808</v>
      </c>
      <c r="AA6">
        <v>2</v>
      </c>
      <c r="AB6">
        <v>33</v>
      </c>
      <c r="AD6">
        <f>Tabela5[[#This Row],[kan_params]]</f>
        <v>2748</v>
      </c>
      <c r="AE6">
        <f>Tabela5[[#This Row],[kan_train_acc]]</f>
        <v>0.88490566015243532</v>
      </c>
      <c r="AF6">
        <f>Tabela5[[#This Row],[kan_val_acc]]</f>
        <v>0.93333333730697632</v>
      </c>
      <c r="AG6">
        <f>Tabela5[[#This Row],[kan_test_acc]]</f>
        <v>0.84000000953674314</v>
      </c>
      <c r="AH6">
        <f>Tabela5[[#This Row],[mlp_test_acc]]</f>
        <v>0.93333333333333335</v>
      </c>
      <c r="AI6">
        <f>Tabela5[[#This Row],[mlp_val_acc]]</f>
        <v>0.97777777777777775</v>
      </c>
      <c r="AJ6">
        <f>Tabela5[[#This Row],[mlp_train_acc]]</f>
        <v>1</v>
      </c>
    </row>
    <row r="7" spans="1:36" hidden="1" x14ac:dyDescent="0.25">
      <c r="A7" t="s">
        <v>209</v>
      </c>
      <c r="B7">
        <v>14</v>
      </c>
      <c r="C7">
        <v>9</v>
      </c>
      <c r="D7">
        <v>2</v>
      </c>
      <c r="E7">
        <v>0</v>
      </c>
      <c r="F7" t="s">
        <v>228</v>
      </c>
      <c r="G7">
        <v>2748</v>
      </c>
      <c r="H7">
        <v>2729195</v>
      </c>
      <c r="I7">
        <v>10000</v>
      </c>
      <c r="J7">
        <v>0.91509433984756472</v>
      </c>
      <c r="K7">
        <v>1</v>
      </c>
      <c r="L7">
        <v>0.8888888955116272</v>
      </c>
      <c r="M7">
        <v>0.96888888888888891</v>
      </c>
      <c r="N7">
        <v>1</v>
      </c>
      <c r="O7">
        <v>0.91698113207547172</v>
      </c>
      <c r="P7">
        <v>1256.2</v>
      </c>
      <c r="Q7">
        <v>14301195.4</v>
      </c>
      <c r="R7">
        <v>2659</v>
      </c>
      <c r="S7">
        <v>2</v>
      </c>
      <c r="T7">
        <v>32</v>
      </c>
      <c r="U7">
        <v>0.96888888888888891</v>
      </c>
      <c r="V7">
        <v>1</v>
      </c>
      <c r="W7">
        <v>0.9037735849056604</v>
      </c>
      <c r="X7">
        <v>1159.4000000000001</v>
      </c>
      <c r="Y7">
        <v>13242821.4</v>
      </c>
      <c r="Z7">
        <v>2808</v>
      </c>
      <c r="AA7">
        <v>2</v>
      </c>
      <c r="AB7">
        <v>33</v>
      </c>
      <c r="AD7">
        <f>Tabela5[[#This Row],[kan_params]]</f>
        <v>2748</v>
      </c>
      <c r="AE7">
        <f>Tabela5[[#This Row],[kan_train_acc]]</f>
        <v>0.91509433984756472</v>
      </c>
      <c r="AF7">
        <f>Tabela5[[#This Row],[kan_val_acc]]</f>
        <v>1</v>
      </c>
      <c r="AG7">
        <f>Tabela5[[#This Row],[kan_test_acc]]</f>
        <v>0.8888888955116272</v>
      </c>
      <c r="AH7">
        <f>Tabela5[[#This Row],[mlp_test_acc]]</f>
        <v>0.96888888888888891</v>
      </c>
      <c r="AI7">
        <f>Tabela5[[#This Row],[mlp_val_acc]]</f>
        <v>1</v>
      </c>
      <c r="AJ7">
        <f>Tabela5[[#This Row],[mlp_train_acc]]</f>
        <v>0.91698113207547172</v>
      </c>
    </row>
    <row r="8" spans="1:36" x14ac:dyDescent="0.25">
      <c r="A8" t="s">
        <v>209</v>
      </c>
      <c r="B8">
        <v>8</v>
      </c>
      <c r="C8">
        <v>3</v>
      </c>
      <c r="D8">
        <v>2</v>
      </c>
      <c r="E8">
        <v>0</v>
      </c>
      <c r="F8" t="s">
        <v>213</v>
      </c>
      <c r="G8">
        <v>2929</v>
      </c>
      <c r="H8">
        <v>43228105.299999997</v>
      </c>
      <c r="I8">
        <v>6459.2</v>
      </c>
      <c r="J8">
        <v>0.95094339251518245</v>
      </c>
      <c r="K8">
        <v>0.98518519401550297</v>
      </c>
      <c r="L8">
        <v>0.87777778506278992</v>
      </c>
      <c r="M8">
        <v>0.9</v>
      </c>
      <c r="N8">
        <v>0.95185185185185184</v>
      </c>
      <c r="O8">
        <v>0.97169811320754718</v>
      </c>
      <c r="P8">
        <v>5733.5</v>
      </c>
      <c r="Q8">
        <v>67817168.900000006</v>
      </c>
      <c r="R8">
        <v>2808</v>
      </c>
      <c r="S8">
        <v>2</v>
      </c>
      <c r="T8">
        <v>33</v>
      </c>
      <c r="U8">
        <v>0.90888888888888886</v>
      </c>
      <c r="V8">
        <v>0.95555555555555549</v>
      </c>
      <c r="W8">
        <v>0.97358490566037736</v>
      </c>
      <c r="X8">
        <v>5706.7</v>
      </c>
      <c r="Y8">
        <v>67478273.599999994</v>
      </c>
      <c r="Z8">
        <v>2961</v>
      </c>
      <c r="AA8">
        <v>2</v>
      </c>
      <c r="AB8">
        <v>34</v>
      </c>
      <c r="AD8">
        <f>Tabela5[[#This Row],[kan_params]]</f>
        <v>2929</v>
      </c>
      <c r="AE8">
        <f>Tabela5[[#This Row],[kan_train_acc]]</f>
        <v>0.95094339251518245</v>
      </c>
      <c r="AF8">
        <f>Tabela5[[#This Row],[kan_val_acc]]</f>
        <v>0.98518519401550297</v>
      </c>
      <c r="AG8">
        <f>Tabela5[[#This Row],[kan_test_acc]]</f>
        <v>0.87777778506278992</v>
      </c>
      <c r="AH8">
        <f>Tabela5[[#This Row],[mlp_test_acc]]</f>
        <v>0.9</v>
      </c>
      <c r="AI8">
        <f>Tabela5[[#This Row],[mlp_val_acc]]</f>
        <v>0.95185185185185184</v>
      </c>
      <c r="AJ8">
        <f>Tabela5[[#This Row],[mlp_train_acc]]</f>
        <v>0.97169811320754718</v>
      </c>
    </row>
    <row r="9" spans="1:36" x14ac:dyDescent="0.25">
      <c r="A9" t="s">
        <v>209</v>
      </c>
      <c r="B9">
        <v>14</v>
      </c>
      <c r="C9">
        <v>3</v>
      </c>
      <c r="D9">
        <v>5</v>
      </c>
      <c r="E9">
        <v>0</v>
      </c>
      <c r="F9" t="s">
        <v>228</v>
      </c>
      <c r="G9">
        <v>3180</v>
      </c>
      <c r="H9">
        <v>134095514.8</v>
      </c>
      <c r="I9">
        <v>1287.4000000000001</v>
      </c>
      <c r="J9">
        <v>0.63018868565559383</v>
      </c>
      <c r="K9">
        <v>0.84444444179534917</v>
      </c>
      <c r="L9">
        <v>0.55555557012557988</v>
      </c>
      <c r="M9">
        <v>0.95111111111111113</v>
      </c>
      <c r="N9">
        <v>0.96296296296296291</v>
      </c>
      <c r="O9">
        <v>1</v>
      </c>
      <c r="P9">
        <v>3560.2</v>
      </c>
      <c r="Q9">
        <v>40238050.200000003</v>
      </c>
      <c r="R9">
        <v>3118</v>
      </c>
      <c r="S9">
        <v>2</v>
      </c>
      <c r="T9">
        <v>35</v>
      </c>
      <c r="U9">
        <v>0.94666666666666666</v>
      </c>
      <c r="V9">
        <v>0.94074074074074077</v>
      </c>
      <c r="W9">
        <v>1</v>
      </c>
      <c r="X9">
        <v>4214.8</v>
      </c>
      <c r="Y9">
        <v>47673790.600000001</v>
      </c>
      <c r="Z9">
        <v>3279</v>
      </c>
      <c r="AA9">
        <v>2</v>
      </c>
      <c r="AB9">
        <v>36</v>
      </c>
      <c r="AD9">
        <f>Tabela5[[#This Row],[kan_params]]</f>
        <v>3180</v>
      </c>
      <c r="AE9">
        <f>Tabela5[[#This Row],[kan_train_acc]]</f>
        <v>0.63018868565559383</v>
      </c>
      <c r="AF9">
        <f>Tabela5[[#This Row],[kan_val_acc]]</f>
        <v>0.84444444179534917</v>
      </c>
      <c r="AG9">
        <f>Tabela5[[#This Row],[kan_test_acc]]</f>
        <v>0.55555557012557988</v>
      </c>
      <c r="AH9">
        <f>Tabela5[[#This Row],[mlp_test_acc]]</f>
        <v>0.95111111111111113</v>
      </c>
      <c r="AI9">
        <f>Tabela5[[#This Row],[mlp_val_acc]]</f>
        <v>0.96296296296296291</v>
      </c>
      <c r="AJ9">
        <f>Tabela5[[#This Row],[mlp_train_acc]]</f>
        <v>1</v>
      </c>
    </row>
    <row r="10" spans="1:36" hidden="1" x14ac:dyDescent="0.25">
      <c r="A10" t="s">
        <v>209</v>
      </c>
      <c r="B10">
        <v>16</v>
      </c>
      <c r="C10">
        <v>9</v>
      </c>
      <c r="D10">
        <v>3</v>
      </c>
      <c r="E10">
        <v>0</v>
      </c>
      <c r="F10" t="s">
        <v>228</v>
      </c>
      <c r="G10">
        <v>3180</v>
      </c>
      <c r="H10">
        <v>2031598</v>
      </c>
      <c r="I10">
        <v>10000</v>
      </c>
      <c r="J10">
        <v>0.96226418018341064</v>
      </c>
      <c r="K10">
        <v>1</v>
      </c>
      <c r="L10">
        <v>0.91111111640930176</v>
      </c>
      <c r="M10">
        <v>0.97777777777777775</v>
      </c>
      <c r="N10">
        <v>1</v>
      </c>
      <c r="O10">
        <v>0.90566037735849059</v>
      </c>
      <c r="P10">
        <v>1083</v>
      </c>
      <c r="Q10">
        <v>12196043.800000001</v>
      </c>
      <c r="R10">
        <v>3118</v>
      </c>
      <c r="S10">
        <v>2</v>
      </c>
      <c r="T10">
        <v>35</v>
      </c>
      <c r="U10">
        <v>0.9555555555555556</v>
      </c>
      <c r="V10">
        <v>1</v>
      </c>
      <c r="W10">
        <v>0.91509433962264153</v>
      </c>
      <c r="X10">
        <v>1134</v>
      </c>
      <c r="Y10">
        <v>12375903.4</v>
      </c>
      <c r="Z10">
        <v>3279</v>
      </c>
      <c r="AA10">
        <v>2</v>
      </c>
      <c r="AB10">
        <v>36</v>
      </c>
      <c r="AD10">
        <f>Tabela5[[#This Row],[kan_params]]</f>
        <v>3180</v>
      </c>
      <c r="AE10">
        <f>Tabela5[[#This Row],[kan_train_acc]]</f>
        <v>0.96226418018341064</v>
      </c>
      <c r="AF10">
        <f>Tabela5[[#This Row],[kan_val_acc]]</f>
        <v>1</v>
      </c>
      <c r="AG10">
        <f>Tabela5[[#This Row],[kan_test_acc]]</f>
        <v>0.91111111640930176</v>
      </c>
      <c r="AH10">
        <f>Tabela5[[#This Row],[mlp_test_acc]]</f>
        <v>0.97777777777777775</v>
      </c>
      <c r="AI10">
        <f>Tabela5[[#This Row],[mlp_val_acc]]</f>
        <v>1</v>
      </c>
      <c r="AJ10">
        <f>Tabela5[[#This Row],[mlp_train_acc]]</f>
        <v>0.90566037735849059</v>
      </c>
    </row>
    <row r="11" spans="1:36" hidden="1" x14ac:dyDescent="0.25">
      <c r="A11" t="s">
        <v>209</v>
      </c>
      <c r="B11">
        <v>10</v>
      </c>
      <c r="C11">
        <v>5</v>
      </c>
      <c r="D11">
        <v>2</v>
      </c>
      <c r="E11">
        <v>0</v>
      </c>
      <c r="F11" t="s">
        <v>213</v>
      </c>
      <c r="G11">
        <v>3377</v>
      </c>
      <c r="H11">
        <v>72509240.799999997</v>
      </c>
      <c r="I11">
        <v>2847.6</v>
      </c>
      <c r="J11">
        <v>0.9943396210670471</v>
      </c>
      <c r="K11">
        <v>0.97037038803100584</v>
      </c>
      <c r="L11">
        <v>0.95111111402511606</v>
      </c>
      <c r="M11">
        <v>0.96888888888888891</v>
      </c>
      <c r="N11">
        <v>0.94074074074074077</v>
      </c>
      <c r="O11">
        <v>0.97924528301886793</v>
      </c>
      <c r="P11">
        <v>3583.8</v>
      </c>
      <c r="Q11">
        <v>39012382.399999999</v>
      </c>
      <c r="R11">
        <v>3279</v>
      </c>
      <c r="S11">
        <v>2</v>
      </c>
      <c r="T11">
        <v>36</v>
      </c>
      <c r="U11">
        <v>0.96888888888888891</v>
      </c>
      <c r="V11">
        <v>0.94074074074074077</v>
      </c>
      <c r="W11">
        <v>0.98490566037735849</v>
      </c>
      <c r="X11">
        <v>3648.4</v>
      </c>
      <c r="Y11">
        <v>39896766.600000001</v>
      </c>
      <c r="Z11">
        <v>3444</v>
      </c>
      <c r="AA11">
        <v>2</v>
      </c>
      <c r="AB11">
        <v>37</v>
      </c>
      <c r="AD11">
        <f>Tabela5[[#This Row],[kan_params]]</f>
        <v>3377</v>
      </c>
      <c r="AE11">
        <f>Tabela5[[#This Row],[kan_train_acc]]</f>
        <v>0.9943396210670471</v>
      </c>
      <c r="AF11">
        <f>Tabela5[[#This Row],[kan_val_acc]]</f>
        <v>0.97037038803100584</v>
      </c>
      <c r="AG11">
        <f>Tabela5[[#This Row],[kan_test_acc]]</f>
        <v>0.95111111402511606</v>
      </c>
      <c r="AH11">
        <f>Tabela5[[#This Row],[mlp_test_acc]]</f>
        <v>0.96888888888888891</v>
      </c>
      <c r="AI11">
        <f>Tabela5[[#This Row],[mlp_val_acc]]</f>
        <v>0.94074074074074077</v>
      </c>
      <c r="AJ11">
        <f>Tabela5[[#This Row],[mlp_train_acc]]</f>
        <v>0.97924528301886793</v>
      </c>
    </row>
    <row r="12" spans="1:36" hidden="1" x14ac:dyDescent="0.25">
      <c r="A12" t="s">
        <v>209</v>
      </c>
      <c r="B12">
        <v>16</v>
      </c>
      <c r="C12">
        <v>5</v>
      </c>
      <c r="D12">
        <v>5</v>
      </c>
      <c r="E12">
        <v>0</v>
      </c>
      <c r="F12" t="s">
        <v>228</v>
      </c>
      <c r="G12">
        <v>3468</v>
      </c>
      <c r="H12">
        <v>123224778.8</v>
      </c>
      <c r="I12">
        <v>1422.4</v>
      </c>
      <c r="J12">
        <v>0.75849056243896484</v>
      </c>
      <c r="K12">
        <v>0.84444445371627808</v>
      </c>
      <c r="L12">
        <v>0.66666668653488159</v>
      </c>
      <c r="M12">
        <v>0.93333333333333335</v>
      </c>
      <c r="N12">
        <v>0.95555555555555549</v>
      </c>
      <c r="O12">
        <v>0.97735849056603774</v>
      </c>
      <c r="P12">
        <v>2651.2</v>
      </c>
      <c r="Q12">
        <v>23114632.399999999</v>
      </c>
      <c r="R12">
        <v>3444</v>
      </c>
      <c r="S12">
        <v>2</v>
      </c>
      <c r="T12">
        <v>37</v>
      </c>
      <c r="U12">
        <v>0.92888888888888888</v>
      </c>
      <c r="V12">
        <v>0.95555555555555549</v>
      </c>
      <c r="W12">
        <v>0.98490566037735849</v>
      </c>
      <c r="X12">
        <v>3484</v>
      </c>
      <c r="Y12">
        <v>30922891</v>
      </c>
      <c r="Z12">
        <v>3613</v>
      </c>
      <c r="AA12">
        <v>2</v>
      </c>
      <c r="AB12">
        <v>38</v>
      </c>
      <c r="AD12">
        <f>Tabela5[[#This Row],[kan_params]]</f>
        <v>3468</v>
      </c>
      <c r="AE12">
        <f>Tabela5[[#This Row],[kan_train_acc]]</f>
        <v>0.75849056243896484</v>
      </c>
      <c r="AF12">
        <f>Tabela5[[#This Row],[kan_val_acc]]</f>
        <v>0.84444445371627808</v>
      </c>
      <c r="AG12">
        <f>Tabela5[[#This Row],[kan_test_acc]]</f>
        <v>0.66666668653488159</v>
      </c>
      <c r="AH12">
        <f>Tabela5[[#This Row],[mlp_test_acc]]</f>
        <v>0.93333333333333335</v>
      </c>
      <c r="AI12">
        <f>Tabela5[[#This Row],[mlp_val_acc]]</f>
        <v>0.95555555555555549</v>
      </c>
      <c r="AJ12">
        <f>Tabela5[[#This Row],[mlp_train_acc]]</f>
        <v>0.97735849056603774</v>
      </c>
    </row>
    <row r="13" spans="1:36" x14ac:dyDescent="0.25">
      <c r="A13" t="s">
        <v>209</v>
      </c>
      <c r="B13">
        <v>10</v>
      </c>
      <c r="C13">
        <v>3</v>
      </c>
      <c r="D13">
        <v>3</v>
      </c>
      <c r="E13">
        <v>0</v>
      </c>
      <c r="F13" t="s">
        <v>213</v>
      </c>
      <c r="G13">
        <v>3601</v>
      </c>
      <c r="H13">
        <v>12116304</v>
      </c>
      <c r="I13">
        <v>10000</v>
      </c>
      <c r="J13">
        <v>0.95660378932952883</v>
      </c>
      <c r="K13">
        <v>1</v>
      </c>
      <c r="L13">
        <v>0.90666667222976682</v>
      </c>
      <c r="M13">
        <v>0.92888888888888888</v>
      </c>
      <c r="N13">
        <v>1</v>
      </c>
      <c r="O13">
        <v>1</v>
      </c>
      <c r="P13">
        <v>3451.8</v>
      </c>
      <c r="Q13">
        <v>41593867</v>
      </c>
      <c r="R13">
        <v>3444</v>
      </c>
      <c r="S13">
        <v>2</v>
      </c>
      <c r="T13">
        <v>37</v>
      </c>
      <c r="U13">
        <v>0.92888888888888888</v>
      </c>
      <c r="V13">
        <v>1</v>
      </c>
      <c r="W13">
        <v>1</v>
      </c>
      <c r="X13">
        <v>3422</v>
      </c>
      <c r="Y13">
        <v>40840693.799999997</v>
      </c>
      <c r="Z13">
        <v>3613</v>
      </c>
      <c r="AA13">
        <v>2</v>
      </c>
      <c r="AB13">
        <v>38</v>
      </c>
      <c r="AD13">
        <f>Tabela5[[#This Row],[kan_params]]</f>
        <v>3601</v>
      </c>
      <c r="AE13">
        <f>Tabela5[[#This Row],[kan_train_acc]]</f>
        <v>0.95660378932952883</v>
      </c>
      <c r="AF13">
        <f>Tabela5[[#This Row],[kan_val_acc]]</f>
        <v>1</v>
      </c>
      <c r="AG13">
        <f>Tabela5[[#This Row],[kan_test_acc]]</f>
        <v>0.90666667222976682</v>
      </c>
      <c r="AH13">
        <f>Tabela5[[#This Row],[mlp_test_acc]]</f>
        <v>0.92888888888888888</v>
      </c>
      <c r="AI13">
        <f>Tabela5[[#This Row],[mlp_val_acc]]</f>
        <v>1</v>
      </c>
      <c r="AJ13">
        <f>Tabela5[[#This Row],[mlp_train_acc]]</f>
        <v>1</v>
      </c>
    </row>
    <row r="14" spans="1:36" hidden="1" x14ac:dyDescent="0.25">
      <c r="A14" t="s">
        <v>209</v>
      </c>
      <c r="B14">
        <v>18</v>
      </c>
      <c r="C14">
        <v>9</v>
      </c>
      <c r="D14">
        <v>4</v>
      </c>
      <c r="E14">
        <v>0</v>
      </c>
      <c r="F14" t="s">
        <v>228</v>
      </c>
      <c r="G14">
        <v>3612</v>
      </c>
      <c r="H14">
        <v>32408859</v>
      </c>
      <c r="I14">
        <v>8249.2000000000007</v>
      </c>
      <c r="J14">
        <v>0.9</v>
      </c>
      <c r="K14">
        <v>0.99259259700775149</v>
      </c>
      <c r="L14">
        <v>0.77777779102325439</v>
      </c>
      <c r="M14">
        <v>0.98222222222222222</v>
      </c>
      <c r="N14">
        <v>1</v>
      </c>
      <c r="O14">
        <v>0.91509433962264153</v>
      </c>
      <c r="P14">
        <v>1165.5999999999999</v>
      </c>
      <c r="Q14">
        <v>13029345</v>
      </c>
      <c r="R14">
        <v>3444</v>
      </c>
      <c r="S14">
        <v>2</v>
      </c>
      <c r="T14">
        <v>37</v>
      </c>
      <c r="U14">
        <v>0.97333333333333338</v>
      </c>
      <c r="V14">
        <v>1</v>
      </c>
      <c r="W14">
        <v>0.92264150943396228</v>
      </c>
      <c r="X14">
        <v>1165.2</v>
      </c>
      <c r="Y14">
        <v>13423437.800000001</v>
      </c>
      <c r="Z14">
        <v>3613</v>
      </c>
      <c r="AA14">
        <v>2</v>
      </c>
      <c r="AB14">
        <v>38</v>
      </c>
      <c r="AD14">
        <f>Tabela5[[#This Row],[kan_params]]</f>
        <v>3612</v>
      </c>
      <c r="AE14">
        <f>Tabela5[[#This Row],[kan_train_acc]]</f>
        <v>0.9</v>
      </c>
      <c r="AF14">
        <f>Tabela5[[#This Row],[kan_val_acc]]</f>
        <v>0.99259259700775149</v>
      </c>
      <c r="AG14">
        <f>Tabela5[[#This Row],[kan_test_acc]]</f>
        <v>0.77777779102325439</v>
      </c>
      <c r="AH14">
        <f>Tabela5[[#This Row],[mlp_test_acc]]</f>
        <v>0.98222222222222222</v>
      </c>
      <c r="AI14">
        <f>Tabela5[[#This Row],[mlp_val_acc]]</f>
        <v>1</v>
      </c>
      <c r="AJ14">
        <f>Tabela5[[#This Row],[mlp_train_acc]]</f>
        <v>0.91509433962264153</v>
      </c>
    </row>
    <row r="15" spans="1:36" x14ac:dyDescent="0.25">
      <c r="A15" t="s">
        <v>209</v>
      </c>
      <c r="B15">
        <v>8</v>
      </c>
      <c r="C15">
        <v>3</v>
      </c>
      <c r="D15">
        <v>2</v>
      </c>
      <c r="E15">
        <v>0</v>
      </c>
      <c r="F15" t="s">
        <v>223</v>
      </c>
      <c r="G15">
        <v>3974</v>
      </c>
      <c r="H15">
        <v>148503165.69999999</v>
      </c>
      <c r="I15">
        <v>6440.6</v>
      </c>
      <c r="J15">
        <v>0.97358490824699406</v>
      </c>
      <c r="K15">
        <v>0.97407407760620113</v>
      </c>
      <c r="L15">
        <v>0.89777778387069707</v>
      </c>
      <c r="M15">
        <v>0.90888888888888886</v>
      </c>
      <c r="N15">
        <v>0.95185185185185184</v>
      </c>
      <c r="O15">
        <v>0.97169811320754718</v>
      </c>
      <c r="P15">
        <v>5652.6</v>
      </c>
      <c r="Q15">
        <v>71002059.700000003</v>
      </c>
      <c r="R15">
        <v>3963</v>
      </c>
      <c r="S15">
        <v>2</v>
      </c>
      <c r="T15">
        <v>40</v>
      </c>
      <c r="U15">
        <v>0.9</v>
      </c>
      <c r="V15">
        <v>0.95185185185185184</v>
      </c>
      <c r="W15">
        <v>0.97169811320754718</v>
      </c>
      <c r="X15">
        <v>5559.7</v>
      </c>
      <c r="Y15">
        <v>70731112.5</v>
      </c>
      <c r="Z15">
        <v>4144</v>
      </c>
      <c r="AA15">
        <v>2</v>
      </c>
      <c r="AB15">
        <v>41</v>
      </c>
      <c r="AD15">
        <f>Tabela5[[#This Row],[kan_params]]</f>
        <v>3974</v>
      </c>
      <c r="AE15">
        <f>Tabela5[[#This Row],[kan_train_acc]]</f>
        <v>0.97358490824699406</v>
      </c>
      <c r="AF15">
        <f>Tabela5[[#This Row],[kan_val_acc]]</f>
        <v>0.97407407760620113</v>
      </c>
      <c r="AG15">
        <f>Tabela5[[#This Row],[kan_test_acc]]</f>
        <v>0.89777778387069707</v>
      </c>
      <c r="AH15">
        <f>Tabela5[[#This Row],[mlp_test_acc]]</f>
        <v>0.90888888888888886</v>
      </c>
      <c r="AI15">
        <f>Tabela5[[#This Row],[mlp_val_acc]]</f>
        <v>0.95185185185185184</v>
      </c>
      <c r="AJ15">
        <f>Tabela5[[#This Row],[mlp_train_acc]]</f>
        <v>0.97169811320754718</v>
      </c>
    </row>
    <row r="16" spans="1:36" hidden="1" x14ac:dyDescent="0.25">
      <c r="A16" t="s">
        <v>209</v>
      </c>
      <c r="B16">
        <v>20</v>
      </c>
      <c r="C16">
        <v>9</v>
      </c>
      <c r="D16">
        <v>5</v>
      </c>
      <c r="E16">
        <v>0</v>
      </c>
      <c r="F16" t="s">
        <v>228</v>
      </c>
      <c r="G16">
        <v>4044</v>
      </c>
      <c r="H16">
        <v>121200754.3</v>
      </c>
      <c r="I16">
        <v>1144.0999999999999</v>
      </c>
      <c r="J16">
        <v>0.50849055945873256</v>
      </c>
      <c r="K16">
        <v>0.84444444775581362</v>
      </c>
      <c r="L16">
        <v>0.50222223177552228</v>
      </c>
      <c r="M16">
        <v>0.9244444444444444</v>
      </c>
      <c r="N16">
        <v>0.9814814814814814</v>
      </c>
      <c r="O16">
        <v>0.98113207547169812</v>
      </c>
      <c r="P16">
        <v>3028</v>
      </c>
      <c r="Q16">
        <v>31946383.800000001</v>
      </c>
      <c r="R16">
        <v>3963</v>
      </c>
      <c r="S16">
        <v>2</v>
      </c>
      <c r="T16">
        <v>40</v>
      </c>
      <c r="U16">
        <v>0.92888888888888888</v>
      </c>
      <c r="V16">
        <v>0.9814814814814814</v>
      </c>
      <c r="W16">
        <v>0.96509433962264146</v>
      </c>
      <c r="X16">
        <v>2839.3</v>
      </c>
      <c r="Y16">
        <v>32243635.100000001</v>
      </c>
      <c r="Z16">
        <v>4144</v>
      </c>
      <c r="AA16">
        <v>2</v>
      </c>
      <c r="AB16">
        <v>41</v>
      </c>
      <c r="AD16">
        <f>Tabela5[[#This Row],[kan_params]]</f>
        <v>4044</v>
      </c>
      <c r="AE16">
        <f>Tabela5[[#This Row],[kan_train_acc]]</f>
        <v>0.50849055945873256</v>
      </c>
      <c r="AF16">
        <f>Tabela5[[#This Row],[kan_val_acc]]</f>
        <v>0.84444444775581362</v>
      </c>
      <c r="AG16">
        <f>Tabela5[[#This Row],[kan_test_acc]]</f>
        <v>0.50222223177552228</v>
      </c>
      <c r="AH16">
        <f>Tabela5[[#This Row],[mlp_test_acc]]</f>
        <v>0.9244444444444444</v>
      </c>
      <c r="AI16">
        <f>Tabela5[[#This Row],[mlp_val_acc]]</f>
        <v>0.9814814814814814</v>
      </c>
      <c r="AJ16">
        <f>Tabela5[[#This Row],[mlp_train_acc]]</f>
        <v>0.98113207547169812</v>
      </c>
    </row>
    <row r="17" spans="1:36" x14ac:dyDescent="0.25">
      <c r="A17" t="s">
        <v>209</v>
      </c>
      <c r="B17">
        <v>12</v>
      </c>
      <c r="C17">
        <v>3</v>
      </c>
      <c r="D17">
        <v>4</v>
      </c>
      <c r="E17">
        <v>0</v>
      </c>
      <c r="F17" t="s">
        <v>213</v>
      </c>
      <c r="G17">
        <v>4273</v>
      </c>
      <c r="H17">
        <v>156152936.19999999</v>
      </c>
      <c r="I17">
        <v>7228.8</v>
      </c>
      <c r="J17">
        <v>0.93584907054901123</v>
      </c>
      <c r="K17">
        <v>0.98518519401550297</v>
      </c>
      <c r="L17">
        <v>0.90666667222976682</v>
      </c>
      <c r="M17">
        <v>0.92888888888888888</v>
      </c>
      <c r="N17">
        <v>0.99259259259259258</v>
      </c>
      <c r="O17">
        <v>1</v>
      </c>
      <c r="P17">
        <v>4551.3999999999996</v>
      </c>
      <c r="Q17">
        <v>53170440.600000001</v>
      </c>
      <c r="R17">
        <v>4144</v>
      </c>
      <c r="S17">
        <v>2</v>
      </c>
      <c r="T17">
        <v>41</v>
      </c>
      <c r="U17">
        <v>0.93333333333333335</v>
      </c>
      <c r="V17">
        <v>0.99259259259259258</v>
      </c>
      <c r="W17">
        <v>1</v>
      </c>
      <c r="X17">
        <v>4528.6000000000004</v>
      </c>
      <c r="Y17">
        <v>53353089.200000003</v>
      </c>
      <c r="Z17">
        <v>4329</v>
      </c>
      <c r="AA17">
        <v>2</v>
      </c>
      <c r="AB17">
        <v>42</v>
      </c>
      <c r="AD17">
        <f>Tabela5[[#This Row],[kan_params]]</f>
        <v>4273</v>
      </c>
      <c r="AE17">
        <f>Tabela5[[#This Row],[kan_train_acc]]</f>
        <v>0.93584907054901123</v>
      </c>
      <c r="AF17">
        <f>Tabela5[[#This Row],[kan_val_acc]]</f>
        <v>0.98518519401550297</v>
      </c>
      <c r="AG17">
        <f>Tabela5[[#This Row],[kan_test_acc]]</f>
        <v>0.90666667222976682</v>
      </c>
      <c r="AH17">
        <f>Tabela5[[#This Row],[mlp_test_acc]]</f>
        <v>0.92888888888888888</v>
      </c>
      <c r="AI17">
        <f>Tabela5[[#This Row],[mlp_val_acc]]</f>
        <v>0.99259259259259258</v>
      </c>
      <c r="AJ17">
        <f>Tabela5[[#This Row],[mlp_train_acc]]</f>
        <v>1</v>
      </c>
    </row>
    <row r="18" spans="1:36" hidden="1" x14ac:dyDescent="0.25">
      <c r="A18" t="s">
        <v>209</v>
      </c>
      <c r="B18">
        <v>14</v>
      </c>
      <c r="C18">
        <v>9</v>
      </c>
      <c r="D18">
        <v>2</v>
      </c>
      <c r="E18">
        <v>0</v>
      </c>
      <c r="F18" t="s">
        <v>213</v>
      </c>
      <c r="G18">
        <v>4273</v>
      </c>
      <c r="H18">
        <v>2439984.7999999998</v>
      </c>
      <c r="I18">
        <v>10000</v>
      </c>
      <c r="J18">
        <v>0.9924528241157532</v>
      </c>
      <c r="K18">
        <v>1</v>
      </c>
      <c r="L18">
        <v>0.94666666984558101</v>
      </c>
      <c r="M18">
        <v>1</v>
      </c>
      <c r="N18">
        <v>1</v>
      </c>
      <c r="O18">
        <v>0.92452830188679247</v>
      </c>
      <c r="P18">
        <v>1313</v>
      </c>
      <c r="Q18">
        <v>15444994.800000001</v>
      </c>
      <c r="R18">
        <v>4144</v>
      </c>
      <c r="S18">
        <v>2</v>
      </c>
      <c r="T18">
        <v>41</v>
      </c>
      <c r="U18">
        <v>0.9555555555555556</v>
      </c>
      <c r="V18">
        <v>1</v>
      </c>
      <c r="W18">
        <v>0.91509433962264153</v>
      </c>
      <c r="X18">
        <v>1055</v>
      </c>
      <c r="Y18">
        <v>12160343.6</v>
      </c>
      <c r="Z18">
        <v>4329</v>
      </c>
      <c r="AA18">
        <v>2</v>
      </c>
      <c r="AB18">
        <v>42</v>
      </c>
      <c r="AD18">
        <f>Tabela5[[#This Row],[kan_params]]</f>
        <v>4273</v>
      </c>
      <c r="AE18">
        <f>Tabela5[[#This Row],[kan_train_acc]]</f>
        <v>0.9924528241157532</v>
      </c>
      <c r="AF18">
        <f>Tabela5[[#This Row],[kan_val_acc]]</f>
        <v>1</v>
      </c>
      <c r="AG18">
        <f>Tabela5[[#This Row],[kan_test_acc]]</f>
        <v>0.94666666984558101</v>
      </c>
      <c r="AH18">
        <f>Tabela5[[#This Row],[mlp_test_acc]]</f>
        <v>1</v>
      </c>
      <c r="AI18">
        <f>Tabela5[[#This Row],[mlp_val_acc]]</f>
        <v>1</v>
      </c>
      <c r="AJ18">
        <f>Tabela5[[#This Row],[mlp_train_acc]]</f>
        <v>0.92452830188679247</v>
      </c>
    </row>
    <row r="19" spans="1:36" hidden="1" x14ac:dyDescent="0.25">
      <c r="A19" t="s">
        <v>209</v>
      </c>
      <c r="B19">
        <v>10</v>
      </c>
      <c r="C19">
        <v>5</v>
      </c>
      <c r="D19">
        <v>2</v>
      </c>
      <c r="E19">
        <v>0</v>
      </c>
      <c r="F19" t="s">
        <v>223</v>
      </c>
      <c r="G19">
        <v>4582</v>
      </c>
      <c r="H19">
        <v>272721143</v>
      </c>
      <c r="I19">
        <v>2850.2</v>
      </c>
      <c r="J19">
        <v>1</v>
      </c>
      <c r="K19">
        <v>0.96296298503875732</v>
      </c>
      <c r="L19">
        <v>0.93333333730697632</v>
      </c>
      <c r="M19">
        <v>0.97777777777777775</v>
      </c>
      <c r="N19">
        <v>0.94074074074074077</v>
      </c>
      <c r="O19">
        <v>0.99433962264150944</v>
      </c>
      <c r="P19">
        <v>3519.4</v>
      </c>
      <c r="Q19">
        <v>41778849.200000003</v>
      </c>
      <c r="R19">
        <v>4518</v>
      </c>
      <c r="S19">
        <v>2</v>
      </c>
      <c r="T19">
        <v>43</v>
      </c>
      <c r="U19">
        <v>0.97777777777777775</v>
      </c>
      <c r="V19">
        <v>0.92592592592592593</v>
      </c>
      <c r="W19">
        <v>1</v>
      </c>
      <c r="X19">
        <v>3873.2</v>
      </c>
      <c r="Y19">
        <v>44318616.200000003</v>
      </c>
      <c r="Z19">
        <v>4711</v>
      </c>
      <c r="AA19">
        <v>2</v>
      </c>
      <c r="AB19">
        <v>44</v>
      </c>
      <c r="AD19">
        <f>Tabela5[[#This Row],[kan_params]]</f>
        <v>4582</v>
      </c>
      <c r="AE19">
        <f>Tabela5[[#This Row],[kan_train_acc]]</f>
        <v>1</v>
      </c>
      <c r="AF19">
        <f>Tabela5[[#This Row],[kan_val_acc]]</f>
        <v>0.96296298503875732</v>
      </c>
      <c r="AG19">
        <f>Tabela5[[#This Row],[kan_test_acc]]</f>
        <v>0.93333333730697632</v>
      </c>
      <c r="AH19">
        <f>Tabela5[[#This Row],[mlp_test_acc]]</f>
        <v>0.97777777777777775</v>
      </c>
      <c r="AI19">
        <f>Tabela5[[#This Row],[mlp_val_acc]]</f>
        <v>0.94074074074074077</v>
      </c>
      <c r="AJ19">
        <f>Tabela5[[#This Row],[mlp_train_acc]]</f>
        <v>0.99433962264150944</v>
      </c>
    </row>
    <row r="20" spans="1:36" x14ac:dyDescent="0.25">
      <c r="A20" t="s">
        <v>209</v>
      </c>
      <c r="B20">
        <v>10</v>
      </c>
      <c r="C20">
        <v>3</v>
      </c>
      <c r="D20">
        <v>3</v>
      </c>
      <c r="E20">
        <v>0</v>
      </c>
      <c r="F20" t="s">
        <v>223</v>
      </c>
      <c r="G20">
        <v>4886</v>
      </c>
      <c r="H20">
        <v>9617693.1999999993</v>
      </c>
      <c r="I20">
        <v>10000</v>
      </c>
      <c r="J20">
        <v>0.95471699237823482</v>
      </c>
      <c r="K20">
        <v>1</v>
      </c>
      <c r="L20">
        <v>0.91111111640930176</v>
      </c>
      <c r="M20">
        <v>0.92888888888888888</v>
      </c>
      <c r="N20">
        <v>0.99259259259259258</v>
      </c>
      <c r="O20">
        <v>1</v>
      </c>
      <c r="P20">
        <v>4223.8</v>
      </c>
      <c r="Q20">
        <v>48618475</v>
      </c>
      <c r="R20">
        <v>4711</v>
      </c>
      <c r="S20">
        <v>2</v>
      </c>
      <c r="T20">
        <v>44</v>
      </c>
      <c r="U20">
        <v>0.92</v>
      </c>
      <c r="V20">
        <v>1</v>
      </c>
      <c r="W20">
        <v>1</v>
      </c>
      <c r="X20">
        <v>3120.4</v>
      </c>
      <c r="Y20">
        <v>35532552.399999999</v>
      </c>
      <c r="Z20">
        <v>4908</v>
      </c>
      <c r="AA20">
        <v>2</v>
      </c>
      <c r="AB20">
        <v>45</v>
      </c>
      <c r="AD20">
        <f>Tabela5[[#This Row],[kan_params]]</f>
        <v>4886</v>
      </c>
      <c r="AE20">
        <f>Tabela5[[#This Row],[kan_train_acc]]</f>
        <v>0.95471699237823482</v>
      </c>
      <c r="AF20">
        <f>Tabela5[[#This Row],[kan_val_acc]]</f>
        <v>1</v>
      </c>
      <c r="AG20">
        <f>Tabela5[[#This Row],[kan_test_acc]]</f>
        <v>0.91111111640930176</v>
      </c>
      <c r="AH20">
        <f>Tabela5[[#This Row],[mlp_test_acc]]</f>
        <v>0.92888888888888888</v>
      </c>
      <c r="AI20">
        <f>Tabela5[[#This Row],[mlp_val_acc]]</f>
        <v>0.99259259259259258</v>
      </c>
      <c r="AJ20">
        <f>Tabela5[[#This Row],[mlp_train_acc]]</f>
        <v>1</v>
      </c>
    </row>
    <row r="21" spans="1:36" x14ac:dyDescent="0.25">
      <c r="A21" t="s">
        <v>209</v>
      </c>
      <c r="B21">
        <v>8</v>
      </c>
      <c r="C21">
        <v>3</v>
      </c>
      <c r="D21">
        <v>2</v>
      </c>
      <c r="E21">
        <v>0</v>
      </c>
      <c r="F21" t="s">
        <v>210</v>
      </c>
      <c r="G21">
        <v>4930</v>
      </c>
      <c r="H21">
        <v>226181882.40000001</v>
      </c>
      <c r="I21">
        <v>6484.4</v>
      </c>
      <c r="J21">
        <v>0.95471698045730591</v>
      </c>
      <c r="K21">
        <v>0.97777778506278989</v>
      </c>
      <c r="L21">
        <v>0.90666667222976682</v>
      </c>
      <c r="M21">
        <v>0.90444444444444438</v>
      </c>
      <c r="N21">
        <v>0.95925925925925926</v>
      </c>
      <c r="O21">
        <v>0.97264150943396221</v>
      </c>
      <c r="P21">
        <v>5094.2</v>
      </c>
      <c r="Q21">
        <v>66122366.799999997</v>
      </c>
      <c r="R21">
        <v>4908</v>
      </c>
      <c r="S21">
        <v>2</v>
      </c>
      <c r="T21">
        <v>45</v>
      </c>
      <c r="U21">
        <v>0.9044444444444445</v>
      </c>
      <c r="V21">
        <v>0.95925925925925926</v>
      </c>
      <c r="W21">
        <v>0.97264150943396221</v>
      </c>
      <c r="X21">
        <v>5397.5</v>
      </c>
      <c r="Y21">
        <v>69633643.700000003</v>
      </c>
      <c r="Z21">
        <v>5109</v>
      </c>
      <c r="AA21">
        <v>2</v>
      </c>
      <c r="AB21">
        <v>46</v>
      </c>
      <c r="AD21">
        <f>Tabela5[[#This Row],[kan_params]]</f>
        <v>4930</v>
      </c>
      <c r="AE21">
        <f>Tabela5[[#This Row],[kan_train_acc]]</f>
        <v>0.95471698045730591</v>
      </c>
      <c r="AF21">
        <f>Tabela5[[#This Row],[kan_val_acc]]</f>
        <v>0.97777778506278989</v>
      </c>
      <c r="AG21">
        <f>Tabela5[[#This Row],[kan_test_acc]]</f>
        <v>0.90666667222976682</v>
      </c>
      <c r="AH21">
        <f>Tabela5[[#This Row],[mlp_test_acc]]</f>
        <v>0.90444444444444438</v>
      </c>
      <c r="AI21">
        <f>Tabela5[[#This Row],[mlp_val_acc]]</f>
        <v>0.95925925925925926</v>
      </c>
      <c r="AJ21">
        <f>Tabela5[[#This Row],[mlp_train_acc]]</f>
        <v>0.97264150943396221</v>
      </c>
    </row>
    <row r="22" spans="1:36" x14ac:dyDescent="0.25">
      <c r="A22" t="s">
        <v>209</v>
      </c>
      <c r="B22">
        <v>14</v>
      </c>
      <c r="C22">
        <v>3</v>
      </c>
      <c r="D22">
        <v>5</v>
      </c>
      <c r="E22">
        <v>0</v>
      </c>
      <c r="F22" t="s">
        <v>213</v>
      </c>
      <c r="G22">
        <v>4945</v>
      </c>
      <c r="H22">
        <v>148820785.80000001</v>
      </c>
      <c r="I22">
        <v>1293.8</v>
      </c>
      <c r="J22">
        <v>0.59245282411575317</v>
      </c>
      <c r="K22">
        <v>0.82962963581085203</v>
      </c>
      <c r="L22">
        <v>0.64000001549720764</v>
      </c>
      <c r="M22">
        <v>0.9555555555555556</v>
      </c>
      <c r="N22">
        <v>0.95555555555555549</v>
      </c>
      <c r="O22">
        <v>1</v>
      </c>
      <c r="P22">
        <v>3772.2</v>
      </c>
      <c r="Q22">
        <v>44903580</v>
      </c>
      <c r="R22">
        <v>4908</v>
      </c>
      <c r="S22">
        <v>2</v>
      </c>
      <c r="T22">
        <v>45</v>
      </c>
      <c r="U22">
        <v>0.9555555555555556</v>
      </c>
      <c r="V22">
        <v>0.95555555555555549</v>
      </c>
      <c r="W22">
        <v>1</v>
      </c>
      <c r="X22">
        <v>3368.2</v>
      </c>
      <c r="Y22">
        <v>39302715.200000003</v>
      </c>
      <c r="Z22">
        <v>5109</v>
      </c>
      <c r="AA22">
        <v>2</v>
      </c>
      <c r="AB22">
        <v>46</v>
      </c>
      <c r="AD22">
        <f>Tabela5[[#This Row],[kan_params]]</f>
        <v>4945</v>
      </c>
      <c r="AE22">
        <f>Tabela5[[#This Row],[kan_train_acc]]</f>
        <v>0.59245282411575317</v>
      </c>
      <c r="AF22">
        <f>Tabela5[[#This Row],[kan_val_acc]]</f>
        <v>0.82962963581085203</v>
      </c>
      <c r="AG22">
        <f>Tabela5[[#This Row],[kan_test_acc]]</f>
        <v>0.64000001549720764</v>
      </c>
      <c r="AH22">
        <f>Tabela5[[#This Row],[mlp_test_acc]]</f>
        <v>0.9555555555555556</v>
      </c>
      <c r="AI22">
        <f>Tabela5[[#This Row],[mlp_val_acc]]</f>
        <v>0.95555555555555549</v>
      </c>
      <c r="AJ22">
        <f>Tabela5[[#This Row],[mlp_train_acc]]</f>
        <v>1</v>
      </c>
    </row>
    <row r="23" spans="1:36" hidden="1" x14ac:dyDescent="0.25">
      <c r="A23" t="s">
        <v>209</v>
      </c>
      <c r="B23">
        <v>16</v>
      </c>
      <c r="C23">
        <v>9</v>
      </c>
      <c r="D23">
        <v>3</v>
      </c>
      <c r="E23">
        <v>0</v>
      </c>
      <c r="F23" t="s">
        <v>213</v>
      </c>
      <c r="G23">
        <v>4945</v>
      </c>
      <c r="H23">
        <v>1221088.6000000001</v>
      </c>
      <c r="I23">
        <v>10000</v>
      </c>
      <c r="J23">
        <v>0.81132078170776367</v>
      </c>
      <c r="K23">
        <v>1</v>
      </c>
      <c r="L23">
        <v>0.64444446563720703</v>
      </c>
      <c r="M23">
        <v>1</v>
      </c>
      <c r="N23">
        <v>1</v>
      </c>
      <c r="O23">
        <v>0.92452830188679247</v>
      </c>
      <c r="P23">
        <v>1072</v>
      </c>
      <c r="Q23">
        <v>13161960.4</v>
      </c>
      <c r="R23">
        <v>4908</v>
      </c>
      <c r="S23">
        <v>2</v>
      </c>
      <c r="T23">
        <v>45</v>
      </c>
      <c r="U23">
        <v>0.97777777777777775</v>
      </c>
      <c r="V23">
        <v>1</v>
      </c>
      <c r="W23">
        <v>0.91509433962264153</v>
      </c>
      <c r="X23">
        <v>986</v>
      </c>
      <c r="Y23">
        <v>11646290.6</v>
      </c>
      <c r="Z23">
        <v>5109</v>
      </c>
      <c r="AA23">
        <v>2</v>
      </c>
      <c r="AB23">
        <v>46</v>
      </c>
      <c r="AD23">
        <f>Tabela5[[#This Row],[kan_params]]</f>
        <v>4945</v>
      </c>
      <c r="AE23">
        <f>Tabela5[[#This Row],[kan_train_acc]]</f>
        <v>0.81132078170776367</v>
      </c>
      <c r="AF23">
        <f>Tabela5[[#This Row],[kan_val_acc]]</f>
        <v>1</v>
      </c>
      <c r="AG23">
        <f>Tabela5[[#This Row],[kan_test_acc]]</f>
        <v>0.64444446563720703</v>
      </c>
      <c r="AH23">
        <f>Tabela5[[#This Row],[mlp_test_acc]]</f>
        <v>1</v>
      </c>
      <c r="AI23">
        <f>Tabela5[[#This Row],[mlp_val_acc]]</f>
        <v>1</v>
      </c>
      <c r="AJ23">
        <f>Tabela5[[#This Row],[mlp_train_acc]]</f>
        <v>0.92452830188679247</v>
      </c>
    </row>
    <row r="24" spans="1:36" x14ac:dyDescent="0.25">
      <c r="A24" t="s">
        <v>209</v>
      </c>
      <c r="B24">
        <v>8</v>
      </c>
      <c r="C24">
        <v>3</v>
      </c>
      <c r="D24">
        <v>2</v>
      </c>
      <c r="E24">
        <v>0</v>
      </c>
      <c r="F24" t="s">
        <v>227</v>
      </c>
      <c r="G24">
        <v>5019</v>
      </c>
      <c r="H24">
        <v>66967642.200000003</v>
      </c>
      <c r="I24">
        <v>5567</v>
      </c>
      <c r="J24">
        <v>0.98207547664642336</v>
      </c>
      <c r="K24">
        <v>0.9666666626930237</v>
      </c>
      <c r="L24">
        <v>0.91111111640930176</v>
      </c>
      <c r="M24">
        <v>0.90222222222222226</v>
      </c>
      <c r="N24">
        <v>0.95185185185185184</v>
      </c>
      <c r="O24">
        <v>0.97169811320754718</v>
      </c>
      <c r="P24">
        <v>5559.1</v>
      </c>
      <c r="Q24">
        <v>72476854.799999997</v>
      </c>
      <c r="R24">
        <v>4908</v>
      </c>
      <c r="S24">
        <v>2</v>
      </c>
      <c r="T24">
        <v>45</v>
      </c>
      <c r="U24">
        <v>0.90444444444444438</v>
      </c>
      <c r="V24">
        <v>0.95185185185185184</v>
      </c>
      <c r="W24">
        <v>0.97169811320754718</v>
      </c>
      <c r="X24">
        <v>5536.4</v>
      </c>
      <c r="Y24">
        <v>73161281.5</v>
      </c>
      <c r="Z24">
        <v>5109</v>
      </c>
      <c r="AA24">
        <v>2</v>
      </c>
      <c r="AB24">
        <v>46</v>
      </c>
      <c r="AD24">
        <f>Tabela5[[#This Row],[kan_params]]</f>
        <v>5019</v>
      </c>
      <c r="AE24">
        <f>Tabela5[[#This Row],[kan_train_acc]]</f>
        <v>0.98207547664642336</v>
      </c>
      <c r="AF24">
        <f>Tabela5[[#This Row],[kan_val_acc]]</f>
        <v>0.9666666626930237</v>
      </c>
      <c r="AG24">
        <f>Tabela5[[#This Row],[kan_test_acc]]</f>
        <v>0.91111111640930176</v>
      </c>
      <c r="AH24">
        <f>Tabela5[[#This Row],[mlp_test_acc]]</f>
        <v>0.90222222222222226</v>
      </c>
      <c r="AI24">
        <f>Tabela5[[#This Row],[mlp_val_acc]]</f>
        <v>0.95185185185185184</v>
      </c>
      <c r="AJ24">
        <f>Tabela5[[#This Row],[mlp_train_acc]]</f>
        <v>0.97169811320754718</v>
      </c>
    </row>
    <row r="25" spans="1:36" hidden="1" x14ac:dyDescent="0.25">
      <c r="A25" t="s">
        <v>209</v>
      </c>
      <c r="B25">
        <v>16</v>
      </c>
      <c r="C25">
        <v>5</v>
      </c>
      <c r="D25">
        <v>5</v>
      </c>
      <c r="E25">
        <v>0</v>
      </c>
      <c r="F25" t="s">
        <v>213</v>
      </c>
      <c r="G25">
        <v>5393</v>
      </c>
      <c r="H25">
        <v>156591528.59999999</v>
      </c>
      <c r="I25">
        <v>1597.2</v>
      </c>
      <c r="J25">
        <v>0.69056602716445925</v>
      </c>
      <c r="K25">
        <v>0.74074072837829585</v>
      </c>
      <c r="L25">
        <v>0.67111113071441653</v>
      </c>
      <c r="M25">
        <v>0.92888888888888888</v>
      </c>
      <c r="N25">
        <v>0.96296296296296291</v>
      </c>
      <c r="O25">
        <v>0.98301886792452831</v>
      </c>
      <c r="P25">
        <v>3598.6</v>
      </c>
      <c r="Q25">
        <v>31840537</v>
      </c>
      <c r="R25">
        <v>5314</v>
      </c>
      <c r="S25">
        <v>2</v>
      </c>
      <c r="T25">
        <v>47</v>
      </c>
      <c r="U25">
        <v>0.92888888888888888</v>
      </c>
      <c r="V25">
        <v>0.96296296296296291</v>
      </c>
      <c r="W25">
        <v>0.98490566037735849</v>
      </c>
      <c r="X25">
        <v>3718</v>
      </c>
      <c r="Y25">
        <v>32442234.800000001</v>
      </c>
      <c r="Z25">
        <v>5523</v>
      </c>
      <c r="AA25">
        <v>2</v>
      </c>
      <c r="AB25">
        <v>48</v>
      </c>
      <c r="AD25">
        <f>Tabela5[[#This Row],[kan_params]]</f>
        <v>5393</v>
      </c>
      <c r="AE25">
        <f>Tabela5[[#This Row],[kan_train_acc]]</f>
        <v>0.69056602716445925</v>
      </c>
      <c r="AF25">
        <f>Tabela5[[#This Row],[kan_val_acc]]</f>
        <v>0.74074072837829585</v>
      </c>
      <c r="AG25">
        <f>Tabela5[[#This Row],[kan_test_acc]]</f>
        <v>0.67111113071441653</v>
      </c>
      <c r="AH25">
        <f>Tabela5[[#This Row],[mlp_test_acc]]</f>
        <v>0.92888888888888888</v>
      </c>
      <c r="AI25">
        <f>Tabela5[[#This Row],[mlp_val_acc]]</f>
        <v>0.96296296296296291</v>
      </c>
      <c r="AJ25">
        <f>Tabela5[[#This Row],[mlp_train_acc]]</f>
        <v>0.98301886792452831</v>
      </c>
    </row>
    <row r="26" spans="1:36" x14ac:dyDescent="0.25">
      <c r="A26" t="s">
        <v>209</v>
      </c>
      <c r="B26">
        <v>8</v>
      </c>
      <c r="C26">
        <v>3</v>
      </c>
      <c r="D26">
        <v>2</v>
      </c>
      <c r="E26">
        <v>0</v>
      </c>
      <c r="F26" t="s">
        <v>214</v>
      </c>
      <c r="G26">
        <v>5608</v>
      </c>
      <c r="H26">
        <v>363835794.69999999</v>
      </c>
      <c r="I26">
        <v>7359.4</v>
      </c>
      <c r="J26">
        <v>0.96415094733238216</v>
      </c>
      <c r="K26">
        <v>0.97407407760620113</v>
      </c>
      <c r="L26">
        <v>0.89111111760139461</v>
      </c>
      <c r="M26">
        <v>0.90444444444444438</v>
      </c>
      <c r="N26">
        <v>0.95925925925925926</v>
      </c>
      <c r="O26">
        <v>0.97264150943396221</v>
      </c>
      <c r="P26">
        <v>5476.7</v>
      </c>
      <c r="Q26">
        <v>74158062.299999997</v>
      </c>
      <c r="R26">
        <v>5523</v>
      </c>
      <c r="S26">
        <v>2</v>
      </c>
      <c r="T26">
        <v>48</v>
      </c>
      <c r="U26">
        <v>0.89777777777777779</v>
      </c>
      <c r="V26">
        <v>0.95185185185185184</v>
      </c>
      <c r="W26">
        <v>0.97169811320754718</v>
      </c>
      <c r="X26">
        <v>5528.9</v>
      </c>
      <c r="Y26">
        <v>75323807.5</v>
      </c>
      <c r="Z26">
        <v>5736</v>
      </c>
      <c r="AA26">
        <v>2</v>
      </c>
      <c r="AB26">
        <v>49</v>
      </c>
      <c r="AD26">
        <f>Tabela5[[#This Row],[kan_params]]</f>
        <v>5608</v>
      </c>
      <c r="AE26">
        <f>Tabela5[[#This Row],[kan_train_acc]]</f>
        <v>0.96415094733238216</v>
      </c>
      <c r="AF26">
        <f>Tabela5[[#This Row],[kan_val_acc]]</f>
        <v>0.97407407760620113</v>
      </c>
      <c r="AG26">
        <f>Tabela5[[#This Row],[kan_test_acc]]</f>
        <v>0.89111111760139461</v>
      </c>
      <c r="AH26">
        <f>Tabela5[[#This Row],[mlp_test_acc]]</f>
        <v>0.90444444444444438</v>
      </c>
      <c r="AI26">
        <f>Tabela5[[#This Row],[mlp_val_acc]]</f>
        <v>0.95925925925925926</v>
      </c>
      <c r="AJ26">
        <f>Tabela5[[#This Row],[mlp_train_acc]]</f>
        <v>0.97264150943396221</v>
      </c>
    </row>
    <row r="27" spans="1:36" hidden="1" x14ac:dyDescent="0.25">
      <c r="A27" t="s">
        <v>209</v>
      </c>
      <c r="B27">
        <v>18</v>
      </c>
      <c r="C27">
        <v>9</v>
      </c>
      <c r="D27">
        <v>4</v>
      </c>
      <c r="E27">
        <v>0</v>
      </c>
      <c r="F27" t="s">
        <v>213</v>
      </c>
      <c r="G27">
        <v>5617</v>
      </c>
      <c r="H27">
        <v>58254726</v>
      </c>
      <c r="I27">
        <v>6449.2</v>
      </c>
      <c r="J27">
        <v>0.94528301954269411</v>
      </c>
      <c r="K27">
        <v>0.98518519401550297</v>
      </c>
      <c r="L27">
        <v>0.84000000953674314</v>
      </c>
      <c r="M27">
        <v>0.97777777777777775</v>
      </c>
      <c r="N27">
        <v>1</v>
      </c>
      <c r="O27">
        <v>0.91509433962264153</v>
      </c>
      <c r="P27">
        <v>988.4</v>
      </c>
      <c r="Q27">
        <v>11356646</v>
      </c>
      <c r="R27">
        <v>5523</v>
      </c>
      <c r="S27">
        <v>2</v>
      </c>
      <c r="T27">
        <v>48</v>
      </c>
      <c r="U27">
        <v>0.98222222222222222</v>
      </c>
      <c r="V27">
        <v>1</v>
      </c>
      <c r="W27">
        <v>0.92452830188679247</v>
      </c>
      <c r="X27">
        <v>1016.6</v>
      </c>
      <c r="Y27">
        <v>11857081.800000001</v>
      </c>
      <c r="Z27">
        <v>5736</v>
      </c>
      <c r="AA27">
        <v>2</v>
      </c>
      <c r="AB27">
        <v>49</v>
      </c>
      <c r="AD27">
        <f>Tabela5[[#This Row],[kan_params]]</f>
        <v>5617</v>
      </c>
      <c r="AE27">
        <f>Tabela5[[#This Row],[kan_train_acc]]</f>
        <v>0.94528301954269411</v>
      </c>
      <c r="AF27">
        <f>Tabela5[[#This Row],[kan_val_acc]]</f>
        <v>0.98518519401550297</v>
      </c>
      <c r="AG27">
        <f>Tabela5[[#This Row],[kan_test_acc]]</f>
        <v>0.84000000953674314</v>
      </c>
      <c r="AH27">
        <f>Tabela5[[#This Row],[mlp_test_acc]]</f>
        <v>0.97777777777777775</v>
      </c>
      <c r="AI27">
        <f>Tabela5[[#This Row],[mlp_val_acc]]</f>
        <v>1</v>
      </c>
      <c r="AJ27">
        <f>Tabela5[[#This Row],[mlp_train_acc]]</f>
        <v>0.91509433962264153</v>
      </c>
    </row>
    <row r="28" spans="1:36" hidden="1" x14ac:dyDescent="0.25">
      <c r="A28" t="s">
        <v>209</v>
      </c>
      <c r="B28">
        <v>10</v>
      </c>
      <c r="C28">
        <v>5</v>
      </c>
      <c r="D28">
        <v>2</v>
      </c>
      <c r="E28">
        <v>0</v>
      </c>
      <c r="F28" t="s">
        <v>210</v>
      </c>
      <c r="G28">
        <v>5684</v>
      </c>
      <c r="H28">
        <v>166191955.59999999</v>
      </c>
      <c r="I28">
        <v>1222.2</v>
      </c>
      <c r="J28">
        <v>1</v>
      </c>
      <c r="K28">
        <v>0.96296298503875732</v>
      </c>
      <c r="L28">
        <v>0.95111111402511606</v>
      </c>
      <c r="M28">
        <v>0.97777777777777775</v>
      </c>
      <c r="N28">
        <v>0.94074074074074077</v>
      </c>
      <c r="O28">
        <v>0.98679245283018868</v>
      </c>
      <c r="P28">
        <v>3390.2</v>
      </c>
      <c r="Q28">
        <v>39212997.600000001</v>
      </c>
      <c r="R28">
        <v>5523</v>
      </c>
      <c r="S28">
        <v>2</v>
      </c>
      <c r="T28">
        <v>48</v>
      </c>
      <c r="U28">
        <v>0.96888888888888891</v>
      </c>
      <c r="V28">
        <v>0.94814814814814807</v>
      </c>
      <c r="W28">
        <v>0.98113207547169812</v>
      </c>
      <c r="X28">
        <v>3161.8</v>
      </c>
      <c r="Y28">
        <v>36764954</v>
      </c>
      <c r="Z28">
        <v>5736</v>
      </c>
      <c r="AA28">
        <v>2</v>
      </c>
      <c r="AB28">
        <v>49</v>
      </c>
      <c r="AD28">
        <f>Tabela5[[#This Row],[kan_params]]</f>
        <v>5684</v>
      </c>
      <c r="AE28">
        <f>Tabela5[[#This Row],[kan_train_acc]]</f>
        <v>1</v>
      </c>
      <c r="AF28">
        <f>Tabela5[[#This Row],[kan_val_acc]]</f>
        <v>0.96296298503875732</v>
      </c>
      <c r="AG28">
        <f>Tabela5[[#This Row],[kan_test_acc]]</f>
        <v>0.95111111402511606</v>
      </c>
      <c r="AH28">
        <f>Tabela5[[#This Row],[mlp_test_acc]]</f>
        <v>0.97777777777777775</v>
      </c>
      <c r="AI28">
        <f>Tabela5[[#This Row],[mlp_val_acc]]</f>
        <v>0.94074074074074077</v>
      </c>
      <c r="AJ28">
        <f>Tabela5[[#This Row],[mlp_train_acc]]</f>
        <v>0.98679245283018868</v>
      </c>
    </row>
    <row r="29" spans="1:36" hidden="1" x14ac:dyDescent="0.25">
      <c r="A29" t="s">
        <v>209</v>
      </c>
      <c r="B29">
        <v>10</v>
      </c>
      <c r="C29">
        <v>5</v>
      </c>
      <c r="D29">
        <v>2</v>
      </c>
      <c r="E29">
        <v>0</v>
      </c>
      <c r="F29" t="s">
        <v>227</v>
      </c>
      <c r="G29">
        <v>5787</v>
      </c>
      <c r="H29">
        <v>110452560.2</v>
      </c>
      <c r="I29">
        <v>1055.8</v>
      </c>
      <c r="J29">
        <v>1</v>
      </c>
      <c r="K29">
        <v>0.96296298503875732</v>
      </c>
      <c r="L29">
        <v>0.95555555820465088</v>
      </c>
      <c r="M29">
        <v>0.97777777777777775</v>
      </c>
      <c r="N29">
        <v>0.94814814814814807</v>
      </c>
      <c r="O29">
        <v>0.99433962264150944</v>
      </c>
      <c r="P29">
        <v>3322.6</v>
      </c>
      <c r="Q29">
        <v>39279752.600000001</v>
      </c>
      <c r="R29">
        <v>5736</v>
      </c>
      <c r="S29">
        <v>2</v>
      </c>
      <c r="T29">
        <v>49</v>
      </c>
      <c r="U29">
        <v>0.97333333333333327</v>
      </c>
      <c r="V29">
        <v>0.94074074074074077</v>
      </c>
      <c r="W29">
        <v>0.99245283018867925</v>
      </c>
      <c r="X29">
        <v>3351.2</v>
      </c>
      <c r="Y29">
        <v>39557230.799999997</v>
      </c>
      <c r="Z29">
        <v>5953</v>
      </c>
      <c r="AA29">
        <v>2</v>
      </c>
      <c r="AB29">
        <v>50</v>
      </c>
      <c r="AD29">
        <f>Tabela5[[#This Row],[kan_params]]</f>
        <v>5787</v>
      </c>
      <c r="AE29">
        <f>Tabela5[[#This Row],[kan_train_acc]]</f>
        <v>1</v>
      </c>
      <c r="AF29">
        <f>Tabela5[[#This Row],[kan_val_acc]]</f>
        <v>0.96296298503875732</v>
      </c>
      <c r="AG29">
        <f>Tabela5[[#This Row],[kan_test_acc]]</f>
        <v>0.95555555820465088</v>
      </c>
      <c r="AH29">
        <f>Tabela5[[#This Row],[mlp_test_acc]]</f>
        <v>0.97777777777777775</v>
      </c>
      <c r="AI29">
        <f>Tabela5[[#This Row],[mlp_val_acc]]</f>
        <v>0.94814814814814807</v>
      </c>
      <c r="AJ29">
        <f>Tabela5[[#This Row],[mlp_train_acc]]</f>
        <v>0.99433962264150944</v>
      </c>
    </row>
    <row r="30" spans="1:36" x14ac:dyDescent="0.25">
      <c r="A30" t="s">
        <v>209</v>
      </c>
      <c r="B30">
        <v>12</v>
      </c>
      <c r="C30">
        <v>3</v>
      </c>
      <c r="D30">
        <v>4</v>
      </c>
      <c r="E30">
        <v>0</v>
      </c>
      <c r="F30" t="s">
        <v>223</v>
      </c>
      <c r="G30">
        <v>5798</v>
      </c>
      <c r="H30">
        <v>155573041.59999999</v>
      </c>
      <c r="I30">
        <v>3318.8</v>
      </c>
      <c r="J30">
        <v>0.9188679099082947</v>
      </c>
      <c r="K30">
        <v>0.96296297311782841</v>
      </c>
      <c r="L30">
        <v>0.87111111879348757</v>
      </c>
      <c r="M30">
        <v>0.92888888888888888</v>
      </c>
      <c r="N30">
        <v>1</v>
      </c>
      <c r="O30">
        <v>1</v>
      </c>
      <c r="P30">
        <v>2799.2</v>
      </c>
      <c r="Q30">
        <v>33693946.200000003</v>
      </c>
      <c r="R30">
        <v>5736</v>
      </c>
      <c r="S30">
        <v>2</v>
      </c>
      <c r="T30">
        <v>49</v>
      </c>
      <c r="U30">
        <v>0.92888888888888888</v>
      </c>
      <c r="V30">
        <v>1</v>
      </c>
      <c r="W30">
        <v>1</v>
      </c>
      <c r="X30">
        <v>2888.2</v>
      </c>
      <c r="Y30">
        <v>33141199.199999999</v>
      </c>
      <c r="Z30">
        <v>5953</v>
      </c>
      <c r="AA30">
        <v>2</v>
      </c>
      <c r="AB30">
        <v>50</v>
      </c>
      <c r="AD30">
        <f>Tabela5[[#This Row],[kan_params]]</f>
        <v>5798</v>
      </c>
      <c r="AE30">
        <f>Tabela5[[#This Row],[kan_train_acc]]</f>
        <v>0.9188679099082947</v>
      </c>
      <c r="AF30">
        <f>Tabela5[[#This Row],[kan_val_acc]]</f>
        <v>0.96296297311782841</v>
      </c>
      <c r="AG30">
        <f>Tabela5[[#This Row],[kan_test_acc]]</f>
        <v>0.87111111879348757</v>
      </c>
      <c r="AH30">
        <f>Tabela5[[#This Row],[mlp_test_acc]]</f>
        <v>0.92888888888888888</v>
      </c>
      <c r="AI30">
        <f>Tabela5[[#This Row],[mlp_val_acc]]</f>
        <v>1</v>
      </c>
      <c r="AJ30">
        <f>Tabela5[[#This Row],[mlp_train_acc]]</f>
        <v>1</v>
      </c>
    </row>
    <row r="31" spans="1:36" hidden="1" x14ac:dyDescent="0.25">
      <c r="A31" t="s">
        <v>209</v>
      </c>
      <c r="B31">
        <v>14</v>
      </c>
      <c r="C31">
        <v>9</v>
      </c>
      <c r="D31">
        <v>2</v>
      </c>
      <c r="E31">
        <v>0</v>
      </c>
      <c r="F31" t="s">
        <v>223</v>
      </c>
      <c r="G31">
        <v>5798</v>
      </c>
      <c r="H31">
        <v>2879742.8</v>
      </c>
      <c r="I31">
        <v>10000</v>
      </c>
      <c r="J31">
        <v>0.96226415634155271</v>
      </c>
      <c r="K31">
        <v>1</v>
      </c>
      <c r="L31">
        <v>0.87555556297302251</v>
      </c>
      <c r="M31">
        <v>0.99111111111111105</v>
      </c>
      <c r="N31">
        <v>1</v>
      </c>
      <c r="O31">
        <v>0.92830188679245285</v>
      </c>
      <c r="P31">
        <v>1009.2</v>
      </c>
      <c r="Q31">
        <v>11858935.6</v>
      </c>
      <c r="R31">
        <v>5736</v>
      </c>
      <c r="S31">
        <v>2</v>
      </c>
      <c r="T31">
        <v>49</v>
      </c>
      <c r="U31">
        <v>0.97333333333333338</v>
      </c>
      <c r="V31">
        <v>1</v>
      </c>
      <c r="W31">
        <v>0.90943396226415096</v>
      </c>
      <c r="X31">
        <v>979</v>
      </c>
      <c r="Y31">
        <v>11573605.199999999</v>
      </c>
      <c r="Z31">
        <v>5953</v>
      </c>
      <c r="AA31">
        <v>2</v>
      </c>
      <c r="AB31">
        <v>50</v>
      </c>
      <c r="AD31">
        <f>Tabela5[[#This Row],[kan_params]]</f>
        <v>5798</v>
      </c>
      <c r="AE31">
        <f>Tabela5[[#This Row],[kan_train_acc]]</f>
        <v>0.96226415634155271</v>
      </c>
      <c r="AF31">
        <f>Tabela5[[#This Row],[kan_val_acc]]</f>
        <v>1</v>
      </c>
      <c r="AG31">
        <f>Tabela5[[#This Row],[kan_test_acc]]</f>
        <v>0.87555556297302251</v>
      </c>
      <c r="AH31">
        <f>Tabela5[[#This Row],[mlp_test_acc]]</f>
        <v>0.99111111111111105</v>
      </c>
      <c r="AI31">
        <f>Tabela5[[#This Row],[mlp_val_acc]]</f>
        <v>1</v>
      </c>
      <c r="AJ31">
        <f>Tabela5[[#This Row],[mlp_train_acc]]</f>
        <v>0.92830188679245285</v>
      </c>
    </row>
    <row r="32" spans="1:36" x14ac:dyDescent="0.25">
      <c r="A32" t="s">
        <v>209</v>
      </c>
      <c r="B32">
        <v>8</v>
      </c>
      <c r="C32">
        <v>3</v>
      </c>
      <c r="D32">
        <v>2</v>
      </c>
      <c r="E32">
        <v>0</v>
      </c>
      <c r="F32" t="s">
        <v>211</v>
      </c>
      <c r="G32">
        <v>5975</v>
      </c>
      <c r="H32">
        <v>228855976.30000001</v>
      </c>
      <c r="I32">
        <v>7368</v>
      </c>
      <c r="J32">
        <v>0.94905660748481746</v>
      </c>
      <c r="K32">
        <v>0.97777777910232544</v>
      </c>
      <c r="L32">
        <v>0.8888888955116272</v>
      </c>
      <c r="M32">
        <v>0.89777777777777779</v>
      </c>
      <c r="N32">
        <v>0.95555555555555549</v>
      </c>
      <c r="O32">
        <v>0.97075471698113214</v>
      </c>
      <c r="P32">
        <v>5538.8</v>
      </c>
      <c r="Q32">
        <v>73430644.599999994</v>
      </c>
      <c r="R32">
        <v>5953</v>
      </c>
      <c r="S32">
        <v>2</v>
      </c>
      <c r="T32">
        <v>50</v>
      </c>
      <c r="U32">
        <v>0.9044444444444445</v>
      </c>
      <c r="V32">
        <v>0.95555555555555549</v>
      </c>
      <c r="W32">
        <v>0.97169811320754718</v>
      </c>
      <c r="X32">
        <v>5340.8</v>
      </c>
      <c r="Y32">
        <v>70220735.900000006</v>
      </c>
      <c r="Z32">
        <v>6174</v>
      </c>
      <c r="AA32">
        <v>2</v>
      </c>
      <c r="AB32">
        <v>51</v>
      </c>
      <c r="AD32">
        <f>Tabela5[[#This Row],[kan_params]]</f>
        <v>5975</v>
      </c>
      <c r="AE32">
        <f>Tabela5[[#This Row],[kan_train_acc]]</f>
        <v>0.94905660748481746</v>
      </c>
      <c r="AF32">
        <f>Tabela5[[#This Row],[kan_val_acc]]</f>
        <v>0.97777777910232544</v>
      </c>
      <c r="AG32">
        <f>Tabela5[[#This Row],[kan_test_acc]]</f>
        <v>0.8888888955116272</v>
      </c>
      <c r="AH32">
        <f>Tabela5[[#This Row],[mlp_test_acc]]</f>
        <v>0.89777777777777779</v>
      </c>
      <c r="AI32">
        <f>Tabela5[[#This Row],[mlp_val_acc]]</f>
        <v>0.95555555555555549</v>
      </c>
      <c r="AJ32">
        <f>Tabela5[[#This Row],[mlp_train_acc]]</f>
        <v>0.97075471698113214</v>
      </c>
    </row>
    <row r="33" spans="1:36" x14ac:dyDescent="0.25">
      <c r="A33" t="s">
        <v>209</v>
      </c>
      <c r="B33">
        <v>10</v>
      </c>
      <c r="C33">
        <v>3</v>
      </c>
      <c r="D33">
        <v>3</v>
      </c>
      <c r="E33">
        <v>0</v>
      </c>
      <c r="F33" t="s">
        <v>210</v>
      </c>
      <c r="G33">
        <v>6061</v>
      </c>
      <c r="H33">
        <v>182059626.40000001</v>
      </c>
      <c r="I33">
        <v>8950.6</v>
      </c>
      <c r="J33">
        <v>0.92075471878051762</v>
      </c>
      <c r="K33">
        <v>0.99259259700775149</v>
      </c>
      <c r="L33">
        <v>0.88444445133209226</v>
      </c>
      <c r="M33">
        <v>0.9244444444444444</v>
      </c>
      <c r="N33">
        <v>1</v>
      </c>
      <c r="O33">
        <v>1</v>
      </c>
      <c r="P33">
        <v>2818</v>
      </c>
      <c r="Q33">
        <v>34264982.600000001</v>
      </c>
      <c r="R33">
        <v>5953</v>
      </c>
      <c r="S33">
        <v>2</v>
      </c>
      <c r="T33">
        <v>50</v>
      </c>
      <c r="U33">
        <v>0.93333333333333335</v>
      </c>
      <c r="V33">
        <v>1</v>
      </c>
      <c r="W33">
        <v>1</v>
      </c>
      <c r="X33">
        <v>2835.8</v>
      </c>
      <c r="Y33">
        <v>34176494.799999997</v>
      </c>
      <c r="Z33">
        <v>6174</v>
      </c>
      <c r="AA33">
        <v>2</v>
      </c>
      <c r="AB33">
        <v>51</v>
      </c>
      <c r="AD33">
        <f>Tabela5[[#This Row],[kan_params]]</f>
        <v>6061</v>
      </c>
      <c r="AE33">
        <f>Tabela5[[#This Row],[kan_train_acc]]</f>
        <v>0.92075471878051762</v>
      </c>
      <c r="AF33">
        <f>Tabela5[[#This Row],[kan_val_acc]]</f>
        <v>0.99259259700775149</v>
      </c>
      <c r="AG33">
        <f>Tabela5[[#This Row],[kan_test_acc]]</f>
        <v>0.88444445133209226</v>
      </c>
      <c r="AH33">
        <f>Tabela5[[#This Row],[mlp_test_acc]]</f>
        <v>0.9244444444444444</v>
      </c>
      <c r="AI33">
        <f>Tabela5[[#This Row],[mlp_val_acc]]</f>
        <v>1</v>
      </c>
      <c r="AJ33">
        <f>Tabela5[[#This Row],[mlp_train_acc]]</f>
        <v>1</v>
      </c>
    </row>
    <row r="34" spans="1:36" x14ac:dyDescent="0.25">
      <c r="A34" t="s">
        <v>209</v>
      </c>
      <c r="B34">
        <v>10</v>
      </c>
      <c r="C34">
        <v>3</v>
      </c>
      <c r="D34">
        <v>3</v>
      </c>
      <c r="E34">
        <v>0</v>
      </c>
      <c r="F34" t="s">
        <v>227</v>
      </c>
      <c r="G34">
        <v>6171</v>
      </c>
      <c r="H34">
        <v>12303203.6</v>
      </c>
      <c r="I34">
        <v>10000</v>
      </c>
      <c r="J34">
        <v>0.92641510963439944</v>
      </c>
      <c r="K34">
        <v>1</v>
      </c>
      <c r="L34">
        <v>0.90666667222976682</v>
      </c>
      <c r="M34">
        <v>0.93333333333333335</v>
      </c>
      <c r="N34">
        <v>1</v>
      </c>
      <c r="O34">
        <v>1</v>
      </c>
      <c r="P34">
        <v>3007</v>
      </c>
      <c r="Q34">
        <v>35646617.799999997</v>
      </c>
      <c r="R34">
        <v>5953</v>
      </c>
      <c r="S34">
        <v>2</v>
      </c>
      <c r="T34">
        <v>50</v>
      </c>
      <c r="U34">
        <v>0.93333333333333335</v>
      </c>
      <c r="V34">
        <v>0.99259259259259258</v>
      </c>
      <c r="W34">
        <v>1</v>
      </c>
      <c r="X34">
        <v>4272.6000000000004</v>
      </c>
      <c r="Y34">
        <v>49629707.399999999</v>
      </c>
      <c r="Z34">
        <v>6174</v>
      </c>
      <c r="AA34">
        <v>2</v>
      </c>
      <c r="AB34">
        <v>51</v>
      </c>
      <c r="AD34">
        <f>Tabela5[[#This Row],[kan_params]]</f>
        <v>6171</v>
      </c>
      <c r="AE34">
        <f>Tabela5[[#This Row],[kan_train_acc]]</f>
        <v>0.92641510963439944</v>
      </c>
      <c r="AF34">
        <f>Tabela5[[#This Row],[kan_val_acc]]</f>
        <v>1</v>
      </c>
      <c r="AG34">
        <f>Tabela5[[#This Row],[kan_test_acc]]</f>
        <v>0.90666667222976682</v>
      </c>
      <c r="AH34">
        <f>Tabela5[[#This Row],[mlp_test_acc]]</f>
        <v>0.93333333333333335</v>
      </c>
      <c r="AI34">
        <f>Tabela5[[#This Row],[mlp_val_acc]]</f>
        <v>1</v>
      </c>
      <c r="AJ34">
        <f>Tabela5[[#This Row],[mlp_train_acc]]</f>
        <v>1</v>
      </c>
    </row>
    <row r="35" spans="1:36" x14ac:dyDescent="0.25">
      <c r="A35" t="s">
        <v>209</v>
      </c>
      <c r="B35">
        <v>8</v>
      </c>
      <c r="C35">
        <v>3</v>
      </c>
      <c r="D35">
        <v>2</v>
      </c>
      <c r="E35">
        <v>0</v>
      </c>
      <c r="F35" t="s">
        <v>217</v>
      </c>
      <c r="G35">
        <v>6286</v>
      </c>
      <c r="H35">
        <v>90532373.599999994</v>
      </c>
      <c r="I35">
        <v>6482.1</v>
      </c>
      <c r="J35">
        <v>0.9575471699237823</v>
      </c>
      <c r="K35">
        <v>0.97777777910232544</v>
      </c>
      <c r="L35">
        <v>0.90666667222976682</v>
      </c>
      <c r="M35">
        <v>0.9</v>
      </c>
      <c r="N35">
        <v>0.95925925925925926</v>
      </c>
      <c r="O35">
        <v>0.97169811320754718</v>
      </c>
      <c r="P35">
        <v>5040.2</v>
      </c>
      <c r="Q35">
        <v>68582061.700000003</v>
      </c>
      <c r="R35">
        <v>6174</v>
      </c>
      <c r="S35">
        <v>2</v>
      </c>
      <c r="T35">
        <v>51</v>
      </c>
      <c r="U35">
        <v>0.9</v>
      </c>
      <c r="V35">
        <v>0.95925925925925926</v>
      </c>
      <c r="W35">
        <v>0.97264150943396221</v>
      </c>
      <c r="X35">
        <v>4684.8999999999996</v>
      </c>
      <c r="Y35">
        <v>64466547</v>
      </c>
      <c r="Z35">
        <v>6399</v>
      </c>
      <c r="AA35">
        <v>2</v>
      </c>
      <c r="AB35">
        <v>52</v>
      </c>
      <c r="AD35">
        <f>Tabela5[[#This Row],[kan_params]]</f>
        <v>6286</v>
      </c>
      <c r="AE35">
        <f>Tabela5[[#This Row],[kan_train_acc]]</f>
        <v>0.9575471699237823</v>
      </c>
      <c r="AF35">
        <f>Tabela5[[#This Row],[kan_val_acc]]</f>
        <v>0.97777777910232544</v>
      </c>
      <c r="AG35">
        <f>Tabela5[[#This Row],[kan_test_acc]]</f>
        <v>0.90666667222976682</v>
      </c>
      <c r="AH35">
        <f>Tabela5[[#This Row],[mlp_test_acc]]</f>
        <v>0.9</v>
      </c>
      <c r="AI35">
        <f>Tabela5[[#This Row],[mlp_val_acc]]</f>
        <v>0.95925925925925926</v>
      </c>
      <c r="AJ35">
        <f>Tabela5[[#This Row],[mlp_train_acc]]</f>
        <v>0.97169811320754718</v>
      </c>
    </row>
    <row r="36" spans="1:36" hidden="1" x14ac:dyDescent="0.25">
      <c r="A36" t="s">
        <v>209</v>
      </c>
      <c r="B36">
        <v>20</v>
      </c>
      <c r="C36">
        <v>9</v>
      </c>
      <c r="D36">
        <v>5</v>
      </c>
      <c r="E36">
        <v>0</v>
      </c>
      <c r="F36" t="s">
        <v>213</v>
      </c>
      <c r="G36">
        <v>6289</v>
      </c>
      <c r="H36">
        <v>155308547.5</v>
      </c>
      <c r="I36">
        <v>1261.5</v>
      </c>
      <c r="J36">
        <v>0.57264149785041807</v>
      </c>
      <c r="K36">
        <v>0.87037037611007695</v>
      </c>
      <c r="L36">
        <v>0.58888890743255617</v>
      </c>
      <c r="M36">
        <v>0.92888888888888888</v>
      </c>
      <c r="N36">
        <v>0.97777777777777775</v>
      </c>
      <c r="O36">
        <v>0.98962264150943402</v>
      </c>
      <c r="P36">
        <v>3174.7</v>
      </c>
      <c r="Q36">
        <v>34681326.799999997</v>
      </c>
      <c r="R36">
        <v>6174</v>
      </c>
      <c r="S36">
        <v>2</v>
      </c>
      <c r="T36">
        <v>51</v>
      </c>
      <c r="U36">
        <v>0.91999999999999993</v>
      </c>
      <c r="V36">
        <v>0.98518518518518516</v>
      </c>
      <c r="W36">
        <v>0.97830188679245289</v>
      </c>
      <c r="X36">
        <v>2476.5</v>
      </c>
      <c r="Y36">
        <v>27156183.600000001</v>
      </c>
      <c r="Z36">
        <v>6399</v>
      </c>
      <c r="AA36">
        <v>2</v>
      </c>
      <c r="AB36">
        <v>52</v>
      </c>
      <c r="AD36">
        <f>Tabela5[[#This Row],[kan_params]]</f>
        <v>6289</v>
      </c>
      <c r="AE36">
        <f>Tabela5[[#This Row],[kan_train_acc]]</f>
        <v>0.57264149785041807</v>
      </c>
      <c r="AF36">
        <f>Tabela5[[#This Row],[kan_val_acc]]</f>
        <v>0.87037037611007695</v>
      </c>
      <c r="AG36">
        <f>Tabela5[[#This Row],[kan_test_acc]]</f>
        <v>0.58888890743255617</v>
      </c>
      <c r="AH36">
        <f>Tabela5[[#This Row],[mlp_test_acc]]</f>
        <v>0.92888888888888888</v>
      </c>
      <c r="AI36">
        <f>Tabela5[[#This Row],[mlp_val_acc]]</f>
        <v>0.97777777777777775</v>
      </c>
      <c r="AJ36">
        <f>Tabela5[[#This Row],[mlp_train_acc]]</f>
        <v>0.98962264150943402</v>
      </c>
    </row>
    <row r="37" spans="1:36" hidden="1" x14ac:dyDescent="0.25">
      <c r="A37" t="s">
        <v>209</v>
      </c>
      <c r="B37">
        <v>10</v>
      </c>
      <c r="C37">
        <v>5</v>
      </c>
      <c r="D37">
        <v>2</v>
      </c>
      <c r="E37">
        <v>0</v>
      </c>
      <c r="F37" t="s">
        <v>214</v>
      </c>
      <c r="G37">
        <v>6466</v>
      </c>
      <c r="H37">
        <v>365668190.60000002</v>
      </c>
      <c r="I37">
        <v>6462.2</v>
      </c>
      <c r="J37">
        <v>0.99056603908538821</v>
      </c>
      <c r="K37">
        <v>0.97777779102325435</v>
      </c>
      <c r="L37">
        <v>0.95111111402511606</v>
      </c>
      <c r="M37">
        <v>0.96888888888888891</v>
      </c>
      <c r="N37">
        <v>0.94074074074074077</v>
      </c>
      <c r="O37">
        <v>0.98490566037735849</v>
      </c>
      <c r="P37">
        <v>2860.2</v>
      </c>
      <c r="Q37">
        <v>32487441.800000001</v>
      </c>
      <c r="R37">
        <v>6399</v>
      </c>
      <c r="S37">
        <v>2</v>
      </c>
      <c r="T37">
        <v>52</v>
      </c>
      <c r="U37">
        <v>0.96888888888888891</v>
      </c>
      <c r="V37">
        <v>0.94814814814814807</v>
      </c>
      <c r="W37">
        <v>0.98490566037735849</v>
      </c>
      <c r="X37">
        <v>2988.8</v>
      </c>
      <c r="Y37">
        <v>34793835.200000003</v>
      </c>
      <c r="Z37">
        <v>6628</v>
      </c>
      <c r="AA37">
        <v>2</v>
      </c>
      <c r="AB37">
        <v>53</v>
      </c>
      <c r="AD37">
        <f>Tabela5[[#This Row],[kan_params]]</f>
        <v>6466</v>
      </c>
      <c r="AE37">
        <f>Tabela5[[#This Row],[kan_train_acc]]</f>
        <v>0.99056603908538821</v>
      </c>
      <c r="AF37">
        <f>Tabela5[[#This Row],[kan_val_acc]]</f>
        <v>0.97777779102325435</v>
      </c>
      <c r="AG37">
        <f>Tabela5[[#This Row],[kan_test_acc]]</f>
        <v>0.95111111402511606</v>
      </c>
      <c r="AH37">
        <f>Tabela5[[#This Row],[mlp_test_acc]]</f>
        <v>0.96888888888888891</v>
      </c>
      <c r="AI37">
        <f>Tabela5[[#This Row],[mlp_val_acc]]</f>
        <v>0.94074074074074077</v>
      </c>
      <c r="AJ37">
        <f>Tabela5[[#This Row],[mlp_train_acc]]</f>
        <v>0.98490566037735849</v>
      </c>
    </row>
    <row r="38" spans="1:36" x14ac:dyDescent="0.25">
      <c r="A38" t="s">
        <v>209</v>
      </c>
      <c r="B38">
        <v>14</v>
      </c>
      <c r="C38">
        <v>3</v>
      </c>
      <c r="D38">
        <v>5</v>
      </c>
      <c r="E38">
        <v>0</v>
      </c>
      <c r="F38" t="s">
        <v>223</v>
      </c>
      <c r="G38">
        <v>6710</v>
      </c>
      <c r="H38">
        <v>228256849.59999999</v>
      </c>
      <c r="I38">
        <v>1811.8</v>
      </c>
      <c r="J38">
        <v>0.73207545280456543</v>
      </c>
      <c r="K38">
        <v>0.85925927162170412</v>
      </c>
      <c r="L38">
        <v>0.67111113071441653</v>
      </c>
      <c r="M38">
        <v>0.94666666666666666</v>
      </c>
      <c r="N38">
        <v>0.94814814814814807</v>
      </c>
      <c r="O38">
        <v>1</v>
      </c>
      <c r="P38">
        <v>4078.4</v>
      </c>
      <c r="Q38">
        <v>48173986.799999997</v>
      </c>
      <c r="R38">
        <v>6628</v>
      </c>
      <c r="S38">
        <v>2</v>
      </c>
      <c r="T38">
        <v>53</v>
      </c>
      <c r="U38">
        <v>0.9555555555555556</v>
      </c>
      <c r="V38">
        <v>0.96296296296296291</v>
      </c>
      <c r="W38">
        <v>1</v>
      </c>
      <c r="X38">
        <v>3196</v>
      </c>
      <c r="Y38">
        <v>37466530.799999997</v>
      </c>
      <c r="Z38">
        <v>6861</v>
      </c>
      <c r="AA38">
        <v>2</v>
      </c>
      <c r="AB38">
        <v>54</v>
      </c>
      <c r="AD38">
        <f>Tabela5[[#This Row],[kan_params]]</f>
        <v>6710</v>
      </c>
      <c r="AE38">
        <f>Tabela5[[#This Row],[kan_train_acc]]</f>
        <v>0.73207545280456543</v>
      </c>
      <c r="AF38">
        <f>Tabela5[[#This Row],[kan_val_acc]]</f>
        <v>0.85925927162170412</v>
      </c>
      <c r="AG38">
        <f>Tabela5[[#This Row],[kan_test_acc]]</f>
        <v>0.67111113071441653</v>
      </c>
      <c r="AH38">
        <f>Tabela5[[#This Row],[mlp_test_acc]]</f>
        <v>0.94666666666666666</v>
      </c>
      <c r="AI38">
        <f>Tabela5[[#This Row],[mlp_val_acc]]</f>
        <v>0.94814814814814807</v>
      </c>
      <c r="AJ38">
        <f>Tabela5[[#This Row],[mlp_train_acc]]</f>
        <v>1</v>
      </c>
    </row>
    <row r="39" spans="1:36" hidden="1" x14ac:dyDescent="0.25">
      <c r="A39" t="s">
        <v>209</v>
      </c>
      <c r="B39">
        <v>16</v>
      </c>
      <c r="C39">
        <v>9</v>
      </c>
      <c r="D39">
        <v>3</v>
      </c>
      <c r="E39">
        <v>0</v>
      </c>
      <c r="F39" t="s">
        <v>223</v>
      </c>
      <c r="G39">
        <v>6710</v>
      </c>
      <c r="H39">
        <v>3069380.8</v>
      </c>
      <c r="I39">
        <v>10000</v>
      </c>
      <c r="J39">
        <v>0.94339623451232912</v>
      </c>
      <c r="K39">
        <v>1</v>
      </c>
      <c r="L39">
        <v>0.87111111879348757</v>
      </c>
      <c r="M39">
        <v>0.98666666666666669</v>
      </c>
      <c r="N39">
        <v>1</v>
      </c>
      <c r="O39">
        <v>0.92075471698113209</v>
      </c>
      <c r="P39">
        <v>962</v>
      </c>
      <c r="Q39">
        <v>11385405.6</v>
      </c>
      <c r="R39">
        <v>6628</v>
      </c>
      <c r="S39">
        <v>2</v>
      </c>
      <c r="T39">
        <v>53</v>
      </c>
      <c r="U39">
        <v>0.98666666666666669</v>
      </c>
      <c r="V39">
        <v>1</v>
      </c>
      <c r="W39">
        <v>0.92264150943396228</v>
      </c>
      <c r="X39">
        <v>974.2</v>
      </c>
      <c r="Y39">
        <v>11363212.199999999</v>
      </c>
      <c r="Z39">
        <v>6861</v>
      </c>
      <c r="AA39">
        <v>2</v>
      </c>
      <c r="AB39">
        <v>54</v>
      </c>
      <c r="AD39">
        <f>Tabela5[[#This Row],[kan_params]]</f>
        <v>6710</v>
      </c>
      <c r="AE39">
        <f>Tabela5[[#This Row],[kan_train_acc]]</f>
        <v>0.94339623451232912</v>
      </c>
      <c r="AF39">
        <f>Tabela5[[#This Row],[kan_val_acc]]</f>
        <v>1</v>
      </c>
      <c r="AG39">
        <f>Tabela5[[#This Row],[kan_test_acc]]</f>
        <v>0.87111111879348757</v>
      </c>
      <c r="AH39">
        <f>Tabela5[[#This Row],[mlp_test_acc]]</f>
        <v>0.98666666666666669</v>
      </c>
      <c r="AI39">
        <f>Tabela5[[#This Row],[mlp_val_acc]]</f>
        <v>1</v>
      </c>
      <c r="AJ39">
        <f>Tabela5[[#This Row],[mlp_train_acc]]</f>
        <v>0.92075471698113209</v>
      </c>
    </row>
    <row r="40" spans="1:36" x14ac:dyDescent="0.25">
      <c r="A40" t="s">
        <v>209</v>
      </c>
      <c r="B40">
        <v>8</v>
      </c>
      <c r="C40">
        <v>3</v>
      </c>
      <c r="D40">
        <v>2</v>
      </c>
      <c r="E40">
        <v>0</v>
      </c>
      <c r="F40" t="s">
        <v>215</v>
      </c>
      <c r="G40">
        <v>6783</v>
      </c>
      <c r="H40">
        <v>258819906.19999999</v>
      </c>
      <c r="I40">
        <v>6471.3</v>
      </c>
      <c r="J40">
        <v>0.96415095329284672</v>
      </c>
      <c r="K40">
        <v>0.97777778506278989</v>
      </c>
      <c r="L40">
        <v>0.89555556178092954</v>
      </c>
      <c r="M40">
        <v>0.90666666666666662</v>
      </c>
      <c r="N40">
        <v>0.95925925925925926</v>
      </c>
      <c r="O40">
        <v>0.97169811320754718</v>
      </c>
      <c r="P40">
        <v>4999.3</v>
      </c>
      <c r="Q40">
        <v>68304639.799999997</v>
      </c>
      <c r="R40">
        <v>6628</v>
      </c>
      <c r="S40">
        <v>2</v>
      </c>
      <c r="T40">
        <v>53</v>
      </c>
      <c r="U40">
        <v>0.90222222222222226</v>
      </c>
      <c r="V40">
        <v>0.95925925925925926</v>
      </c>
      <c r="W40">
        <v>0.97358490566037736</v>
      </c>
      <c r="X40">
        <v>5371.1</v>
      </c>
      <c r="Y40">
        <v>75765431.5</v>
      </c>
      <c r="Z40">
        <v>6861</v>
      </c>
      <c r="AA40">
        <v>2</v>
      </c>
      <c r="AB40">
        <v>54</v>
      </c>
      <c r="AD40">
        <f>Tabela5[[#This Row],[kan_params]]</f>
        <v>6783</v>
      </c>
      <c r="AE40">
        <f>Tabela5[[#This Row],[kan_train_acc]]</f>
        <v>0.96415095329284672</v>
      </c>
      <c r="AF40">
        <f>Tabela5[[#This Row],[kan_val_acc]]</f>
        <v>0.97777778506278989</v>
      </c>
      <c r="AG40">
        <f>Tabela5[[#This Row],[kan_test_acc]]</f>
        <v>0.89555556178092954</v>
      </c>
      <c r="AH40">
        <f>Tabela5[[#This Row],[mlp_test_acc]]</f>
        <v>0.90666666666666662</v>
      </c>
      <c r="AI40">
        <f>Tabela5[[#This Row],[mlp_val_acc]]</f>
        <v>0.95925925925925926</v>
      </c>
      <c r="AJ40">
        <f>Tabela5[[#This Row],[mlp_train_acc]]</f>
        <v>0.97169811320754718</v>
      </c>
    </row>
    <row r="41" spans="1:36" hidden="1" x14ac:dyDescent="0.25">
      <c r="A41" t="s">
        <v>209</v>
      </c>
      <c r="B41">
        <v>10</v>
      </c>
      <c r="C41">
        <v>5</v>
      </c>
      <c r="D41">
        <v>2</v>
      </c>
      <c r="E41">
        <v>0</v>
      </c>
      <c r="F41" t="s">
        <v>211</v>
      </c>
      <c r="G41">
        <v>6889</v>
      </c>
      <c r="H41">
        <v>402173966.19999999</v>
      </c>
      <c r="I41">
        <v>4671.6000000000004</v>
      </c>
      <c r="J41">
        <v>0.9943396210670471</v>
      </c>
      <c r="K41">
        <v>0.97037038803100584</v>
      </c>
      <c r="L41">
        <v>0.92000000476837163</v>
      </c>
      <c r="M41">
        <v>0.97333333333333327</v>
      </c>
      <c r="N41">
        <v>0.94074074074074077</v>
      </c>
      <c r="O41">
        <v>0.98867924528301887</v>
      </c>
      <c r="P41">
        <v>3002</v>
      </c>
      <c r="Q41">
        <v>34401241.200000003</v>
      </c>
      <c r="R41">
        <v>6861</v>
      </c>
      <c r="S41">
        <v>2</v>
      </c>
      <c r="T41">
        <v>54</v>
      </c>
      <c r="U41">
        <v>0.97333333333333327</v>
      </c>
      <c r="V41">
        <v>0.94814814814814807</v>
      </c>
      <c r="W41">
        <v>0.98301886792452831</v>
      </c>
      <c r="X41">
        <v>2576.1999999999998</v>
      </c>
      <c r="Y41">
        <v>29953248</v>
      </c>
      <c r="Z41">
        <v>7098</v>
      </c>
      <c r="AA41">
        <v>2</v>
      </c>
      <c r="AB41">
        <v>55</v>
      </c>
      <c r="AD41">
        <f>Tabela5[[#This Row],[kan_params]]</f>
        <v>6889</v>
      </c>
      <c r="AE41">
        <f>Tabela5[[#This Row],[kan_train_acc]]</f>
        <v>0.9943396210670471</v>
      </c>
      <c r="AF41">
        <f>Tabela5[[#This Row],[kan_val_acc]]</f>
        <v>0.97037038803100584</v>
      </c>
      <c r="AG41">
        <f>Tabela5[[#This Row],[kan_test_acc]]</f>
        <v>0.92000000476837163</v>
      </c>
      <c r="AH41">
        <f>Tabela5[[#This Row],[mlp_test_acc]]</f>
        <v>0.97333333333333327</v>
      </c>
      <c r="AI41">
        <f>Tabela5[[#This Row],[mlp_val_acc]]</f>
        <v>0.94074074074074077</v>
      </c>
      <c r="AJ41">
        <f>Tabela5[[#This Row],[mlp_train_acc]]</f>
        <v>0.98867924528301887</v>
      </c>
    </row>
    <row r="42" spans="1:36" x14ac:dyDescent="0.25">
      <c r="A42" t="s">
        <v>209</v>
      </c>
      <c r="B42">
        <v>10</v>
      </c>
      <c r="C42">
        <v>3</v>
      </c>
      <c r="D42">
        <v>3</v>
      </c>
      <c r="E42">
        <v>0</v>
      </c>
      <c r="F42" t="s">
        <v>214</v>
      </c>
      <c r="G42">
        <v>6895</v>
      </c>
      <c r="H42">
        <v>108825912.59999999</v>
      </c>
      <c r="I42">
        <v>8403.2000000000007</v>
      </c>
      <c r="J42">
        <v>0.96603773832321171</v>
      </c>
      <c r="K42">
        <v>0.97777777910232544</v>
      </c>
      <c r="L42">
        <v>0.88444445133209226</v>
      </c>
      <c r="M42">
        <v>0.93333333333333335</v>
      </c>
      <c r="N42">
        <v>0.98518518518518516</v>
      </c>
      <c r="O42">
        <v>1</v>
      </c>
      <c r="P42">
        <v>5713.8</v>
      </c>
      <c r="Q42">
        <v>67487907.599999994</v>
      </c>
      <c r="R42">
        <v>6861</v>
      </c>
      <c r="S42">
        <v>2</v>
      </c>
      <c r="T42">
        <v>54</v>
      </c>
      <c r="U42">
        <v>0.93333333333333335</v>
      </c>
      <c r="V42">
        <v>1</v>
      </c>
      <c r="W42">
        <v>1</v>
      </c>
      <c r="X42">
        <v>2769.8</v>
      </c>
      <c r="Y42">
        <v>33135731</v>
      </c>
      <c r="Z42">
        <v>7098</v>
      </c>
      <c r="AA42">
        <v>2</v>
      </c>
      <c r="AB42">
        <v>55</v>
      </c>
      <c r="AD42">
        <f>Tabela5[[#This Row],[kan_params]]</f>
        <v>6895</v>
      </c>
      <c r="AE42">
        <f>Tabela5[[#This Row],[kan_train_acc]]</f>
        <v>0.96603773832321171</v>
      </c>
      <c r="AF42">
        <f>Tabela5[[#This Row],[kan_val_acc]]</f>
        <v>0.97777777910232544</v>
      </c>
      <c r="AG42">
        <f>Tabela5[[#This Row],[kan_test_acc]]</f>
        <v>0.88444445133209226</v>
      </c>
      <c r="AH42">
        <f>Tabela5[[#This Row],[mlp_test_acc]]</f>
        <v>0.93333333333333335</v>
      </c>
      <c r="AI42">
        <f>Tabela5[[#This Row],[mlp_val_acc]]</f>
        <v>0.98518518518518516</v>
      </c>
      <c r="AJ42">
        <f>Tabela5[[#This Row],[mlp_train_acc]]</f>
        <v>1</v>
      </c>
    </row>
    <row r="43" spans="1:36" x14ac:dyDescent="0.25">
      <c r="A43" t="s">
        <v>209</v>
      </c>
      <c r="B43">
        <v>8</v>
      </c>
      <c r="C43">
        <v>3</v>
      </c>
      <c r="D43">
        <v>2</v>
      </c>
      <c r="E43">
        <v>0</v>
      </c>
      <c r="F43" t="s">
        <v>220</v>
      </c>
      <c r="G43">
        <v>6964</v>
      </c>
      <c r="H43">
        <v>56963185.666666664</v>
      </c>
      <c r="I43">
        <v>8569.6666666666661</v>
      </c>
      <c r="J43">
        <v>0.97169811526934302</v>
      </c>
      <c r="K43">
        <v>0.98765431841214502</v>
      </c>
      <c r="L43">
        <v>0.92592593034108484</v>
      </c>
      <c r="M43">
        <v>0.92962962962962958</v>
      </c>
      <c r="N43">
        <v>0.96913580246913578</v>
      </c>
      <c r="O43">
        <v>1</v>
      </c>
      <c r="P43">
        <v>6308.666666666667</v>
      </c>
      <c r="Q43">
        <v>68550294.5</v>
      </c>
      <c r="R43">
        <v>6861</v>
      </c>
      <c r="S43">
        <v>2</v>
      </c>
      <c r="T43">
        <v>54</v>
      </c>
      <c r="U43">
        <v>0.93333333333333335</v>
      </c>
      <c r="V43">
        <v>0.98765432098765427</v>
      </c>
      <c r="W43">
        <v>1</v>
      </c>
      <c r="X43">
        <v>4000.3333333333335</v>
      </c>
      <c r="Y43">
        <v>46882470.166666664</v>
      </c>
      <c r="Z43">
        <v>7098</v>
      </c>
      <c r="AA43">
        <v>2</v>
      </c>
      <c r="AB43">
        <v>55</v>
      </c>
      <c r="AD43">
        <f>Tabela5[[#This Row],[kan_params]]</f>
        <v>6964</v>
      </c>
      <c r="AE43">
        <f>Tabela5[[#This Row],[kan_train_acc]]</f>
        <v>0.97169811526934302</v>
      </c>
      <c r="AF43">
        <f>Tabela5[[#This Row],[kan_val_acc]]</f>
        <v>0.98765431841214502</v>
      </c>
      <c r="AG43">
        <f>Tabela5[[#This Row],[kan_test_acc]]</f>
        <v>0.92592593034108484</v>
      </c>
      <c r="AH43">
        <f>Tabela5[[#This Row],[mlp_test_acc]]</f>
        <v>0.92962962962962958</v>
      </c>
      <c r="AI43">
        <f>Tabela5[[#This Row],[mlp_val_acc]]</f>
        <v>0.96913580246913578</v>
      </c>
      <c r="AJ43">
        <f>Tabela5[[#This Row],[mlp_train_acc]]</f>
        <v>1</v>
      </c>
    </row>
    <row r="44" spans="1:36" x14ac:dyDescent="0.25">
      <c r="A44" t="s">
        <v>209</v>
      </c>
      <c r="B44">
        <v>8</v>
      </c>
      <c r="C44">
        <v>3</v>
      </c>
      <c r="D44">
        <v>2</v>
      </c>
      <c r="E44">
        <v>0</v>
      </c>
      <c r="F44" t="s">
        <v>212</v>
      </c>
      <c r="G44">
        <v>7020</v>
      </c>
      <c r="H44">
        <v>248884648.80000001</v>
      </c>
      <c r="I44">
        <v>7338.9</v>
      </c>
      <c r="J44">
        <v>0.96792452931404116</v>
      </c>
      <c r="K44">
        <v>0.98148148655891421</v>
      </c>
      <c r="L44">
        <v>0.89777778387069707</v>
      </c>
      <c r="M44">
        <v>0.90222222222222226</v>
      </c>
      <c r="N44">
        <v>0.95555555555555549</v>
      </c>
      <c r="O44">
        <v>0.97169811320754718</v>
      </c>
      <c r="P44">
        <v>4864.5</v>
      </c>
      <c r="Q44">
        <v>67414229.700000003</v>
      </c>
      <c r="R44">
        <v>6861</v>
      </c>
      <c r="S44">
        <v>2</v>
      </c>
      <c r="T44">
        <v>54</v>
      </c>
      <c r="U44">
        <v>0.9</v>
      </c>
      <c r="V44">
        <v>0.95185185185185184</v>
      </c>
      <c r="W44">
        <v>0.97169811320754718</v>
      </c>
      <c r="X44">
        <v>5103.3999999999996</v>
      </c>
      <c r="Y44">
        <v>70223769.5</v>
      </c>
      <c r="Z44">
        <v>7098</v>
      </c>
      <c r="AA44">
        <v>2</v>
      </c>
      <c r="AB44">
        <v>55</v>
      </c>
      <c r="AD44">
        <f>Tabela5[[#This Row],[kan_params]]</f>
        <v>7020</v>
      </c>
      <c r="AE44">
        <f>Tabela5[[#This Row],[kan_train_acc]]</f>
        <v>0.96792452931404116</v>
      </c>
      <c r="AF44">
        <f>Tabela5[[#This Row],[kan_val_acc]]</f>
        <v>0.98148148655891421</v>
      </c>
      <c r="AG44">
        <f>Tabela5[[#This Row],[kan_test_acc]]</f>
        <v>0.89777778387069707</v>
      </c>
      <c r="AH44">
        <f>Tabela5[[#This Row],[mlp_test_acc]]</f>
        <v>0.90222222222222226</v>
      </c>
      <c r="AI44">
        <f>Tabela5[[#This Row],[mlp_val_acc]]</f>
        <v>0.95555555555555549</v>
      </c>
      <c r="AJ44">
        <f>Tabela5[[#This Row],[mlp_train_acc]]</f>
        <v>0.97169811320754718</v>
      </c>
    </row>
    <row r="45" spans="1:36" x14ac:dyDescent="0.25">
      <c r="A45" t="s">
        <v>209</v>
      </c>
      <c r="B45">
        <v>12</v>
      </c>
      <c r="C45">
        <v>3</v>
      </c>
      <c r="D45">
        <v>4</v>
      </c>
      <c r="E45">
        <v>0</v>
      </c>
      <c r="F45" t="s">
        <v>210</v>
      </c>
      <c r="G45">
        <v>7192</v>
      </c>
      <c r="H45">
        <v>234907615.40000001</v>
      </c>
      <c r="I45">
        <v>1436</v>
      </c>
      <c r="J45">
        <v>0.44339622259140016</v>
      </c>
      <c r="K45">
        <v>0.74074074029922488</v>
      </c>
      <c r="L45">
        <v>0.48888890147209169</v>
      </c>
      <c r="M45">
        <v>0.92888888888888888</v>
      </c>
      <c r="N45">
        <v>1</v>
      </c>
      <c r="O45">
        <v>1</v>
      </c>
      <c r="P45">
        <v>2629.8</v>
      </c>
      <c r="Q45">
        <v>30693277.800000001</v>
      </c>
      <c r="R45">
        <v>7098</v>
      </c>
      <c r="S45">
        <v>2</v>
      </c>
      <c r="T45">
        <v>55</v>
      </c>
      <c r="U45">
        <v>0.9244444444444444</v>
      </c>
      <c r="V45">
        <v>1</v>
      </c>
      <c r="W45">
        <v>1</v>
      </c>
      <c r="X45">
        <v>2708</v>
      </c>
      <c r="Y45">
        <v>31968453</v>
      </c>
      <c r="Z45">
        <v>7339</v>
      </c>
      <c r="AA45">
        <v>2</v>
      </c>
      <c r="AB45">
        <v>56</v>
      </c>
      <c r="AD45">
        <f>Tabela5[[#This Row],[kan_params]]</f>
        <v>7192</v>
      </c>
      <c r="AE45">
        <f>Tabela5[[#This Row],[kan_train_acc]]</f>
        <v>0.44339622259140016</v>
      </c>
      <c r="AF45">
        <f>Tabela5[[#This Row],[kan_val_acc]]</f>
        <v>0.74074074029922488</v>
      </c>
      <c r="AG45">
        <f>Tabela5[[#This Row],[kan_test_acc]]</f>
        <v>0.48888890147209169</v>
      </c>
      <c r="AH45">
        <f>Tabela5[[#This Row],[mlp_test_acc]]</f>
        <v>0.92888888888888888</v>
      </c>
      <c r="AI45">
        <f>Tabela5[[#This Row],[mlp_val_acc]]</f>
        <v>1</v>
      </c>
      <c r="AJ45">
        <f>Tabela5[[#This Row],[mlp_train_acc]]</f>
        <v>1</v>
      </c>
    </row>
    <row r="46" spans="1:36" hidden="1" x14ac:dyDescent="0.25">
      <c r="A46" t="s">
        <v>209</v>
      </c>
      <c r="B46">
        <v>14</v>
      </c>
      <c r="C46">
        <v>9</v>
      </c>
      <c r="D46">
        <v>2</v>
      </c>
      <c r="E46">
        <v>0</v>
      </c>
      <c r="F46" t="s">
        <v>210</v>
      </c>
      <c r="G46">
        <v>7192</v>
      </c>
      <c r="H46">
        <v>343499452.19999999</v>
      </c>
      <c r="I46">
        <v>8226</v>
      </c>
      <c r="J46">
        <v>0.9433962225914001</v>
      </c>
      <c r="K46">
        <v>0.98518519401550297</v>
      </c>
      <c r="L46">
        <v>0.83111112117767338</v>
      </c>
      <c r="M46">
        <v>0.97333333333333338</v>
      </c>
      <c r="N46">
        <v>1</v>
      </c>
      <c r="O46">
        <v>0.91509433962264153</v>
      </c>
      <c r="P46">
        <v>923.2</v>
      </c>
      <c r="Q46">
        <v>12196704</v>
      </c>
      <c r="R46">
        <v>7098</v>
      </c>
      <c r="S46">
        <v>2</v>
      </c>
      <c r="T46">
        <v>55</v>
      </c>
      <c r="U46">
        <v>0.96444444444444444</v>
      </c>
      <c r="V46">
        <v>1</v>
      </c>
      <c r="W46">
        <v>0.91132075471698115</v>
      </c>
      <c r="X46">
        <v>912.2</v>
      </c>
      <c r="Y46">
        <v>11230310.199999999</v>
      </c>
      <c r="Z46">
        <v>7339</v>
      </c>
      <c r="AA46">
        <v>2</v>
      </c>
      <c r="AB46">
        <v>56</v>
      </c>
      <c r="AD46">
        <f>Tabela5[[#This Row],[kan_params]]</f>
        <v>7192</v>
      </c>
      <c r="AE46">
        <f>Tabela5[[#This Row],[kan_train_acc]]</f>
        <v>0.9433962225914001</v>
      </c>
      <c r="AF46">
        <f>Tabela5[[#This Row],[kan_val_acc]]</f>
        <v>0.98518519401550297</v>
      </c>
      <c r="AG46">
        <f>Tabela5[[#This Row],[kan_test_acc]]</f>
        <v>0.83111112117767338</v>
      </c>
      <c r="AH46">
        <f>Tabela5[[#This Row],[mlp_test_acc]]</f>
        <v>0.97333333333333338</v>
      </c>
      <c r="AI46">
        <f>Tabela5[[#This Row],[mlp_val_acc]]</f>
        <v>1</v>
      </c>
      <c r="AJ46">
        <f>Tabela5[[#This Row],[mlp_train_acc]]</f>
        <v>0.91509433962264153</v>
      </c>
    </row>
    <row r="47" spans="1:36" hidden="1" x14ac:dyDescent="0.25">
      <c r="A47" t="s">
        <v>209</v>
      </c>
      <c r="B47">
        <v>10</v>
      </c>
      <c r="C47">
        <v>5</v>
      </c>
      <c r="D47">
        <v>2</v>
      </c>
      <c r="E47">
        <v>0</v>
      </c>
      <c r="F47" t="s">
        <v>217</v>
      </c>
      <c r="G47">
        <v>7248</v>
      </c>
      <c r="H47">
        <v>144988421.80000001</v>
      </c>
      <c r="I47">
        <v>2964.4</v>
      </c>
      <c r="J47">
        <v>0.98867924213409419</v>
      </c>
      <c r="K47">
        <v>0.96296297311782841</v>
      </c>
      <c r="L47">
        <v>0.94222222566604619</v>
      </c>
      <c r="M47">
        <v>0.97333333333333327</v>
      </c>
      <c r="N47">
        <v>0.94814814814814807</v>
      </c>
      <c r="O47">
        <v>0.98301886792452831</v>
      </c>
      <c r="P47">
        <v>2638.2</v>
      </c>
      <c r="Q47">
        <v>30836376</v>
      </c>
      <c r="R47">
        <v>7098</v>
      </c>
      <c r="S47">
        <v>2</v>
      </c>
      <c r="T47">
        <v>55</v>
      </c>
      <c r="U47">
        <v>0.97777777777777775</v>
      </c>
      <c r="V47">
        <v>0.94074074074074077</v>
      </c>
      <c r="W47">
        <v>0.99433962264150944</v>
      </c>
      <c r="X47">
        <v>3467.6</v>
      </c>
      <c r="Y47">
        <v>39941612.799999997</v>
      </c>
      <c r="Z47">
        <v>7339</v>
      </c>
      <c r="AA47">
        <v>2</v>
      </c>
      <c r="AB47">
        <v>56</v>
      </c>
      <c r="AD47">
        <f>Tabela5[[#This Row],[kan_params]]</f>
        <v>7248</v>
      </c>
      <c r="AE47">
        <f>Tabela5[[#This Row],[kan_train_acc]]</f>
        <v>0.98867924213409419</v>
      </c>
      <c r="AF47">
        <f>Tabela5[[#This Row],[kan_val_acc]]</f>
        <v>0.96296297311782841</v>
      </c>
      <c r="AG47">
        <f>Tabela5[[#This Row],[kan_test_acc]]</f>
        <v>0.94222222566604619</v>
      </c>
      <c r="AH47">
        <f>Tabela5[[#This Row],[mlp_test_acc]]</f>
        <v>0.97333333333333327</v>
      </c>
      <c r="AI47">
        <f>Tabela5[[#This Row],[mlp_val_acc]]</f>
        <v>0.94814814814814807</v>
      </c>
      <c r="AJ47">
        <f>Tabela5[[#This Row],[mlp_train_acc]]</f>
        <v>0.98301886792452831</v>
      </c>
    </row>
    <row r="48" spans="1:36" hidden="1" x14ac:dyDescent="0.25">
      <c r="A48" t="s">
        <v>209</v>
      </c>
      <c r="B48">
        <v>16</v>
      </c>
      <c r="C48">
        <v>5</v>
      </c>
      <c r="D48">
        <v>5</v>
      </c>
      <c r="E48">
        <v>0</v>
      </c>
      <c r="F48" t="s">
        <v>223</v>
      </c>
      <c r="G48">
        <v>7318</v>
      </c>
      <c r="H48">
        <v>135203622.59999999</v>
      </c>
      <c r="I48">
        <v>1246.8</v>
      </c>
      <c r="J48">
        <v>0.64339621663093571</v>
      </c>
      <c r="K48">
        <v>0.82962964773178105</v>
      </c>
      <c r="L48">
        <v>0.67555557489395146</v>
      </c>
      <c r="M48">
        <v>0.9244444444444444</v>
      </c>
      <c r="N48">
        <v>0.96296296296296291</v>
      </c>
      <c r="O48">
        <v>0.98679245283018868</v>
      </c>
      <c r="P48">
        <v>4065.8</v>
      </c>
      <c r="Q48">
        <v>36706005</v>
      </c>
      <c r="R48">
        <v>7098</v>
      </c>
      <c r="S48">
        <v>2</v>
      </c>
      <c r="T48">
        <v>55</v>
      </c>
      <c r="U48">
        <v>0.92888888888888888</v>
      </c>
      <c r="V48">
        <v>0.96296296296296291</v>
      </c>
      <c r="W48">
        <v>0.98679245283018868</v>
      </c>
      <c r="X48">
        <v>3557.8</v>
      </c>
      <c r="Y48">
        <v>31597796.600000001</v>
      </c>
      <c r="Z48">
        <v>7339</v>
      </c>
      <c r="AA48">
        <v>2</v>
      </c>
      <c r="AB48">
        <v>56</v>
      </c>
      <c r="AD48">
        <f>Tabela5[[#This Row],[kan_params]]</f>
        <v>7318</v>
      </c>
      <c r="AE48">
        <f>Tabela5[[#This Row],[kan_train_acc]]</f>
        <v>0.64339621663093571</v>
      </c>
      <c r="AF48">
        <f>Tabela5[[#This Row],[kan_val_acc]]</f>
        <v>0.82962964773178105</v>
      </c>
      <c r="AG48">
        <f>Tabela5[[#This Row],[kan_test_acc]]</f>
        <v>0.67555557489395146</v>
      </c>
      <c r="AH48">
        <f>Tabela5[[#This Row],[mlp_test_acc]]</f>
        <v>0.9244444444444444</v>
      </c>
      <c r="AI48">
        <f>Tabela5[[#This Row],[mlp_val_acc]]</f>
        <v>0.96296296296296291</v>
      </c>
      <c r="AJ48">
        <f>Tabela5[[#This Row],[mlp_train_acc]]</f>
        <v>0.98679245283018868</v>
      </c>
    </row>
    <row r="49" spans="1:36" x14ac:dyDescent="0.25">
      <c r="A49" t="s">
        <v>209</v>
      </c>
      <c r="B49">
        <v>12</v>
      </c>
      <c r="C49">
        <v>3</v>
      </c>
      <c r="D49">
        <v>4</v>
      </c>
      <c r="E49">
        <v>0</v>
      </c>
      <c r="F49" t="s">
        <v>227</v>
      </c>
      <c r="G49">
        <v>7323</v>
      </c>
      <c r="H49">
        <v>164596719.80000001</v>
      </c>
      <c r="I49">
        <v>3316.2</v>
      </c>
      <c r="J49">
        <v>0.90188679695129392</v>
      </c>
      <c r="K49">
        <v>0.97037038803100584</v>
      </c>
      <c r="L49">
        <v>0.85333334207534794</v>
      </c>
      <c r="M49">
        <v>0.93333333333333335</v>
      </c>
      <c r="N49">
        <v>1</v>
      </c>
      <c r="O49">
        <v>1</v>
      </c>
      <c r="P49">
        <v>2943.6</v>
      </c>
      <c r="Q49">
        <v>34085078.799999997</v>
      </c>
      <c r="R49">
        <v>7098</v>
      </c>
      <c r="S49">
        <v>2</v>
      </c>
      <c r="T49">
        <v>55</v>
      </c>
      <c r="U49">
        <v>0.92888888888888888</v>
      </c>
      <c r="V49">
        <v>1</v>
      </c>
      <c r="W49">
        <v>1</v>
      </c>
      <c r="X49">
        <v>2656.8</v>
      </c>
      <c r="Y49">
        <v>31590659.800000001</v>
      </c>
      <c r="Z49">
        <v>7339</v>
      </c>
      <c r="AA49">
        <v>2</v>
      </c>
      <c r="AB49">
        <v>56</v>
      </c>
      <c r="AD49">
        <f>Tabela5[[#This Row],[kan_params]]</f>
        <v>7323</v>
      </c>
      <c r="AE49">
        <f>Tabela5[[#This Row],[kan_train_acc]]</f>
        <v>0.90188679695129392</v>
      </c>
      <c r="AF49">
        <f>Tabela5[[#This Row],[kan_val_acc]]</f>
        <v>0.97037038803100584</v>
      </c>
      <c r="AG49">
        <f>Tabela5[[#This Row],[kan_test_acc]]</f>
        <v>0.85333334207534794</v>
      </c>
      <c r="AH49">
        <f>Tabela5[[#This Row],[mlp_test_acc]]</f>
        <v>0.93333333333333335</v>
      </c>
      <c r="AI49">
        <f>Tabela5[[#This Row],[mlp_val_acc]]</f>
        <v>1</v>
      </c>
      <c r="AJ49">
        <f>Tabela5[[#This Row],[mlp_train_acc]]</f>
        <v>1</v>
      </c>
    </row>
    <row r="50" spans="1:36" hidden="1" x14ac:dyDescent="0.25">
      <c r="A50" t="s">
        <v>209</v>
      </c>
      <c r="B50">
        <v>14</v>
      </c>
      <c r="C50">
        <v>9</v>
      </c>
      <c r="D50">
        <v>2</v>
      </c>
      <c r="E50">
        <v>0</v>
      </c>
      <c r="F50" t="s">
        <v>227</v>
      </c>
      <c r="G50">
        <v>7323</v>
      </c>
      <c r="H50">
        <v>2685246.4</v>
      </c>
      <c r="I50">
        <v>10000</v>
      </c>
      <c r="J50">
        <v>0.95471699237823482</v>
      </c>
      <c r="K50">
        <v>1</v>
      </c>
      <c r="L50">
        <v>0.87555556297302251</v>
      </c>
      <c r="M50">
        <v>0.99555555555555553</v>
      </c>
      <c r="N50">
        <v>1</v>
      </c>
      <c r="O50">
        <v>0.92264150943396228</v>
      </c>
      <c r="P50">
        <v>980.2</v>
      </c>
      <c r="Q50">
        <v>11721488.6</v>
      </c>
      <c r="R50">
        <v>7098</v>
      </c>
      <c r="S50">
        <v>2</v>
      </c>
      <c r="T50">
        <v>55</v>
      </c>
      <c r="U50">
        <v>0.96000000000000008</v>
      </c>
      <c r="V50">
        <v>1</v>
      </c>
      <c r="W50">
        <v>0.92075471698113209</v>
      </c>
      <c r="X50">
        <v>1002.4</v>
      </c>
      <c r="Y50">
        <v>11644766.199999999</v>
      </c>
      <c r="Z50">
        <v>7339</v>
      </c>
      <c r="AA50">
        <v>2</v>
      </c>
      <c r="AB50">
        <v>56</v>
      </c>
      <c r="AD50">
        <f>Tabela5[[#This Row],[kan_params]]</f>
        <v>7323</v>
      </c>
      <c r="AE50">
        <f>Tabela5[[#This Row],[kan_train_acc]]</f>
        <v>0.95471699237823482</v>
      </c>
      <c r="AF50">
        <f>Tabela5[[#This Row],[kan_val_acc]]</f>
        <v>1</v>
      </c>
      <c r="AG50">
        <f>Tabela5[[#This Row],[kan_test_acc]]</f>
        <v>0.87555556297302251</v>
      </c>
      <c r="AH50">
        <f>Tabela5[[#This Row],[mlp_test_acc]]</f>
        <v>0.99555555555555553</v>
      </c>
      <c r="AI50">
        <f>Tabela5[[#This Row],[mlp_val_acc]]</f>
        <v>1</v>
      </c>
      <c r="AJ50">
        <f>Tabela5[[#This Row],[mlp_train_acc]]</f>
        <v>0.92264150943396228</v>
      </c>
    </row>
    <row r="51" spans="1:36" x14ac:dyDescent="0.25">
      <c r="A51" t="s">
        <v>209</v>
      </c>
      <c r="B51">
        <v>10</v>
      </c>
      <c r="C51">
        <v>3</v>
      </c>
      <c r="D51">
        <v>3</v>
      </c>
      <c r="E51">
        <v>0</v>
      </c>
      <c r="F51" t="s">
        <v>211</v>
      </c>
      <c r="G51">
        <v>7346</v>
      </c>
      <c r="H51">
        <v>162404843.59999999</v>
      </c>
      <c r="I51">
        <v>6832</v>
      </c>
      <c r="J51">
        <v>0.93018869161605833</v>
      </c>
      <c r="K51">
        <v>0.98518519401550297</v>
      </c>
      <c r="L51">
        <v>0.85777778625488277</v>
      </c>
      <c r="M51">
        <v>0.9244444444444444</v>
      </c>
      <c r="N51">
        <v>1</v>
      </c>
      <c r="O51">
        <v>1</v>
      </c>
      <c r="P51">
        <v>2645</v>
      </c>
      <c r="Q51">
        <v>31305555.600000001</v>
      </c>
      <c r="R51">
        <v>7339</v>
      </c>
      <c r="S51">
        <v>2</v>
      </c>
      <c r="T51">
        <v>56</v>
      </c>
      <c r="U51">
        <v>0.91555555555555557</v>
      </c>
      <c r="V51">
        <v>1</v>
      </c>
      <c r="W51">
        <v>1</v>
      </c>
      <c r="X51">
        <v>2408.1999999999998</v>
      </c>
      <c r="Y51">
        <v>27780112</v>
      </c>
      <c r="Z51">
        <v>7584</v>
      </c>
      <c r="AA51">
        <v>2</v>
      </c>
      <c r="AB51">
        <v>57</v>
      </c>
      <c r="AD51">
        <f>Tabela5[[#This Row],[kan_params]]</f>
        <v>7346</v>
      </c>
      <c r="AE51">
        <f>Tabela5[[#This Row],[kan_train_acc]]</f>
        <v>0.93018869161605833</v>
      </c>
      <c r="AF51">
        <f>Tabela5[[#This Row],[kan_val_acc]]</f>
        <v>0.98518519401550297</v>
      </c>
      <c r="AG51">
        <f>Tabela5[[#This Row],[kan_test_acc]]</f>
        <v>0.85777778625488277</v>
      </c>
      <c r="AH51">
        <f>Tabela5[[#This Row],[mlp_test_acc]]</f>
        <v>0.9244444444444444</v>
      </c>
      <c r="AI51">
        <f>Tabela5[[#This Row],[mlp_val_acc]]</f>
        <v>1</v>
      </c>
      <c r="AJ51">
        <f>Tabela5[[#This Row],[mlp_train_acc]]</f>
        <v>1</v>
      </c>
    </row>
    <row r="52" spans="1:36" x14ac:dyDescent="0.25">
      <c r="A52" t="s">
        <v>209</v>
      </c>
      <c r="B52">
        <v>8</v>
      </c>
      <c r="C52">
        <v>3</v>
      </c>
      <c r="D52">
        <v>2</v>
      </c>
      <c r="E52">
        <v>0</v>
      </c>
      <c r="F52" t="s">
        <v>218</v>
      </c>
      <c r="G52">
        <v>7591</v>
      </c>
      <c r="H52">
        <v>112905416.09999999</v>
      </c>
      <c r="I52">
        <v>5564.8</v>
      </c>
      <c r="J52">
        <v>0.96603773832321171</v>
      </c>
      <c r="K52">
        <v>0.97037037611007693</v>
      </c>
      <c r="L52">
        <v>0.93111111521720891</v>
      </c>
      <c r="M52">
        <v>0.90888888888888886</v>
      </c>
      <c r="N52">
        <v>0.95555555555555549</v>
      </c>
      <c r="O52">
        <v>0.97547169811320755</v>
      </c>
      <c r="P52">
        <v>5126.2</v>
      </c>
      <c r="Q52">
        <v>68854161.700000003</v>
      </c>
      <c r="R52">
        <v>7584</v>
      </c>
      <c r="S52">
        <v>2</v>
      </c>
      <c r="T52">
        <v>57</v>
      </c>
      <c r="U52">
        <v>0.9044444444444445</v>
      </c>
      <c r="V52">
        <v>0.95185185185185184</v>
      </c>
      <c r="W52">
        <v>0.97075471698113214</v>
      </c>
      <c r="X52">
        <v>5122.1000000000004</v>
      </c>
      <c r="Y52">
        <v>68898524.200000003</v>
      </c>
      <c r="Z52">
        <v>7833</v>
      </c>
      <c r="AA52">
        <v>2</v>
      </c>
      <c r="AB52">
        <v>58</v>
      </c>
      <c r="AD52">
        <f>Tabela5[[#This Row],[kan_params]]</f>
        <v>7591</v>
      </c>
      <c r="AE52">
        <f>Tabela5[[#This Row],[kan_train_acc]]</f>
        <v>0.96603773832321171</v>
      </c>
      <c r="AF52">
        <f>Tabela5[[#This Row],[kan_val_acc]]</f>
        <v>0.97037037611007693</v>
      </c>
      <c r="AG52">
        <f>Tabela5[[#This Row],[kan_test_acc]]</f>
        <v>0.93111111521720891</v>
      </c>
      <c r="AH52">
        <f>Tabela5[[#This Row],[mlp_test_acc]]</f>
        <v>0.90888888888888886</v>
      </c>
      <c r="AI52">
        <f>Tabela5[[#This Row],[mlp_val_acc]]</f>
        <v>0.95555555555555549</v>
      </c>
      <c r="AJ52">
        <f>Tabela5[[#This Row],[mlp_train_acc]]</f>
        <v>0.97547169811320755</v>
      </c>
    </row>
    <row r="53" spans="1:36" hidden="1" x14ac:dyDescent="0.25">
      <c r="A53" t="s">
        <v>209</v>
      </c>
      <c r="B53">
        <v>18</v>
      </c>
      <c r="C53">
        <v>9</v>
      </c>
      <c r="D53">
        <v>4</v>
      </c>
      <c r="E53">
        <v>0</v>
      </c>
      <c r="F53" t="s">
        <v>223</v>
      </c>
      <c r="G53">
        <v>7622</v>
      </c>
      <c r="H53">
        <v>8887394.5999999996</v>
      </c>
      <c r="I53">
        <v>10000</v>
      </c>
      <c r="J53">
        <v>0.89622641801834102</v>
      </c>
      <c r="K53">
        <v>1</v>
      </c>
      <c r="L53">
        <v>0.84444445371627808</v>
      </c>
      <c r="M53">
        <v>0.98222222222222222</v>
      </c>
      <c r="N53">
        <v>1</v>
      </c>
      <c r="O53">
        <v>0.92075471698113209</v>
      </c>
      <c r="P53">
        <v>893.2</v>
      </c>
      <c r="Q53">
        <v>10672206</v>
      </c>
      <c r="R53">
        <v>7584</v>
      </c>
      <c r="S53">
        <v>2</v>
      </c>
      <c r="T53">
        <v>57</v>
      </c>
      <c r="U53">
        <v>0.97777777777777775</v>
      </c>
      <c r="V53">
        <v>1</v>
      </c>
      <c r="W53">
        <v>0.91698113207547172</v>
      </c>
      <c r="X53">
        <v>869</v>
      </c>
      <c r="Y53">
        <v>10128563.800000001</v>
      </c>
      <c r="Z53">
        <v>7833</v>
      </c>
      <c r="AA53">
        <v>2</v>
      </c>
      <c r="AB53">
        <v>58</v>
      </c>
      <c r="AD53">
        <f>Tabela5[[#This Row],[kan_params]]</f>
        <v>7622</v>
      </c>
      <c r="AE53">
        <f>Tabela5[[#This Row],[kan_train_acc]]</f>
        <v>0.89622641801834102</v>
      </c>
      <c r="AF53">
        <f>Tabela5[[#This Row],[kan_val_acc]]</f>
        <v>1</v>
      </c>
      <c r="AG53">
        <f>Tabela5[[#This Row],[kan_test_acc]]</f>
        <v>0.84444445371627808</v>
      </c>
      <c r="AH53">
        <f>Tabela5[[#This Row],[mlp_test_acc]]</f>
        <v>0.98222222222222222</v>
      </c>
      <c r="AI53">
        <f>Tabela5[[#This Row],[mlp_val_acc]]</f>
        <v>1</v>
      </c>
      <c r="AJ53">
        <f>Tabela5[[#This Row],[mlp_train_acc]]</f>
        <v>0.92075471698113209</v>
      </c>
    </row>
    <row r="54" spans="1:36" x14ac:dyDescent="0.25">
      <c r="A54" t="s">
        <v>209</v>
      </c>
      <c r="B54">
        <v>8</v>
      </c>
      <c r="C54">
        <v>3</v>
      </c>
      <c r="D54">
        <v>2</v>
      </c>
      <c r="E54">
        <v>0</v>
      </c>
      <c r="F54" t="s">
        <v>224</v>
      </c>
      <c r="G54">
        <v>7642</v>
      </c>
      <c r="H54">
        <v>23677746.199999999</v>
      </c>
      <c r="I54">
        <v>10000</v>
      </c>
      <c r="J54">
        <v>0.9830188632011414</v>
      </c>
      <c r="K54">
        <v>1</v>
      </c>
      <c r="L54">
        <v>0.92444444894790645</v>
      </c>
      <c r="M54">
        <v>0.92888888888888888</v>
      </c>
      <c r="N54">
        <v>0.99259259259259258</v>
      </c>
      <c r="O54">
        <v>1</v>
      </c>
      <c r="P54">
        <v>4121.8</v>
      </c>
      <c r="Q54">
        <v>50227073.600000001</v>
      </c>
      <c r="R54">
        <v>7584</v>
      </c>
      <c r="S54">
        <v>2</v>
      </c>
      <c r="T54">
        <v>57</v>
      </c>
      <c r="U54">
        <v>0.93333333333333335</v>
      </c>
      <c r="V54">
        <v>1</v>
      </c>
      <c r="W54">
        <v>1</v>
      </c>
      <c r="X54">
        <v>2654.2</v>
      </c>
      <c r="Y54">
        <v>31811532.600000001</v>
      </c>
      <c r="Z54">
        <v>7833</v>
      </c>
      <c r="AA54">
        <v>2</v>
      </c>
      <c r="AB54">
        <v>58</v>
      </c>
      <c r="AD54">
        <f>Tabela5[[#This Row],[kan_params]]</f>
        <v>7642</v>
      </c>
      <c r="AE54">
        <f>Tabela5[[#This Row],[kan_train_acc]]</f>
        <v>0.9830188632011414</v>
      </c>
      <c r="AF54">
        <f>Tabela5[[#This Row],[kan_val_acc]]</f>
        <v>1</v>
      </c>
      <c r="AG54">
        <f>Tabela5[[#This Row],[kan_test_acc]]</f>
        <v>0.92444444894790645</v>
      </c>
      <c r="AH54">
        <f>Tabela5[[#This Row],[mlp_test_acc]]</f>
        <v>0.92888888888888888</v>
      </c>
      <c r="AI54">
        <f>Tabela5[[#This Row],[mlp_val_acc]]</f>
        <v>0.99259259259259258</v>
      </c>
      <c r="AJ54">
        <f>Tabela5[[#This Row],[mlp_train_acc]]</f>
        <v>1</v>
      </c>
    </row>
    <row r="55" spans="1:36" x14ac:dyDescent="0.25">
      <c r="A55" t="s">
        <v>209</v>
      </c>
      <c r="B55">
        <v>10</v>
      </c>
      <c r="C55">
        <v>3</v>
      </c>
      <c r="D55">
        <v>3</v>
      </c>
      <c r="E55">
        <v>0</v>
      </c>
      <c r="F55" t="s">
        <v>217</v>
      </c>
      <c r="G55">
        <v>7729</v>
      </c>
      <c r="H55">
        <v>120708008</v>
      </c>
      <c r="I55">
        <v>6544.6</v>
      </c>
      <c r="J55">
        <v>0.9056603670120239</v>
      </c>
      <c r="K55">
        <v>0.98518519401550297</v>
      </c>
      <c r="L55">
        <v>0.85777778625488277</v>
      </c>
      <c r="M55">
        <v>0.93333333333333335</v>
      </c>
      <c r="N55">
        <v>1</v>
      </c>
      <c r="O55">
        <v>1</v>
      </c>
      <c r="P55">
        <v>2745.4</v>
      </c>
      <c r="Q55">
        <v>32498112.600000001</v>
      </c>
      <c r="R55">
        <v>7584</v>
      </c>
      <c r="S55">
        <v>2</v>
      </c>
      <c r="T55">
        <v>57</v>
      </c>
      <c r="U55">
        <v>0.93333333333333335</v>
      </c>
      <c r="V55">
        <v>1</v>
      </c>
      <c r="W55">
        <v>1</v>
      </c>
      <c r="X55">
        <v>2642.8</v>
      </c>
      <c r="Y55">
        <v>31121641</v>
      </c>
      <c r="Z55">
        <v>7833</v>
      </c>
      <c r="AA55">
        <v>2</v>
      </c>
      <c r="AB55">
        <v>58</v>
      </c>
      <c r="AD55">
        <f>Tabela5[[#This Row],[kan_params]]</f>
        <v>7729</v>
      </c>
      <c r="AE55">
        <f>Tabela5[[#This Row],[kan_train_acc]]</f>
        <v>0.9056603670120239</v>
      </c>
      <c r="AF55">
        <f>Tabela5[[#This Row],[kan_val_acc]]</f>
        <v>0.98518519401550297</v>
      </c>
      <c r="AG55">
        <f>Tabela5[[#This Row],[kan_test_acc]]</f>
        <v>0.85777778625488277</v>
      </c>
      <c r="AH55">
        <f>Tabela5[[#This Row],[mlp_test_acc]]</f>
        <v>0.93333333333333335</v>
      </c>
      <c r="AI55">
        <f>Tabela5[[#This Row],[mlp_val_acc]]</f>
        <v>1</v>
      </c>
      <c r="AJ55">
        <f>Tabela5[[#This Row],[mlp_train_acc]]</f>
        <v>1</v>
      </c>
    </row>
    <row r="56" spans="1:36" hidden="1" x14ac:dyDescent="0.25">
      <c r="A56" t="s">
        <v>209</v>
      </c>
      <c r="B56">
        <v>10</v>
      </c>
      <c r="C56">
        <v>5</v>
      </c>
      <c r="D56">
        <v>2</v>
      </c>
      <c r="E56">
        <v>0</v>
      </c>
      <c r="F56" t="s">
        <v>215</v>
      </c>
      <c r="G56">
        <v>7821</v>
      </c>
      <c r="H56">
        <v>175895575.40000001</v>
      </c>
      <c r="I56">
        <v>1151.5999999999999</v>
      </c>
      <c r="J56">
        <v>1</v>
      </c>
      <c r="K56">
        <v>0.96296298503875732</v>
      </c>
      <c r="L56">
        <v>0.92888889312744138</v>
      </c>
      <c r="M56">
        <v>0.97777777777777775</v>
      </c>
      <c r="N56">
        <v>0.94074074074074077</v>
      </c>
      <c r="O56">
        <v>0.99433962264150944</v>
      </c>
      <c r="P56">
        <v>3267.6</v>
      </c>
      <c r="Q56">
        <v>37487575.799999997</v>
      </c>
      <c r="R56">
        <v>7584</v>
      </c>
      <c r="S56">
        <v>2</v>
      </c>
      <c r="T56">
        <v>57</v>
      </c>
      <c r="U56">
        <v>0.97333333333333338</v>
      </c>
      <c r="V56">
        <v>0.94814814814814807</v>
      </c>
      <c r="W56">
        <v>0.98867924528301887</v>
      </c>
      <c r="X56">
        <v>2968.4</v>
      </c>
      <c r="Y56">
        <v>34392326</v>
      </c>
      <c r="Z56">
        <v>7833</v>
      </c>
      <c r="AA56">
        <v>2</v>
      </c>
      <c r="AB56">
        <v>58</v>
      </c>
      <c r="AD56">
        <f>Tabela5[[#This Row],[kan_params]]</f>
        <v>7821</v>
      </c>
      <c r="AE56">
        <f>Tabela5[[#This Row],[kan_train_acc]]</f>
        <v>1</v>
      </c>
      <c r="AF56">
        <f>Tabela5[[#This Row],[kan_val_acc]]</f>
        <v>0.96296298503875732</v>
      </c>
      <c r="AG56">
        <f>Tabela5[[#This Row],[kan_test_acc]]</f>
        <v>0.92888889312744138</v>
      </c>
      <c r="AH56">
        <f>Tabela5[[#This Row],[mlp_test_acc]]</f>
        <v>0.97777777777777775</v>
      </c>
      <c r="AI56">
        <f>Tabela5[[#This Row],[mlp_val_acc]]</f>
        <v>0.94074074074074077</v>
      </c>
      <c r="AJ56">
        <f>Tabela5[[#This Row],[mlp_train_acc]]</f>
        <v>0.99433962264150944</v>
      </c>
    </row>
    <row r="57" spans="1:36" x14ac:dyDescent="0.25">
      <c r="A57" t="s">
        <v>209</v>
      </c>
      <c r="B57">
        <v>8</v>
      </c>
      <c r="C57">
        <v>3</v>
      </c>
      <c r="D57">
        <v>2</v>
      </c>
      <c r="E57">
        <v>0</v>
      </c>
      <c r="F57" t="s">
        <v>216</v>
      </c>
      <c r="G57">
        <v>7958</v>
      </c>
      <c r="H57">
        <v>124448725.40000001</v>
      </c>
      <c r="I57">
        <v>5626.7</v>
      </c>
      <c r="J57">
        <v>0.96226415634155271</v>
      </c>
      <c r="K57">
        <v>0.97777778506278989</v>
      </c>
      <c r="L57">
        <v>0.89111111760139461</v>
      </c>
      <c r="M57">
        <v>0.90222222222222226</v>
      </c>
      <c r="N57">
        <v>0.95555555555555549</v>
      </c>
      <c r="O57">
        <v>0.97169811320754718</v>
      </c>
      <c r="P57">
        <v>4933.8</v>
      </c>
      <c r="Q57">
        <v>68981496.700000003</v>
      </c>
      <c r="R57">
        <v>7833</v>
      </c>
      <c r="S57">
        <v>2</v>
      </c>
      <c r="T57">
        <v>58</v>
      </c>
      <c r="U57">
        <v>0.9044444444444445</v>
      </c>
      <c r="V57">
        <v>0.95555555555555549</v>
      </c>
      <c r="W57">
        <v>0.97358490566037736</v>
      </c>
      <c r="X57">
        <v>5502.2</v>
      </c>
      <c r="Y57">
        <v>77839986.5</v>
      </c>
      <c r="Z57">
        <v>8086</v>
      </c>
      <c r="AA57">
        <v>2</v>
      </c>
      <c r="AB57">
        <v>59</v>
      </c>
      <c r="AD57">
        <f>Tabela5[[#This Row],[kan_params]]</f>
        <v>7958</v>
      </c>
      <c r="AE57">
        <f>Tabela5[[#This Row],[kan_train_acc]]</f>
        <v>0.96226415634155271</v>
      </c>
      <c r="AF57">
        <f>Tabela5[[#This Row],[kan_val_acc]]</f>
        <v>0.97777778506278989</v>
      </c>
      <c r="AG57">
        <f>Tabela5[[#This Row],[kan_test_acc]]</f>
        <v>0.89111111760139461</v>
      </c>
      <c r="AH57">
        <f>Tabela5[[#This Row],[mlp_test_acc]]</f>
        <v>0.90222222222222226</v>
      </c>
      <c r="AI57">
        <f>Tabela5[[#This Row],[mlp_val_acc]]</f>
        <v>0.95555555555555549</v>
      </c>
      <c r="AJ57">
        <f>Tabela5[[#This Row],[mlp_train_acc]]</f>
        <v>0.97169811320754718</v>
      </c>
    </row>
    <row r="58" spans="1:36" hidden="1" x14ac:dyDescent="0.25">
      <c r="A58" t="s">
        <v>209</v>
      </c>
      <c r="B58">
        <v>10</v>
      </c>
      <c r="C58">
        <v>5</v>
      </c>
      <c r="D58">
        <v>2</v>
      </c>
      <c r="E58">
        <v>0</v>
      </c>
      <c r="F58" t="s">
        <v>220</v>
      </c>
      <c r="G58">
        <v>8030</v>
      </c>
      <c r="H58">
        <v>78714353.599999994</v>
      </c>
      <c r="I58">
        <v>6463.8</v>
      </c>
      <c r="J58">
        <v>0.98113207817077641</v>
      </c>
      <c r="K58">
        <v>0.97777777910232544</v>
      </c>
      <c r="L58">
        <v>0.92888889312744138</v>
      </c>
      <c r="M58">
        <v>0.97333333333333327</v>
      </c>
      <c r="N58">
        <v>0.94814814814814807</v>
      </c>
      <c r="O58">
        <v>0.98867924528301887</v>
      </c>
      <c r="P58">
        <v>3314.8</v>
      </c>
      <c r="Q58">
        <v>39261815.399999999</v>
      </c>
      <c r="R58">
        <v>7833</v>
      </c>
      <c r="S58">
        <v>2</v>
      </c>
      <c r="T58">
        <v>58</v>
      </c>
      <c r="U58">
        <v>0.97333333333333327</v>
      </c>
      <c r="V58">
        <v>0.95555555555555549</v>
      </c>
      <c r="W58">
        <v>0.98490566037735849</v>
      </c>
      <c r="X58">
        <v>2973.8</v>
      </c>
      <c r="Y58">
        <v>35326025.200000003</v>
      </c>
      <c r="Z58">
        <v>8086</v>
      </c>
      <c r="AA58">
        <v>2</v>
      </c>
      <c r="AB58">
        <v>59</v>
      </c>
      <c r="AD58">
        <f>Tabela5[[#This Row],[kan_params]]</f>
        <v>8030</v>
      </c>
      <c r="AE58">
        <f>Tabela5[[#This Row],[kan_train_acc]]</f>
        <v>0.98113207817077641</v>
      </c>
      <c r="AF58">
        <f>Tabela5[[#This Row],[kan_val_acc]]</f>
        <v>0.97777777910232544</v>
      </c>
      <c r="AG58">
        <f>Tabela5[[#This Row],[kan_test_acc]]</f>
        <v>0.92888889312744138</v>
      </c>
      <c r="AH58">
        <f>Tabela5[[#This Row],[mlp_test_acc]]</f>
        <v>0.97333333333333327</v>
      </c>
      <c r="AI58">
        <f>Tabela5[[#This Row],[mlp_val_acc]]</f>
        <v>0.94814814814814807</v>
      </c>
      <c r="AJ58">
        <f>Tabela5[[#This Row],[mlp_train_acc]]</f>
        <v>0.98867924528301887</v>
      </c>
    </row>
    <row r="59" spans="1:36" hidden="1" x14ac:dyDescent="0.25">
      <c r="A59" t="s">
        <v>209</v>
      </c>
      <c r="B59">
        <v>10</v>
      </c>
      <c r="C59">
        <v>5</v>
      </c>
      <c r="D59">
        <v>2</v>
      </c>
      <c r="E59">
        <v>0</v>
      </c>
      <c r="F59" t="s">
        <v>212</v>
      </c>
      <c r="G59">
        <v>8094</v>
      </c>
      <c r="H59">
        <v>396178114.80000001</v>
      </c>
      <c r="I59">
        <v>6436.8</v>
      </c>
      <c r="J59">
        <v>0.98867925405502322</v>
      </c>
      <c r="K59">
        <v>0.97037037611007693</v>
      </c>
      <c r="L59">
        <v>0.93777778148651125</v>
      </c>
      <c r="M59">
        <v>0.97333333333333327</v>
      </c>
      <c r="N59">
        <v>0.94074074074074077</v>
      </c>
      <c r="O59">
        <v>0.98867924528301887</v>
      </c>
      <c r="P59">
        <v>2864.2</v>
      </c>
      <c r="Q59">
        <v>34141206.600000001</v>
      </c>
      <c r="R59">
        <v>8086</v>
      </c>
      <c r="S59">
        <v>2</v>
      </c>
      <c r="T59">
        <v>59</v>
      </c>
      <c r="U59">
        <v>0.97777777777777775</v>
      </c>
      <c r="V59">
        <v>0.94074074074074077</v>
      </c>
      <c r="W59">
        <v>0.98679245283018868</v>
      </c>
      <c r="X59">
        <v>2914.8</v>
      </c>
      <c r="Y59">
        <v>34152837.200000003</v>
      </c>
      <c r="Z59">
        <v>8343</v>
      </c>
      <c r="AA59">
        <v>2</v>
      </c>
      <c r="AB59">
        <v>60</v>
      </c>
      <c r="AD59">
        <f>Tabela5[[#This Row],[kan_params]]</f>
        <v>8094</v>
      </c>
      <c r="AE59">
        <f>Tabela5[[#This Row],[kan_train_acc]]</f>
        <v>0.98867925405502322</v>
      </c>
      <c r="AF59">
        <f>Tabela5[[#This Row],[kan_val_acc]]</f>
        <v>0.97037037611007693</v>
      </c>
      <c r="AG59">
        <f>Tabela5[[#This Row],[kan_test_acc]]</f>
        <v>0.93777778148651125</v>
      </c>
      <c r="AH59">
        <f>Tabela5[[#This Row],[mlp_test_acc]]</f>
        <v>0.97333333333333327</v>
      </c>
      <c r="AI59">
        <f>Tabela5[[#This Row],[mlp_val_acc]]</f>
        <v>0.94074074074074077</v>
      </c>
      <c r="AJ59">
        <f>Tabela5[[#This Row],[mlp_train_acc]]</f>
        <v>0.98867924528301887</v>
      </c>
    </row>
    <row r="60" spans="1:36" x14ac:dyDescent="0.25">
      <c r="A60" t="s">
        <v>209</v>
      </c>
      <c r="B60">
        <v>12</v>
      </c>
      <c r="C60">
        <v>3</v>
      </c>
      <c r="D60">
        <v>4</v>
      </c>
      <c r="E60">
        <v>0</v>
      </c>
      <c r="F60" t="s">
        <v>214</v>
      </c>
      <c r="G60">
        <v>8182</v>
      </c>
      <c r="H60">
        <v>318061272.39999998</v>
      </c>
      <c r="I60">
        <v>1876</v>
      </c>
      <c r="J60">
        <v>0.49622640609741209</v>
      </c>
      <c r="K60">
        <v>0.74074074029922488</v>
      </c>
      <c r="L60">
        <v>0.54222223758697508</v>
      </c>
      <c r="M60">
        <v>0.93333333333333335</v>
      </c>
      <c r="N60">
        <v>1</v>
      </c>
      <c r="O60">
        <v>1</v>
      </c>
      <c r="P60">
        <v>2528.4</v>
      </c>
      <c r="Q60">
        <v>29834450.199999999</v>
      </c>
      <c r="R60">
        <v>8086</v>
      </c>
      <c r="S60">
        <v>2</v>
      </c>
      <c r="T60">
        <v>59</v>
      </c>
      <c r="U60">
        <v>0.92888888888888888</v>
      </c>
      <c r="V60">
        <v>1</v>
      </c>
      <c r="W60">
        <v>1</v>
      </c>
      <c r="X60">
        <v>2596.6</v>
      </c>
      <c r="Y60">
        <v>30442153.199999999</v>
      </c>
      <c r="Z60">
        <v>8343</v>
      </c>
      <c r="AA60">
        <v>2</v>
      </c>
      <c r="AB60">
        <v>60</v>
      </c>
      <c r="AD60">
        <f>Tabela5[[#This Row],[kan_params]]</f>
        <v>8182</v>
      </c>
      <c r="AE60">
        <f>Tabela5[[#This Row],[kan_train_acc]]</f>
        <v>0.49622640609741209</v>
      </c>
      <c r="AF60">
        <f>Tabela5[[#This Row],[kan_val_acc]]</f>
        <v>0.74074074029922488</v>
      </c>
      <c r="AG60">
        <f>Tabela5[[#This Row],[kan_test_acc]]</f>
        <v>0.54222223758697508</v>
      </c>
      <c r="AH60">
        <f>Tabela5[[#This Row],[mlp_test_acc]]</f>
        <v>0.93333333333333335</v>
      </c>
      <c r="AI60">
        <f>Tabela5[[#This Row],[mlp_val_acc]]</f>
        <v>1</v>
      </c>
      <c r="AJ60">
        <f>Tabela5[[#This Row],[mlp_train_acc]]</f>
        <v>1</v>
      </c>
    </row>
    <row r="61" spans="1:36" hidden="1" x14ac:dyDescent="0.25">
      <c r="A61" t="s">
        <v>209</v>
      </c>
      <c r="B61">
        <v>14</v>
      </c>
      <c r="C61">
        <v>9</v>
      </c>
      <c r="D61">
        <v>2</v>
      </c>
      <c r="E61">
        <v>0</v>
      </c>
      <c r="F61" t="s">
        <v>214</v>
      </c>
      <c r="G61">
        <v>8182</v>
      </c>
      <c r="H61">
        <v>356435625.60000002</v>
      </c>
      <c r="I61">
        <v>8240.7999999999993</v>
      </c>
      <c r="J61">
        <v>0.96603775024414063</v>
      </c>
      <c r="K61">
        <v>0.98518519401550297</v>
      </c>
      <c r="L61">
        <v>0.88000000715255733</v>
      </c>
      <c r="M61">
        <v>0.99111111111111116</v>
      </c>
      <c r="N61">
        <v>1</v>
      </c>
      <c r="O61">
        <v>0.92452830188679247</v>
      </c>
      <c r="P61">
        <v>969</v>
      </c>
      <c r="Q61">
        <v>11907744.800000001</v>
      </c>
      <c r="R61">
        <v>8086</v>
      </c>
      <c r="S61">
        <v>2</v>
      </c>
      <c r="T61">
        <v>59</v>
      </c>
      <c r="U61">
        <v>0.96444444444444444</v>
      </c>
      <c r="V61">
        <v>1</v>
      </c>
      <c r="W61">
        <v>0.91320754716981134</v>
      </c>
      <c r="X61">
        <v>882.8</v>
      </c>
      <c r="Y61">
        <v>10072086.6</v>
      </c>
      <c r="Z61">
        <v>8343</v>
      </c>
      <c r="AA61">
        <v>2</v>
      </c>
      <c r="AB61">
        <v>60</v>
      </c>
      <c r="AD61">
        <f>Tabela5[[#This Row],[kan_params]]</f>
        <v>8182</v>
      </c>
      <c r="AE61">
        <f>Tabela5[[#This Row],[kan_train_acc]]</f>
        <v>0.96603775024414063</v>
      </c>
      <c r="AF61">
        <f>Tabela5[[#This Row],[kan_val_acc]]</f>
        <v>0.98518519401550297</v>
      </c>
      <c r="AG61">
        <f>Tabela5[[#This Row],[kan_test_acc]]</f>
        <v>0.88000000715255733</v>
      </c>
      <c r="AH61">
        <f>Tabela5[[#This Row],[mlp_test_acc]]</f>
        <v>0.99111111111111116</v>
      </c>
      <c r="AI61">
        <f>Tabela5[[#This Row],[mlp_val_acc]]</f>
        <v>1</v>
      </c>
      <c r="AJ61">
        <f>Tabela5[[#This Row],[mlp_train_acc]]</f>
        <v>0.92452830188679247</v>
      </c>
    </row>
    <row r="62" spans="1:36" x14ac:dyDescent="0.25">
      <c r="A62" t="s">
        <v>209</v>
      </c>
      <c r="B62">
        <v>14</v>
      </c>
      <c r="C62">
        <v>3</v>
      </c>
      <c r="D62">
        <v>5</v>
      </c>
      <c r="E62">
        <v>0</v>
      </c>
      <c r="F62" t="s">
        <v>210</v>
      </c>
      <c r="G62">
        <v>8323</v>
      </c>
      <c r="H62">
        <v>303383504.80000001</v>
      </c>
      <c r="I62">
        <v>1623.2</v>
      </c>
      <c r="J62">
        <v>0.30188679993152617</v>
      </c>
      <c r="K62">
        <v>0.69629628658294673</v>
      </c>
      <c r="L62">
        <v>0.24888889491558075</v>
      </c>
      <c r="M62">
        <v>0.9555555555555556</v>
      </c>
      <c r="N62">
        <v>0.96296296296296291</v>
      </c>
      <c r="O62">
        <v>1</v>
      </c>
      <c r="P62">
        <v>3035</v>
      </c>
      <c r="Q62">
        <v>35811806.799999997</v>
      </c>
      <c r="R62">
        <v>8086</v>
      </c>
      <c r="S62">
        <v>2</v>
      </c>
      <c r="T62">
        <v>59</v>
      </c>
      <c r="U62">
        <v>0.9555555555555556</v>
      </c>
      <c r="V62">
        <v>0.94814814814814807</v>
      </c>
      <c r="W62">
        <v>1</v>
      </c>
      <c r="X62">
        <v>3466</v>
      </c>
      <c r="Y62">
        <v>41580213.600000001</v>
      </c>
      <c r="Z62">
        <v>8343</v>
      </c>
      <c r="AA62">
        <v>2</v>
      </c>
      <c r="AB62">
        <v>60</v>
      </c>
      <c r="AD62">
        <f>Tabela5[[#This Row],[kan_params]]</f>
        <v>8323</v>
      </c>
      <c r="AE62">
        <f>Tabela5[[#This Row],[kan_train_acc]]</f>
        <v>0.30188679993152617</v>
      </c>
      <c r="AF62">
        <f>Tabela5[[#This Row],[kan_val_acc]]</f>
        <v>0.69629628658294673</v>
      </c>
      <c r="AG62">
        <f>Tabela5[[#This Row],[kan_test_acc]]</f>
        <v>0.24888889491558075</v>
      </c>
      <c r="AH62">
        <f>Tabela5[[#This Row],[mlp_test_acc]]</f>
        <v>0.9555555555555556</v>
      </c>
      <c r="AI62">
        <f>Tabela5[[#This Row],[mlp_val_acc]]</f>
        <v>0.96296296296296291</v>
      </c>
      <c r="AJ62">
        <f>Tabela5[[#This Row],[mlp_train_acc]]</f>
        <v>1</v>
      </c>
    </row>
    <row r="63" spans="1:36" hidden="1" x14ac:dyDescent="0.25">
      <c r="A63" t="s">
        <v>209</v>
      </c>
      <c r="B63">
        <v>16</v>
      </c>
      <c r="C63">
        <v>9</v>
      </c>
      <c r="D63">
        <v>3</v>
      </c>
      <c r="E63">
        <v>0</v>
      </c>
      <c r="F63" t="s">
        <v>210</v>
      </c>
      <c r="G63">
        <v>8323</v>
      </c>
      <c r="H63">
        <v>17489554.399999999</v>
      </c>
      <c r="I63">
        <v>10000</v>
      </c>
      <c r="J63">
        <v>0.9415094256401062</v>
      </c>
      <c r="K63">
        <v>1</v>
      </c>
      <c r="L63">
        <v>0.88444445133209226</v>
      </c>
      <c r="M63">
        <v>0.96444444444444444</v>
      </c>
      <c r="N63">
        <v>1</v>
      </c>
      <c r="O63">
        <v>0.91509433962264153</v>
      </c>
      <c r="P63">
        <v>871.2</v>
      </c>
      <c r="Q63">
        <v>10631286.6</v>
      </c>
      <c r="R63">
        <v>8086</v>
      </c>
      <c r="S63">
        <v>2</v>
      </c>
      <c r="T63">
        <v>59</v>
      </c>
      <c r="U63">
        <v>0.96888888888888891</v>
      </c>
      <c r="V63">
        <v>1</v>
      </c>
      <c r="W63">
        <v>0.91509433962264153</v>
      </c>
      <c r="X63">
        <v>815.8</v>
      </c>
      <c r="Y63">
        <v>8741029.1999999993</v>
      </c>
      <c r="Z63">
        <v>8343</v>
      </c>
      <c r="AA63">
        <v>2</v>
      </c>
      <c r="AB63">
        <v>60</v>
      </c>
      <c r="AD63">
        <f>Tabela5[[#This Row],[kan_params]]</f>
        <v>8323</v>
      </c>
      <c r="AE63">
        <f>Tabela5[[#This Row],[kan_train_acc]]</f>
        <v>0.9415094256401062</v>
      </c>
      <c r="AF63">
        <f>Tabela5[[#This Row],[kan_val_acc]]</f>
        <v>1</v>
      </c>
      <c r="AG63">
        <f>Tabela5[[#This Row],[kan_test_acc]]</f>
        <v>0.88444445133209226</v>
      </c>
      <c r="AH63">
        <f>Tabela5[[#This Row],[mlp_test_acc]]</f>
        <v>0.96444444444444444</v>
      </c>
      <c r="AI63">
        <f>Tabela5[[#This Row],[mlp_val_acc]]</f>
        <v>1</v>
      </c>
      <c r="AJ63">
        <f>Tabela5[[#This Row],[mlp_train_acc]]</f>
        <v>0.91509433962264153</v>
      </c>
    </row>
    <row r="64" spans="1:36" x14ac:dyDescent="0.25">
      <c r="A64" t="s">
        <v>209</v>
      </c>
      <c r="B64">
        <v>10</v>
      </c>
      <c r="C64">
        <v>3</v>
      </c>
      <c r="D64">
        <v>3</v>
      </c>
      <c r="E64">
        <v>0</v>
      </c>
      <c r="F64" t="s">
        <v>215</v>
      </c>
      <c r="G64">
        <v>8340</v>
      </c>
      <c r="H64">
        <v>102251866.2</v>
      </c>
      <c r="I64">
        <v>10000</v>
      </c>
      <c r="J64">
        <v>0.96792451143264768</v>
      </c>
      <c r="K64">
        <v>1</v>
      </c>
      <c r="L64">
        <v>0.92000000476837163</v>
      </c>
      <c r="M64">
        <v>0.92888888888888888</v>
      </c>
      <c r="N64">
        <v>1</v>
      </c>
      <c r="O64">
        <v>1</v>
      </c>
      <c r="P64">
        <v>2580.4</v>
      </c>
      <c r="Q64">
        <v>31249181.199999999</v>
      </c>
      <c r="R64">
        <v>8086</v>
      </c>
      <c r="S64">
        <v>2</v>
      </c>
      <c r="T64">
        <v>59</v>
      </c>
      <c r="U64">
        <v>0.92888888888888888</v>
      </c>
      <c r="V64">
        <v>1</v>
      </c>
      <c r="W64">
        <v>1</v>
      </c>
      <c r="X64">
        <v>2541.8000000000002</v>
      </c>
      <c r="Y64">
        <v>30025637.199999999</v>
      </c>
      <c r="Z64">
        <v>8343</v>
      </c>
      <c r="AA64">
        <v>2</v>
      </c>
      <c r="AB64">
        <v>60</v>
      </c>
      <c r="AD64">
        <f>Tabela5[[#This Row],[kan_params]]</f>
        <v>8340</v>
      </c>
      <c r="AE64">
        <f>Tabela5[[#This Row],[kan_train_acc]]</f>
        <v>0.96792451143264768</v>
      </c>
      <c r="AF64">
        <f>Tabela5[[#This Row],[kan_val_acc]]</f>
        <v>1</v>
      </c>
      <c r="AG64">
        <f>Tabela5[[#This Row],[kan_test_acc]]</f>
        <v>0.92000000476837163</v>
      </c>
      <c r="AH64">
        <f>Tabela5[[#This Row],[mlp_test_acc]]</f>
        <v>0.92888888888888888</v>
      </c>
      <c r="AI64">
        <f>Tabela5[[#This Row],[mlp_val_acc]]</f>
        <v>1</v>
      </c>
      <c r="AJ64">
        <f>Tabela5[[#This Row],[mlp_train_acc]]</f>
        <v>1</v>
      </c>
    </row>
    <row r="65" spans="1:36" x14ac:dyDescent="0.25">
      <c r="A65" t="s">
        <v>209</v>
      </c>
      <c r="B65">
        <v>8</v>
      </c>
      <c r="C65">
        <v>3</v>
      </c>
      <c r="D65">
        <v>2</v>
      </c>
      <c r="E65">
        <v>0</v>
      </c>
      <c r="F65" t="s">
        <v>221</v>
      </c>
      <c r="G65">
        <v>8399</v>
      </c>
      <c r="H65">
        <v>26771826</v>
      </c>
      <c r="I65">
        <v>10000</v>
      </c>
      <c r="J65">
        <v>0.97169811725616451</v>
      </c>
      <c r="K65">
        <v>1</v>
      </c>
      <c r="L65">
        <v>0.92000000476837163</v>
      </c>
      <c r="M65">
        <v>0.93333333333333335</v>
      </c>
      <c r="N65">
        <v>1</v>
      </c>
      <c r="O65">
        <v>1</v>
      </c>
      <c r="P65">
        <v>2662.4</v>
      </c>
      <c r="Q65">
        <v>25050858.800000001</v>
      </c>
      <c r="R65">
        <v>8343</v>
      </c>
      <c r="S65">
        <v>2</v>
      </c>
      <c r="T65">
        <v>60</v>
      </c>
      <c r="U65">
        <v>0.92888888888888888</v>
      </c>
      <c r="V65">
        <v>1</v>
      </c>
      <c r="W65">
        <v>1</v>
      </c>
      <c r="X65">
        <v>2657.6</v>
      </c>
      <c r="Y65">
        <v>24398188</v>
      </c>
      <c r="Z65">
        <v>8604</v>
      </c>
      <c r="AA65">
        <v>2</v>
      </c>
      <c r="AB65">
        <v>61</v>
      </c>
      <c r="AD65">
        <f>Tabela5[[#This Row],[kan_params]]</f>
        <v>8399</v>
      </c>
      <c r="AE65">
        <f>Tabela5[[#This Row],[kan_train_acc]]</f>
        <v>0.97169811725616451</v>
      </c>
      <c r="AF65">
        <f>Tabela5[[#This Row],[kan_val_acc]]</f>
        <v>1</v>
      </c>
      <c r="AG65">
        <f>Tabela5[[#This Row],[kan_test_acc]]</f>
        <v>0.92000000476837163</v>
      </c>
      <c r="AH65">
        <f>Tabela5[[#This Row],[mlp_test_acc]]</f>
        <v>0.93333333333333335</v>
      </c>
      <c r="AI65">
        <f>Tabela5[[#This Row],[mlp_val_acc]]</f>
        <v>1</v>
      </c>
      <c r="AJ65">
        <f>Tabela5[[#This Row],[mlp_train_acc]]</f>
        <v>1</v>
      </c>
    </row>
    <row r="66" spans="1:36" x14ac:dyDescent="0.25">
      <c r="A66" t="s">
        <v>209</v>
      </c>
      <c r="B66">
        <v>14</v>
      </c>
      <c r="C66">
        <v>3</v>
      </c>
      <c r="D66">
        <v>5</v>
      </c>
      <c r="E66">
        <v>0</v>
      </c>
      <c r="F66" t="s">
        <v>227</v>
      </c>
      <c r="G66">
        <v>8475</v>
      </c>
      <c r="H66">
        <v>248895292.59999999</v>
      </c>
      <c r="I66">
        <v>1829</v>
      </c>
      <c r="J66">
        <v>0.68301886320114136</v>
      </c>
      <c r="K66">
        <v>0.84444444179534917</v>
      </c>
      <c r="L66">
        <v>0.69333335161209109</v>
      </c>
      <c r="M66">
        <v>0.9555555555555556</v>
      </c>
      <c r="N66">
        <v>0.95555555555555549</v>
      </c>
      <c r="O66">
        <v>1</v>
      </c>
      <c r="P66">
        <v>3056.8</v>
      </c>
      <c r="Q66">
        <v>36585369</v>
      </c>
      <c r="R66">
        <v>8343</v>
      </c>
      <c r="S66">
        <v>2</v>
      </c>
      <c r="T66">
        <v>60</v>
      </c>
      <c r="U66">
        <v>0.9555555555555556</v>
      </c>
      <c r="V66">
        <v>0.94814814814814807</v>
      </c>
      <c r="W66">
        <v>1</v>
      </c>
      <c r="X66">
        <v>3456.6</v>
      </c>
      <c r="Y66">
        <v>40936529.399999999</v>
      </c>
      <c r="Z66">
        <v>8604</v>
      </c>
      <c r="AA66">
        <v>2</v>
      </c>
      <c r="AB66">
        <v>61</v>
      </c>
      <c r="AD66">
        <f>Tabela5[[#This Row],[kan_params]]</f>
        <v>8475</v>
      </c>
      <c r="AE66">
        <f>Tabela5[[#This Row],[kan_train_acc]]</f>
        <v>0.68301886320114136</v>
      </c>
      <c r="AF66">
        <f>Tabela5[[#This Row],[kan_val_acc]]</f>
        <v>0.84444444179534917</v>
      </c>
      <c r="AG66">
        <f>Tabela5[[#This Row],[kan_test_acc]]</f>
        <v>0.69333335161209109</v>
      </c>
      <c r="AH66">
        <f>Tabela5[[#This Row],[mlp_test_acc]]</f>
        <v>0.9555555555555556</v>
      </c>
      <c r="AI66">
        <f>Tabela5[[#This Row],[mlp_val_acc]]</f>
        <v>0.95555555555555549</v>
      </c>
      <c r="AJ66">
        <f>Tabela5[[#This Row],[mlp_train_acc]]</f>
        <v>1</v>
      </c>
    </row>
    <row r="67" spans="1:36" hidden="1" x14ac:dyDescent="0.25">
      <c r="A67" t="s">
        <v>209</v>
      </c>
      <c r="B67">
        <v>16</v>
      </c>
      <c r="C67">
        <v>9</v>
      </c>
      <c r="D67">
        <v>3</v>
      </c>
      <c r="E67">
        <v>0</v>
      </c>
      <c r="F67" t="s">
        <v>227</v>
      </c>
      <c r="G67">
        <v>8475</v>
      </c>
      <c r="H67">
        <v>3144423.6</v>
      </c>
      <c r="I67">
        <v>10000</v>
      </c>
      <c r="J67">
        <v>0.93396226167678831</v>
      </c>
      <c r="K67">
        <v>1</v>
      </c>
      <c r="L67">
        <v>0.80888890027999882</v>
      </c>
      <c r="M67">
        <v>0.96000000000000008</v>
      </c>
      <c r="N67">
        <v>1</v>
      </c>
      <c r="O67">
        <v>0.90943396226415096</v>
      </c>
      <c r="P67">
        <v>835.8</v>
      </c>
      <c r="Q67">
        <v>9446989.4000000004</v>
      </c>
      <c r="R67">
        <v>8343</v>
      </c>
      <c r="S67">
        <v>2</v>
      </c>
      <c r="T67">
        <v>60</v>
      </c>
      <c r="U67">
        <v>0.98222222222222222</v>
      </c>
      <c r="V67">
        <v>1</v>
      </c>
      <c r="W67">
        <v>0.91698113207547172</v>
      </c>
      <c r="X67">
        <v>830.6</v>
      </c>
      <c r="Y67">
        <v>9975587.5999999996</v>
      </c>
      <c r="Z67">
        <v>8604</v>
      </c>
      <c r="AA67">
        <v>2</v>
      </c>
      <c r="AB67">
        <v>61</v>
      </c>
      <c r="AD67">
        <f>Tabela5[[#This Row],[kan_params]]</f>
        <v>8475</v>
      </c>
      <c r="AE67">
        <f>Tabela5[[#This Row],[kan_train_acc]]</f>
        <v>0.93396226167678831</v>
      </c>
      <c r="AF67">
        <f>Tabela5[[#This Row],[kan_val_acc]]</f>
        <v>1</v>
      </c>
      <c r="AG67">
        <f>Tabela5[[#This Row],[kan_test_acc]]</f>
        <v>0.80888890027999882</v>
      </c>
      <c r="AH67">
        <f>Tabela5[[#This Row],[mlp_test_acc]]</f>
        <v>0.96000000000000008</v>
      </c>
      <c r="AI67">
        <f>Tabela5[[#This Row],[mlp_val_acc]]</f>
        <v>1</v>
      </c>
      <c r="AJ67">
        <f>Tabela5[[#This Row],[mlp_train_acc]]</f>
        <v>0.90943396226415096</v>
      </c>
    </row>
    <row r="68" spans="1:36" hidden="1" x14ac:dyDescent="0.25">
      <c r="A68" t="s">
        <v>209</v>
      </c>
      <c r="B68">
        <v>20</v>
      </c>
      <c r="C68">
        <v>9</v>
      </c>
      <c r="D68">
        <v>5</v>
      </c>
      <c r="E68">
        <v>0</v>
      </c>
      <c r="F68" t="s">
        <v>223</v>
      </c>
      <c r="G68">
        <v>8534</v>
      </c>
      <c r="H68">
        <v>175420572.5</v>
      </c>
      <c r="I68">
        <v>1297.3</v>
      </c>
      <c r="J68">
        <v>0.44056603610515593</v>
      </c>
      <c r="K68">
        <v>0.84444444775581362</v>
      </c>
      <c r="L68">
        <v>0.43333334326744077</v>
      </c>
      <c r="M68">
        <v>0.92222222222222217</v>
      </c>
      <c r="N68">
        <v>0.98888888888888893</v>
      </c>
      <c r="O68">
        <v>0.96698113207547176</v>
      </c>
      <c r="P68">
        <v>2158.1</v>
      </c>
      <c r="Q68">
        <v>24597139</v>
      </c>
      <c r="R68">
        <v>8343</v>
      </c>
      <c r="S68">
        <v>2</v>
      </c>
      <c r="T68">
        <v>60</v>
      </c>
      <c r="U68">
        <v>0.91999999999999993</v>
      </c>
      <c r="V68">
        <v>0.98518518518518516</v>
      </c>
      <c r="W68">
        <v>0.97830188679245289</v>
      </c>
      <c r="X68">
        <v>2307.1999999999998</v>
      </c>
      <c r="Y68">
        <v>25890247.699999999</v>
      </c>
      <c r="Z68">
        <v>8604</v>
      </c>
      <c r="AA68">
        <v>2</v>
      </c>
      <c r="AB68">
        <v>61</v>
      </c>
      <c r="AD68">
        <f>Tabela5[[#This Row],[kan_params]]</f>
        <v>8534</v>
      </c>
      <c r="AE68">
        <f>Tabela5[[#This Row],[kan_train_acc]]</f>
        <v>0.44056603610515593</v>
      </c>
      <c r="AF68">
        <f>Tabela5[[#This Row],[kan_val_acc]]</f>
        <v>0.84444444775581362</v>
      </c>
      <c r="AG68">
        <f>Tabela5[[#This Row],[kan_test_acc]]</f>
        <v>0.43333334326744077</v>
      </c>
      <c r="AH68">
        <f>Tabela5[[#This Row],[mlp_test_acc]]</f>
        <v>0.92222222222222217</v>
      </c>
      <c r="AI68">
        <f>Tabela5[[#This Row],[mlp_val_acc]]</f>
        <v>0.98888888888888893</v>
      </c>
      <c r="AJ68">
        <f>Tabela5[[#This Row],[mlp_train_acc]]</f>
        <v>0.96698113207547176</v>
      </c>
    </row>
    <row r="69" spans="1:36" x14ac:dyDescent="0.25">
      <c r="A69" t="s">
        <v>209</v>
      </c>
      <c r="B69">
        <v>10</v>
      </c>
      <c r="C69">
        <v>3</v>
      </c>
      <c r="D69">
        <v>3</v>
      </c>
      <c r="E69">
        <v>0</v>
      </c>
      <c r="F69" t="s">
        <v>220</v>
      </c>
      <c r="G69">
        <v>8563</v>
      </c>
      <c r="H69">
        <v>121362005.59999999</v>
      </c>
      <c r="I69">
        <v>6566</v>
      </c>
      <c r="J69">
        <v>0.84716981053352358</v>
      </c>
      <c r="K69">
        <v>0.97777777910232544</v>
      </c>
      <c r="L69">
        <v>0.79111111760139463</v>
      </c>
      <c r="M69">
        <v>0.9244444444444444</v>
      </c>
      <c r="N69">
        <v>1</v>
      </c>
      <c r="O69">
        <v>1</v>
      </c>
      <c r="P69">
        <v>2601</v>
      </c>
      <c r="Q69">
        <v>31173309.199999999</v>
      </c>
      <c r="R69">
        <v>8343</v>
      </c>
      <c r="S69">
        <v>2</v>
      </c>
      <c r="T69">
        <v>60</v>
      </c>
      <c r="U69">
        <v>0.9244444444444444</v>
      </c>
      <c r="V69">
        <v>1</v>
      </c>
      <c r="W69">
        <v>0.99622641509433962</v>
      </c>
      <c r="X69">
        <v>3777.4</v>
      </c>
      <c r="Y69">
        <v>45319348.200000003</v>
      </c>
      <c r="Z69">
        <v>8604</v>
      </c>
      <c r="AA69">
        <v>2</v>
      </c>
      <c r="AB69">
        <v>61</v>
      </c>
      <c r="AD69">
        <f>Tabela5[[#This Row],[kan_params]]</f>
        <v>8563</v>
      </c>
      <c r="AE69">
        <f>Tabela5[[#This Row],[kan_train_acc]]</f>
        <v>0.84716981053352358</v>
      </c>
      <c r="AF69">
        <f>Tabela5[[#This Row],[kan_val_acc]]</f>
        <v>0.97777777910232544</v>
      </c>
      <c r="AG69">
        <f>Tabela5[[#This Row],[kan_test_acc]]</f>
        <v>0.79111111760139463</v>
      </c>
      <c r="AH69">
        <f>Tabela5[[#This Row],[mlp_test_acc]]</f>
        <v>0.9244444444444444</v>
      </c>
      <c r="AI69">
        <f>Tabela5[[#This Row],[mlp_val_acc]]</f>
        <v>1</v>
      </c>
      <c r="AJ69">
        <f>Tabela5[[#This Row],[mlp_train_acc]]</f>
        <v>1</v>
      </c>
    </row>
    <row r="70" spans="1:36" x14ac:dyDescent="0.25">
      <c r="A70" t="s">
        <v>209</v>
      </c>
      <c r="B70">
        <v>10</v>
      </c>
      <c r="C70">
        <v>3</v>
      </c>
      <c r="D70">
        <v>3</v>
      </c>
      <c r="E70">
        <v>0</v>
      </c>
      <c r="F70" t="s">
        <v>212</v>
      </c>
      <c r="G70">
        <v>8631</v>
      </c>
      <c r="H70">
        <v>194035315.59999999</v>
      </c>
      <c r="I70">
        <v>6768.2</v>
      </c>
      <c r="J70">
        <v>0.86603772640228271</v>
      </c>
      <c r="K70">
        <v>0.96296297311782841</v>
      </c>
      <c r="L70">
        <v>0.82222223281860352</v>
      </c>
      <c r="M70">
        <v>0.92888888888888888</v>
      </c>
      <c r="N70">
        <v>1</v>
      </c>
      <c r="O70">
        <v>1</v>
      </c>
      <c r="P70">
        <v>2572.4</v>
      </c>
      <c r="Q70">
        <v>30208798.800000001</v>
      </c>
      <c r="R70">
        <v>8604</v>
      </c>
      <c r="S70">
        <v>2</v>
      </c>
      <c r="T70">
        <v>61</v>
      </c>
      <c r="U70">
        <v>0.9244444444444444</v>
      </c>
      <c r="V70">
        <v>1</v>
      </c>
      <c r="W70">
        <v>0.99245283018867925</v>
      </c>
      <c r="X70">
        <v>3556.8</v>
      </c>
      <c r="Y70">
        <v>42547295.200000003</v>
      </c>
      <c r="Z70">
        <v>8869</v>
      </c>
      <c r="AA70">
        <v>2</v>
      </c>
      <c r="AB70">
        <v>62</v>
      </c>
      <c r="AD70">
        <f>Tabela5[[#This Row],[kan_params]]</f>
        <v>8631</v>
      </c>
      <c r="AE70">
        <f>Tabela5[[#This Row],[kan_train_acc]]</f>
        <v>0.86603772640228271</v>
      </c>
      <c r="AF70">
        <f>Tabela5[[#This Row],[kan_val_acc]]</f>
        <v>0.96296297311782841</v>
      </c>
      <c r="AG70">
        <f>Tabela5[[#This Row],[kan_test_acc]]</f>
        <v>0.82222223281860352</v>
      </c>
      <c r="AH70">
        <f>Tabela5[[#This Row],[mlp_test_acc]]</f>
        <v>0.92888888888888888</v>
      </c>
      <c r="AI70">
        <f>Tabela5[[#This Row],[mlp_val_acc]]</f>
        <v>1</v>
      </c>
      <c r="AJ70">
        <f>Tabela5[[#This Row],[mlp_train_acc]]</f>
        <v>1</v>
      </c>
    </row>
    <row r="71" spans="1:36" x14ac:dyDescent="0.25">
      <c r="A71" t="s">
        <v>209</v>
      </c>
      <c r="B71">
        <v>12</v>
      </c>
      <c r="C71">
        <v>3</v>
      </c>
      <c r="D71">
        <v>4</v>
      </c>
      <c r="E71">
        <v>0</v>
      </c>
      <c r="F71" t="s">
        <v>211</v>
      </c>
      <c r="G71">
        <v>8717</v>
      </c>
      <c r="H71">
        <v>317878520.80000001</v>
      </c>
      <c r="I71">
        <v>1827.2</v>
      </c>
      <c r="J71">
        <v>0.43018867969512942</v>
      </c>
      <c r="K71">
        <v>0.67407407760620119</v>
      </c>
      <c r="L71">
        <v>0.44444445371627805</v>
      </c>
      <c r="M71">
        <v>0.93333333333333335</v>
      </c>
      <c r="N71">
        <v>1</v>
      </c>
      <c r="O71">
        <v>1</v>
      </c>
      <c r="P71">
        <v>2856</v>
      </c>
      <c r="Q71">
        <v>34002582.799999997</v>
      </c>
      <c r="R71">
        <v>8604</v>
      </c>
      <c r="S71">
        <v>2</v>
      </c>
      <c r="T71">
        <v>61</v>
      </c>
      <c r="U71">
        <v>0.92888888888888888</v>
      </c>
      <c r="V71">
        <v>0.99259259259259258</v>
      </c>
      <c r="W71">
        <v>1</v>
      </c>
      <c r="X71">
        <v>3882</v>
      </c>
      <c r="Y71">
        <v>46576103.799999997</v>
      </c>
      <c r="Z71">
        <v>8869</v>
      </c>
      <c r="AA71">
        <v>2</v>
      </c>
      <c r="AB71">
        <v>62</v>
      </c>
      <c r="AD71">
        <f>Tabela5[[#This Row],[kan_params]]</f>
        <v>8717</v>
      </c>
      <c r="AE71">
        <f>Tabela5[[#This Row],[kan_train_acc]]</f>
        <v>0.43018867969512942</v>
      </c>
      <c r="AF71">
        <f>Tabela5[[#This Row],[kan_val_acc]]</f>
        <v>0.67407407760620119</v>
      </c>
      <c r="AG71">
        <f>Tabela5[[#This Row],[kan_test_acc]]</f>
        <v>0.44444445371627805</v>
      </c>
      <c r="AH71">
        <f>Tabela5[[#This Row],[mlp_test_acc]]</f>
        <v>0.93333333333333335</v>
      </c>
      <c r="AI71">
        <f>Tabela5[[#This Row],[mlp_val_acc]]</f>
        <v>1</v>
      </c>
      <c r="AJ71">
        <f>Tabela5[[#This Row],[mlp_train_acc]]</f>
        <v>1</v>
      </c>
    </row>
    <row r="72" spans="1:36" hidden="1" x14ac:dyDescent="0.25">
      <c r="A72" t="s">
        <v>209</v>
      </c>
      <c r="B72">
        <v>14</v>
      </c>
      <c r="C72">
        <v>9</v>
      </c>
      <c r="D72">
        <v>2</v>
      </c>
      <c r="E72">
        <v>0</v>
      </c>
      <c r="F72" t="s">
        <v>211</v>
      </c>
      <c r="G72">
        <v>8717</v>
      </c>
      <c r="H72">
        <v>9412218.8000000007</v>
      </c>
      <c r="I72">
        <v>10000</v>
      </c>
      <c r="J72">
        <v>0.93018869161605833</v>
      </c>
      <c r="K72">
        <v>1</v>
      </c>
      <c r="L72">
        <v>0.8622222304344177</v>
      </c>
      <c r="M72">
        <v>0.97333333333333338</v>
      </c>
      <c r="N72">
        <v>1</v>
      </c>
      <c r="O72">
        <v>0.91698113207547172</v>
      </c>
      <c r="P72">
        <v>841</v>
      </c>
      <c r="Q72">
        <v>10101128</v>
      </c>
      <c r="R72">
        <v>8604</v>
      </c>
      <c r="S72">
        <v>2</v>
      </c>
      <c r="T72">
        <v>61</v>
      </c>
      <c r="U72">
        <v>0.97333333333333338</v>
      </c>
      <c r="V72">
        <v>1</v>
      </c>
      <c r="W72">
        <v>0.9188679245283019</v>
      </c>
      <c r="X72">
        <v>882.4</v>
      </c>
      <c r="Y72">
        <v>10795376.6</v>
      </c>
      <c r="Z72">
        <v>8869</v>
      </c>
      <c r="AA72">
        <v>2</v>
      </c>
      <c r="AB72">
        <v>62</v>
      </c>
      <c r="AD72">
        <f>Tabela5[[#This Row],[kan_params]]</f>
        <v>8717</v>
      </c>
      <c r="AE72">
        <f>Tabela5[[#This Row],[kan_train_acc]]</f>
        <v>0.93018869161605833</v>
      </c>
      <c r="AF72">
        <f>Tabela5[[#This Row],[kan_val_acc]]</f>
        <v>1</v>
      </c>
      <c r="AG72">
        <f>Tabela5[[#This Row],[kan_test_acc]]</f>
        <v>0.8622222304344177</v>
      </c>
      <c r="AH72">
        <f>Tabela5[[#This Row],[mlp_test_acc]]</f>
        <v>0.97333333333333338</v>
      </c>
      <c r="AI72">
        <f>Tabela5[[#This Row],[mlp_val_acc]]</f>
        <v>1</v>
      </c>
      <c r="AJ72">
        <f>Tabela5[[#This Row],[mlp_train_acc]]</f>
        <v>0.91698113207547172</v>
      </c>
    </row>
    <row r="73" spans="1:36" hidden="1" x14ac:dyDescent="0.25">
      <c r="A73" t="s">
        <v>209</v>
      </c>
      <c r="B73">
        <v>10</v>
      </c>
      <c r="C73">
        <v>5</v>
      </c>
      <c r="D73">
        <v>2</v>
      </c>
      <c r="E73">
        <v>0</v>
      </c>
      <c r="F73" t="s">
        <v>218</v>
      </c>
      <c r="G73">
        <v>8753</v>
      </c>
      <c r="H73">
        <v>479374976.60000002</v>
      </c>
      <c r="I73">
        <v>2938.8</v>
      </c>
      <c r="J73">
        <v>1</v>
      </c>
      <c r="K73">
        <v>0.94814815521240237</v>
      </c>
      <c r="L73">
        <v>0.93777778148651125</v>
      </c>
      <c r="M73">
        <v>0.97777777777777775</v>
      </c>
      <c r="N73">
        <v>0.94814814814814807</v>
      </c>
      <c r="O73">
        <v>0.98867924528301887</v>
      </c>
      <c r="P73">
        <v>2899.6</v>
      </c>
      <c r="Q73">
        <v>34605685.200000003</v>
      </c>
      <c r="R73">
        <v>8604</v>
      </c>
      <c r="S73">
        <v>2</v>
      </c>
      <c r="T73">
        <v>61</v>
      </c>
      <c r="U73">
        <v>0.97777777777777775</v>
      </c>
      <c r="V73">
        <v>0.94074074074074077</v>
      </c>
      <c r="W73">
        <v>0.98867924528301887</v>
      </c>
      <c r="X73">
        <v>2977.6</v>
      </c>
      <c r="Y73">
        <v>35126402</v>
      </c>
      <c r="Z73">
        <v>8869</v>
      </c>
      <c r="AA73">
        <v>2</v>
      </c>
      <c r="AB73">
        <v>62</v>
      </c>
      <c r="AD73">
        <f>Tabela5[[#This Row],[kan_params]]</f>
        <v>8753</v>
      </c>
      <c r="AE73">
        <f>Tabela5[[#This Row],[kan_train_acc]]</f>
        <v>1</v>
      </c>
      <c r="AF73">
        <f>Tabela5[[#This Row],[kan_val_acc]]</f>
        <v>0.94814815521240237</v>
      </c>
      <c r="AG73">
        <f>Tabela5[[#This Row],[kan_test_acc]]</f>
        <v>0.93777778148651125</v>
      </c>
      <c r="AH73">
        <f>Tabela5[[#This Row],[mlp_test_acc]]</f>
        <v>0.97777777777777775</v>
      </c>
      <c r="AI73">
        <f>Tabela5[[#This Row],[mlp_val_acc]]</f>
        <v>0.94814814814814807</v>
      </c>
      <c r="AJ73">
        <f>Tabela5[[#This Row],[mlp_train_acc]]</f>
        <v>0.98867924528301887</v>
      </c>
    </row>
    <row r="74" spans="1:36" hidden="1" x14ac:dyDescent="0.25">
      <c r="A74" t="s">
        <v>209</v>
      </c>
      <c r="B74">
        <v>10</v>
      </c>
      <c r="C74">
        <v>5</v>
      </c>
      <c r="D74">
        <v>2</v>
      </c>
      <c r="E74">
        <v>0</v>
      </c>
      <c r="F74" t="s">
        <v>224</v>
      </c>
      <c r="G74">
        <v>8812</v>
      </c>
      <c r="H74">
        <v>442136469.80000001</v>
      </c>
      <c r="I74">
        <v>4692.8</v>
      </c>
      <c r="J74">
        <v>0.9943396210670471</v>
      </c>
      <c r="K74">
        <v>0.97037038803100584</v>
      </c>
      <c r="L74">
        <v>0.94222222566604619</v>
      </c>
      <c r="M74">
        <v>0.97777777777777775</v>
      </c>
      <c r="N74">
        <v>0.94074074074074077</v>
      </c>
      <c r="O74">
        <v>0.99245283018867925</v>
      </c>
      <c r="P74">
        <v>3220.2</v>
      </c>
      <c r="Q74">
        <v>37892581.399999999</v>
      </c>
      <c r="R74">
        <v>8604</v>
      </c>
      <c r="S74">
        <v>2</v>
      </c>
      <c r="T74">
        <v>61</v>
      </c>
      <c r="U74">
        <v>0.97777777777777775</v>
      </c>
      <c r="V74">
        <v>0.95555555555555549</v>
      </c>
      <c r="W74">
        <v>0.98301886792452831</v>
      </c>
      <c r="X74">
        <v>2629.2</v>
      </c>
      <c r="Y74">
        <v>32000230.399999999</v>
      </c>
      <c r="Z74">
        <v>8869</v>
      </c>
      <c r="AA74">
        <v>2</v>
      </c>
      <c r="AB74">
        <v>62</v>
      </c>
      <c r="AD74">
        <f>Tabela5[[#This Row],[kan_params]]</f>
        <v>8812</v>
      </c>
      <c r="AE74">
        <f>Tabela5[[#This Row],[kan_train_acc]]</f>
        <v>0.9943396210670471</v>
      </c>
      <c r="AF74">
        <f>Tabela5[[#This Row],[kan_val_acc]]</f>
        <v>0.97037038803100584</v>
      </c>
      <c r="AG74">
        <f>Tabela5[[#This Row],[kan_test_acc]]</f>
        <v>0.94222222566604619</v>
      </c>
      <c r="AH74">
        <f>Tabela5[[#This Row],[mlp_test_acc]]</f>
        <v>0.97777777777777775</v>
      </c>
      <c r="AI74">
        <f>Tabela5[[#This Row],[mlp_val_acc]]</f>
        <v>0.94074074074074077</v>
      </c>
      <c r="AJ74">
        <f>Tabela5[[#This Row],[mlp_train_acc]]</f>
        <v>0.99245283018867925</v>
      </c>
    </row>
    <row r="75" spans="1:36" x14ac:dyDescent="0.25">
      <c r="A75" t="s">
        <v>209</v>
      </c>
      <c r="B75">
        <v>8</v>
      </c>
      <c r="C75">
        <v>3</v>
      </c>
      <c r="D75">
        <v>2</v>
      </c>
      <c r="E75">
        <v>0</v>
      </c>
      <c r="F75" t="s">
        <v>219</v>
      </c>
      <c r="G75">
        <v>8896</v>
      </c>
      <c r="H75">
        <v>153314310</v>
      </c>
      <c r="I75">
        <v>4131.833333333333</v>
      </c>
      <c r="J75">
        <v>0.9858490526676178</v>
      </c>
      <c r="K75">
        <v>0.97530865669250488</v>
      </c>
      <c r="L75">
        <v>0.90740741292635596</v>
      </c>
      <c r="M75">
        <v>0.92592592592592593</v>
      </c>
      <c r="N75">
        <v>0.92592592592592593</v>
      </c>
      <c r="O75">
        <v>0.99056603773584906</v>
      </c>
      <c r="P75">
        <v>7999.666666666667</v>
      </c>
      <c r="Q75">
        <v>113281436.66666667</v>
      </c>
      <c r="R75">
        <v>8869</v>
      </c>
      <c r="S75">
        <v>2</v>
      </c>
      <c r="T75">
        <v>62</v>
      </c>
      <c r="U75">
        <v>0.92592592592592593</v>
      </c>
      <c r="V75">
        <v>0.9320987654320988</v>
      </c>
      <c r="W75">
        <v>0.99056603773584906</v>
      </c>
      <c r="X75">
        <v>7518</v>
      </c>
      <c r="Y75">
        <v>107381806.33333333</v>
      </c>
      <c r="Z75">
        <v>9138</v>
      </c>
      <c r="AA75">
        <v>2</v>
      </c>
      <c r="AB75">
        <v>63</v>
      </c>
      <c r="AD75">
        <f>Tabela5[[#This Row],[kan_params]]</f>
        <v>8896</v>
      </c>
      <c r="AE75">
        <f>Tabela5[[#This Row],[kan_train_acc]]</f>
        <v>0.9858490526676178</v>
      </c>
      <c r="AF75">
        <f>Tabela5[[#This Row],[kan_val_acc]]</f>
        <v>0.97530865669250488</v>
      </c>
      <c r="AG75">
        <f>Tabela5[[#This Row],[kan_test_acc]]</f>
        <v>0.90740741292635596</v>
      </c>
      <c r="AH75">
        <f>Tabela5[[#This Row],[mlp_test_acc]]</f>
        <v>0.92592592592592593</v>
      </c>
      <c r="AI75">
        <f>Tabela5[[#This Row],[mlp_val_acc]]</f>
        <v>0.92592592592592593</v>
      </c>
      <c r="AJ75">
        <f>Tabela5[[#This Row],[mlp_train_acc]]</f>
        <v>0.99056603773584906</v>
      </c>
    </row>
    <row r="76" spans="1:36" hidden="1" x14ac:dyDescent="0.25">
      <c r="A76" t="s">
        <v>209</v>
      </c>
      <c r="B76">
        <v>14</v>
      </c>
      <c r="C76">
        <v>5</v>
      </c>
      <c r="D76">
        <v>4</v>
      </c>
      <c r="E76">
        <v>0</v>
      </c>
      <c r="F76" t="s">
        <v>214</v>
      </c>
      <c r="G76">
        <v>9040</v>
      </c>
      <c r="H76">
        <v>201468485.40000001</v>
      </c>
      <c r="I76">
        <v>1315</v>
      </c>
      <c r="J76">
        <v>0.48301886618137357</v>
      </c>
      <c r="K76">
        <v>0.69629629850387575</v>
      </c>
      <c r="L76">
        <v>0.4844444513320923</v>
      </c>
      <c r="M76">
        <v>0.92888888888888888</v>
      </c>
      <c r="N76">
        <v>0.96296296296296291</v>
      </c>
      <c r="O76">
        <v>0.98679245283018868</v>
      </c>
      <c r="P76">
        <v>3478.8</v>
      </c>
      <c r="Q76">
        <v>30710871.199999999</v>
      </c>
      <c r="R76">
        <v>8869</v>
      </c>
      <c r="S76">
        <v>2</v>
      </c>
      <c r="T76">
        <v>62</v>
      </c>
      <c r="U76">
        <v>0.92</v>
      </c>
      <c r="V76">
        <v>0.96296296296296291</v>
      </c>
      <c r="W76">
        <v>0.99245283018867925</v>
      </c>
      <c r="X76">
        <v>6751.8</v>
      </c>
      <c r="Y76">
        <v>59945860.399999999</v>
      </c>
      <c r="Z76">
        <v>9138</v>
      </c>
      <c r="AA76">
        <v>2</v>
      </c>
      <c r="AB76">
        <v>63</v>
      </c>
      <c r="AD76">
        <f>Tabela5[[#This Row],[kan_params]]</f>
        <v>9040</v>
      </c>
      <c r="AE76">
        <f>Tabela5[[#This Row],[kan_train_acc]]</f>
        <v>0.48301886618137357</v>
      </c>
      <c r="AF76">
        <f>Tabela5[[#This Row],[kan_val_acc]]</f>
        <v>0.69629629850387575</v>
      </c>
      <c r="AG76">
        <f>Tabela5[[#This Row],[kan_test_acc]]</f>
        <v>0.4844444513320923</v>
      </c>
      <c r="AH76">
        <f>Tabela5[[#This Row],[mlp_test_acc]]</f>
        <v>0.92888888888888888</v>
      </c>
      <c r="AI76">
        <f>Tabela5[[#This Row],[mlp_val_acc]]</f>
        <v>0.96296296296296291</v>
      </c>
      <c r="AJ76">
        <f>Tabela5[[#This Row],[mlp_train_acc]]</f>
        <v>0.98679245283018868</v>
      </c>
    </row>
    <row r="77" spans="1:36" hidden="1" x14ac:dyDescent="0.25">
      <c r="A77" t="s">
        <v>209</v>
      </c>
      <c r="B77">
        <v>16</v>
      </c>
      <c r="C77">
        <v>5</v>
      </c>
      <c r="D77">
        <v>5</v>
      </c>
      <c r="E77">
        <v>0</v>
      </c>
      <c r="F77" t="s">
        <v>210</v>
      </c>
      <c r="G77">
        <v>9077</v>
      </c>
      <c r="H77">
        <v>193122186.40000001</v>
      </c>
      <c r="I77">
        <v>1200.4000000000001</v>
      </c>
      <c r="J77">
        <v>0.40754717588424683</v>
      </c>
      <c r="K77">
        <v>0.62962963581085207</v>
      </c>
      <c r="L77">
        <v>0.40888890624046326</v>
      </c>
      <c r="M77">
        <v>0.92888888888888888</v>
      </c>
      <c r="N77">
        <v>0.96296296296296291</v>
      </c>
      <c r="O77">
        <v>0.98679245283018868</v>
      </c>
      <c r="P77">
        <v>3482.4</v>
      </c>
      <c r="Q77">
        <v>31260434</v>
      </c>
      <c r="R77">
        <v>8869</v>
      </c>
      <c r="S77">
        <v>2</v>
      </c>
      <c r="T77">
        <v>62</v>
      </c>
      <c r="U77">
        <v>0.93333333333333335</v>
      </c>
      <c r="V77">
        <v>0.96296296296296291</v>
      </c>
      <c r="W77">
        <v>0.98113207547169812</v>
      </c>
      <c r="X77">
        <v>1811.2</v>
      </c>
      <c r="Y77">
        <v>16302542.6</v>
      </c>
      <c r="Z77">
        <v>9138</v>
      </c>
      <c r="AA77">
        <v>2</v>
      </c>
      <c r="AB77">
        <v>63</v>
      </c>
      <c r="AD77">
        <f>Tabela5[[#This Row],[kan_params]]</f>
        <v>9077</v>
      </c>
      <c r="AE77">
        <f>Tabela5[[#This Row],[kan_train_acc]]</f>
        <v>0.40754717588424683</v>
      </c>
      <c r="AF77">
        <f>Tabela5[[#This Row],[kan_val_acc]]</f>
        <v>0.62962963581085207</v>
      </c>
      <c r="AG77">
        <f>Tabela5[[#This Row],[kan_test_acc]]</f>
        <v>0.40888890624046326</v>
      </c>
      <c r="AH77">
        <f>Tabela5[[#This Row],[mlp_test_acc]]</f>
        <v>0.92888888888888888</v>
      </c>
      <c r="AI77">
        <f>Tabela5[[#This Row],[mlp_val_acc]]</f>
        <v>0.96296296296296291</v>
      </c>
      <c r="AJ77">
        <f>Tabela5[[#This Row],[mlp_train_acc]]</f>
        <v>0.98679245283018868</v>
      </c>
    </row>
    <row r="78" spans="1:36" x14ac:dyDescent="0.25">
      <c r="A78" t="s">
        <v>209</v>
      </c>
      <c r="B78">
        <v>12</v>
      </c>
      <c r="C78">
        <v>3</v>
      </c>
      <c r="D78">
        <v>4</v>
      </c>
      <c r="E78">
        <v>0</v>
      </c>
      <c r="F78" t="s">
        <v>217</v>
      </c>
      <c r="G78">
        <v>9172</v>
      </c>
      <c r="H78">
        <v>253638051.59999999</v>
      </c>
      <c r="I78">
        <v>1523.4</v>
      </c>
      <c r="J78">
        <v>0.49811320304870604</v>
      </c>
      <c r="K78">
        <v>0.66666667461395268</v>
      </c>
      <c r="L78">
        <v>0.40444445610046387</v>
      </c>
      <c r="M78">
        <v>0.93333333333333335</v>
      </c>
      <c r="N78">
        <v>0.92592592592592593</v>
      </c>
      <c r="O78">
        <v>1</v>
      </c>
      <c r="P78">
        <v>10000</v>
      </c>
      <c r="Q78">
        <v>106955649.40000001</v>
      </c>
      <c r="R78">
        <v>9138</v>
      </c>
      <c r="S78">
        <v>2</v>
      </c>
      <c r="T78">
        <v>63</v>
      </c>
      <c r="U78">
        <v>0.93777777777777782</v>
      </c>
      <c r="V78">
        <v>0.93333333333333335</v>
      </c>
      <c r="W78">
        <v>1</v>
      </c>
      <c r="X78">
        <v>9739.6</v>
      </c>
      <c r="Y78">
        <v>103577837.8</v>
      </c>
      <c r="Z78">
        <v>9411</v>
      </c>
      <c r="AA78">
        <v>2</v>
      </c>
      <c r="AB78">
        <v>64</v>
      </c>
      <c r="AD78">
        <f>Tabela5[[#This Row],[kan_params]]</f>
        <v>9172</v>
      </c>
      <c r="AE78">
        <f>Tabela5[[#This Row],[kan_train_acc]]</f>
        <v>0.49811320304870604</v>
      </c>
      <c r="AF78">
        <f>Tabela5[[#This Row],[kan_val_acc]]</f>
        <v>0.66666667461395268</v>
      </c>
      <c r="AG78">
        <f>Tabela5[[#This Row],[kan_test_acc]]</f>
        <v>0.40444445610046387</v>
      </c>
      <c r="AH78">
        <f>Tabela5[[#This Row],[mlp_test_acc]]</f>
        <v>0.93333333333333335</v>
      </c>
      <c r="AI78">
        <f>Tabela5[[#This Row],[mlp_val_acc]]</f>
        <v>0.92592592592592593</v>
      </c>
      <c r="AJ78">
        <f>Tabela5[[#This Row],[mlp_train_acc]]</f>
        <v>1</v>
      </c>
    </row>
    <row r="79" spans="1:36" hidden="1" x14ac:dyDescent="0.25">
      <c r="A79" t="s">
        <v>209</v>
      </c>
      <c r="B79">
        <v>14</v>
      </c>
      <c r="C79">
        <v>9</v>
      </c>
      <c r="D79">
        <v>2</v>
      </c>
      <c r="E79">
        <v>0</v>
      </c>
      <c r="F79" t="s">
        <v>217</v>
      </c>
      <c r="G79">
        <v>9172</v>
      </c>
      <c r="H79">
        <v>45901550.399999999</v>
      </c>
      <c r="I79">
        <v>8239.7999999999993</v>
      </c>
      <c r="J79">
        <v>0.9264150857925415</v>
      </c>
      <c r="K79">
        <v>0.99259259700775149</v>
      </c>
      <c r="L79">
        <v>0.82222223281860352</v>
      </c>
      <c r="M79">
        <v>0.97333333333333327</v>
      </c>
      <c r="N79">
        <v>1</v>
      </c>
      <c r="O79">
        <v>0.91509433962264153</v>
      </c>
      <c r="P79">
        <v>767</v>
      </c>
      <c r="Q79">
        <v>8992336.5999999996</v>
      </c>
      <c r="R79">
        <v>9138</v>
      </c>
      <c r="S79">
        <v>2</v>
      </c>
      <c r="T79">
        <v>63</v>
      </c>
      <c r="U79">
        <v>0.98222222222222222</v>
      </c>
      <c r="V79">
        <v>1</v>
      </c>
      <c r="W79">
        <v>0.91320754716981134</v>
      </c>
      <c r="X79">
        <v>828</v>
      </c>
      <c r="Y79">
        <v>9612193.8000000007</v>
      </c>
      <c r="Z79">
        <v>9411</v>
      </c>
      <c r="AA79">
        <v>2</v>
      </c>
      <c r="AB79">
        <v>64</v>
      </c>
      <c r="AD79">
        <f>Tabela5[[#This Row],[kan_params]]</f>
        <v>9172</v>
      </c>
      <c r="AE79">
        <f>Tabela5[[#This Row],[kan_train_acc]]</f>
        <v>0.9264150857925415</v>
      </c>
      <c r="AF79">
        <f>Tabela5[[#This Row],[kan_val_acc]]</f>
        <v>0.99259259700775149</v>
      </c>
      <c r="AG79">
        <f>Tabela5[[#This Row],[kan_test_acc]]</f>
        <v>0.82222223281860352</v>
      </c>
      <c r="AH79">
        <f>Tabela5[[#This Row],[mlp_test_acc]]</f>
        <v>0.97333333333333327</v>
      </c>
      <c r="AI79">
        <f>Tabela5[[#This Row],[mlp_val_acc]]</f>
        <v>1</v>
      </c>
      <c r="AJ79">
        <f>Tabela5[[#This Row],[mlp_train_acc]]</f>
        <v>0.91509433962264153</v>
      </c>
    </row>
    <row r="80" spans="1:36" hidden="1" x14ac:dyDescent="0.25">
      <c r="A80" t="s">
        <v>209</v>
      </c>
      <c r="B80">
        <v>10</v>
      </c>
      <c r="C80">
        <v>5</v>
      </c>
      <c r="D80">
        <v>2</v>
      </c>
      <c r="E80">
        <v>0</v>
      </c>
      <c r="F80" t="s">
        <v>216</v>
      </c>
      <c r="G80">
        <v>9176</v>
      </c>
      <c r="H80">
        <v>112263470</v>
      </c>
      <c r="I80">
        <v>4668.6000000000004</v>
      </c>
      <c r="J80">
        <v>0.96981132030487061</v>
      </c>
      <c r="K80">
        <v>0.97777779102325435</v>
      </c>
      <c r="L80">
        <v>0.94222222566604619</v>
      </c>
      <c r="M80">
        <v>0.97777777777777775</v>
      </c>
      <c r="N80">
        <v>0.94074074074074077</v>
      </c>
      <c r="O80">
        <v>0.98867924528301887</v>
      </c>
      <c r="P80">
        <v>2931.4</v>
      </c>
      <c r="Q80">
        <v>33845695.600000001</v>
      </c>
      <c r="R80">
        <v>9138</v>
      </c>
      <c r="S80">
        <v>2</v>
      </c>
      <c r="T80">
        <v>63</v>
      </c>
      <c r="U80">
        <v>0.97777777777777775</v>
      </c>
      <c r="V80">
        <v>0.94074074074074077</v>
      </c>
      <c r="W80">
        <v>0.98867924528301887</v>
      </c>
      <c r="X80">
        <v>2842</v>
      </c>
      <c r="Y80">
        <v>33067086.800000001</v>
      </c>
      <c r="Z80">
        <v>9411</v>
      </c>
      <c r="AA80">
        <v>2</v>
      </c>
      <c r="AB80">
        <v>64</v>
      </c>
      <c r="AD80">
        <f>Tabela5[[#This Row],[kan_params]]</f>
        <v>9176</v>
      </c>
      <c r="AE80">
        <f>Tabela5[[#This Row],[kan_train_acc]]</f>
        <v>0.96981132030487061</v>
      </c>
      <c r="AF80">
        <f>Tabela5[[#This Row],[kan_val_acc]]</f>
        <v>0.97777779102325435</v>
      </c>
      <c r="AG80">
        <f>Tabela5[[#This Row],[kan_test_acc]]</f>
        <v>0.94222222566604619</v>
      </c>
      <c r="AH80">
        <f>Tabela5[[#This Row],[mlp_test_acc]]</f>
        <v>0.97777777777777775</v>
      </c>
      <c r="AI80">
        <f>Tabela5[[#This Row],[mlp_val_acc]]</f>
        <v>0.94074074074074077</v>
      </c>
      <c r="AJ80">
        <f>Tabela5[[#This Row],[mlp_train_acc]]</f>
        <v>0.98867924528301887</v>
      </c>
    </row>
    <row r="81" spans="1:36" x14ac:dyDescent="0.25">
      <c r="A81" t="s">
        <v>209</v>
      </c>
      <c r="B81">
        <v>8</v>
      </c>
      <c r="C81">
        <v>3</v>
      </c>
      <c r="D81">
        <v>2</v>
      </c>
      <c r="E81">
        <v>0</v>
      </c>
      <c r="F81" t="s">
        <v>225</v>
      </c>
      <c r="G81">
        <v>9207</v>
      </c>
      <c r="H81">
        <v>22757800.199999999</v>
      </c>
      <c r="I81">
        <v>10000</v>
      </c>
      <c r="J81">
        <v>0.9622641444206238</v>
      </c>
      <c r="K81">
        <v>1</v>
      </c>
      <c r="L81">
        <v>0.89777778387069707</v>
      </c>
      <c r="M81">
        <v>0.93333333333333335</v>
      </c>
      <c r="N81">
        <v>1</v>
      </c>
      <c r="O81">
        <v>1</v>
      </c>
      <c r="P81">
        <v>2693.8</v>
      </c>
      <c r="Q81">
        <v>33809806.200000003</v>
      </c>
      <c r="R81">
        <v>9138</v>
      </c>
      <c r="S81">
        <v>2</v>
      </c>
      <c r="T81">
        <v>63</v>
      </c>
      <c r="U81">
        <v>0.9244444444444444</v>
      </c>
      <c r="V81">
        <v>1</v>
      </c>
      <c r="W81">
        <v>1</v>
      </c>
      <c r="X81">
        <v>2465.8000000000002</v>
      </c>
      <c r="Y81">
        <v>29407909.800000001</v>
      </c>
      <c r="Z81">
        <v>9411</v>
      </c>
      <c r="AA81">
        <v>2</v>
      </c>
      <c r="AB81">
        <v>64</v>
      </c>
      <c r="AD81">
        <f>Tabela5[[#This Row],[kan_params]]</f>
        <v>9207</v>
      </c>
      <c r="AE81">
        <f>Tabela5[[#This Row],[kan_train_acc]]</f>
        <v>0.9622641444206238</v>
      </c>
      <c r="AF81">
        <f>Tabela5[[#This Row],[kan_val_acc]]</f>
        <v>1</v>
      </c>
      <c r="AG81">
        <f>Tabela5[[#This Row],[kan_test_acc]]</f>
        <v>0.89777778387069707</v>
      </c>
      <c r="AH81">
        <f>Tabela5[[#This Row],[mlp_test_acc]]</f>
        <v>0.93333333333333335</v>
      </c>
      <c r="AI81">
        <f>Tabela5[[#This Row],[mlp_val_acc]]</f>
        <v>1</v>
      </c>
      <c r="AJ81">
        <f>Tabela5[[#This Row],[mlp_train_acc]]</f>
        <v>1</v>
      </c>
    </row>
    <row r="82" spans="1:36" hidden="1" x14ac:dyDescent="0.25">
      <c r="A82" t="s">
        <v>209</v>
      </c>
      <c r="B82">
        <v>16</v>
      </c>
      <c r="C82">
        <v>5</v>
      </c>
      <c r="D82">
        <v>5</v>
      </c>
      <c r="E82">
        <v>0</v>
      </c>
      <c r="F82" t="s">
        <v>227</v>
      </c>
      <c r="G82">
        <v>9243</v>
      </c>
      <c r="H82">
        <v>201547965.59999999</v>
      </c>
      <c r="I82">
        <v>1682.8</v>
      </c>
      <c r="J82">
        <v>0.65283018350601196</v>
      </c>
      <c r="K82">
        <v>0.84444444179534917</v>
      </c>
      <c r="L82">
        <v>0.62222223281860356</v>
      </c>
      <c r="M82">
        <v>0.92888888888888888</v>
      </c>
      <c r="N82">
        <v>0.96296296296296291</v>
      </c>
      <c r="O82">
        <v>0.98679245283018868</v>
      </c>
      <c r="P82">
        <v>3486.6</v>
      </c>
      <c r="Q82">
        <v>31099169</v>
      </c>
      <c r="R82">
        <v>9138</v>
      </c>
      <c r="S82">
        <v>2</v>
      </c>
      <c r="T82">
        <v>63</v>
      </c>
      <c r="U82">
        <v>0.93333333333333335</v>
      </c>
      <c r="V82">
        <v>0.96296296296296291</v>
      </c>
      <c r="W82">
        <v>0.98113207547169812</v>
      </c>
      <c r="X82">
        <v>1862.4</v>
      </c>
      <c r="Y82">
        <v>17061348.800000001</v>
      </c>
      <c r="Z82">
        <v>9411</v>
      </c>
      <c r="AA82">
        <v>2</v>
      </c>
      <c r="AB82">
        <v>64</v>
      </c>
      <c r="AD82">
        <f>Tabela5[[#This Row],[kan_params]]</f>
        <v>9243</v>
      </c>
      <c r="AE82">
        <f>Tabela5[[#This Row],[kan_train_acc]]</f>
        <v>0.65283018350601196</v>
      </c>
      <c r="AF82">
        <f>Tabela5[[#This Row],[kan_val_acc]]</f>
        <v>0.84444444179534917</v>
      </c>
      <c r="AG82">
        <f>Tabela5[[#This Row],[kan_test_acc]]</f>
        <v>0.62222223281860356</v>
      </c>
      <c r="AH82">
        <f>Tabela5[[#This Row],[mlp_test_acc]]</f>
        <v>0.92888888888888888</v>
      </c>
      <c r="AI82">
        <f>Tabela5[[#This Row],[mlp_val_acc]]</f>
        <v>0.96296296296296291</v>
      </c>
      <c r="AJ82">
        <f>Tabela5[[#This Row],[mlp_train_acc]]</f>
        <v>0.98679245283018868</v>
      </c>
    </row>
    <row r="83" spans="1:36" x14ac:dyDescent="0.25">
      <c r="A83" t="s">
        <v>209</v>
      </c>
      <c r="B83">
        <v>10</v>
      </c>
      <c r="C83">
        <v>3</v>
      </c>
      <c r="D83">
        <v>3</v>
      </c>
      <c r="E83">
        <v>0</v>
      </c>
      <c r="F83" t="s">
        <v>218</v>
      </c>
      <c r="G83">
        <v>9334</v>
      </c>
      <c r="H83">
        <v>439769140.60000002</v>
      </c>
      <c r="I83">
        <v>8345.7999999999993</v>
      </c>
      <c r="J83">
        <v>0.91132075786590572</v>
      </c>
      <c r="K83">
        <v>0.97777777910232544</v>
      </c>
      <c r="L83">
        <v>0.84444445371627808</v>
      </c>
      <c r="M83">
        <v>0.93333333333333335</v>
      </c>
      <c r="N83">
        <v>1</v>
      </c>
      <c r="O83">
        <v>1</v>
      </c>
      <c r="P83">
        <v>2407</v>
      </c>
      <c r="Q83">
        <v>28648470.600000001</v>
      </c>
      <c r="R83">
        <v>9138</v>
      </c>
      <c r="S83">
        <v>2</v>
      </c>
      <c r="T83">
        <v>63</v>
      </c>
      <c r="U83">
        <v>0.92888888888888888</v>
      </c>
      <c r="V83">
        <v>1</v>
      </c>
      <c r="W83">
        <v>1</v>
      </c>
      <c r="X83">
        <v>2608.6</v>
      </c>
      <c r="Y83">
        <v>30358244</v>
      </c>
      <c r="Z83">
        <v>9411</v>
      </c>
      <c r="AA83">
        <v>2</v>
      </c>
      <c r="AB83">
        <v>64</v>
      </c>
      <c r="AD83">
        <f>Tabela5[[#This Row],[kan_params]]</f>
        <v>9334</v>
      </c>
      <c r="AE83">
        <f>Tabela5[[#This Row],[kan_train_acc]]</f>
        <v>0.91132075786590572</v>
      </c>
      <c r="AF83">
        <f>Tabela5[[#This Row],[kan_val_acc]]</f>
        <v>0.97777777910232544</v>
      </c>
      <c r="AG83">
        <f>Tabela5[[#This Row],[kan_test_acc]]</f>
        <v>0.84444445371627808</v>
      </c>
      <c r="AH83">
        <f>Tabela5[[#This Row],[mlp_test_acc]]</f>
        <v>0.93333333333333335</v>
      </c>
      <c r="AI83">
        <f>Tabela5[[#This Row],[mlp_val_acc]]</f>
        <v>1</v>
      </c>
      <c r="AJ83">
        <f>Tabela5[[#This Row],[mlp_train_acc]]</f>
        <v>1</v>
      </c>
    </row>
    <row r="84" spans="1:36" x14ac:dyDescent="0.25">
      <c r="A84" t="s">
        <v>209</v>
      </c>
      <c r="B84">
        <v>10</v>
      </c>
      <c r="C84">
        <v>3</v>
      </c>
      <c r="D84">
        <v>3</v>
      </c>
      <c r="E84">
        <v>0</v>
      </c>
      <c r="F84" t="s">
        <v>224</v>
      </c>
      <c r="G84">
        <v>9397</v>
      </c>
      <c r="H84">
        <v>77653771.200000003</v>
      </c>
      <c r="I84">
        <v>8248.4</v>
      </c>
      <c r="J84">
        <v>0.93396227359771733</v>
      </c>
      <c r="K84">
        <v>0.99259259700775149</v>
      </c>
      <c r="L84">
        <v>0.89777778387069707</v>
      </c>
      <c r="M84">
        <v>0.9244444444444444</v>
      </c>
      <c r="N84">
        <v>1</v>
      </c>
      <c r="O84">
        <v>1</v>
      </c>
      <c r="P84">
        <v>2524.4</v>
      </c>
      <c r="Q84">
        <v>30715527.800000001</v>
      </c>
      <c r="R84">
        <v>9138</v>
      </c>
      <c r="S84">
        <v>2</v>
      </c>
      <c r="T84">
        <v>63</v>
      </c>
      <c r="U84">
        <v>0.9244444444444444</v>
      </c>
      <c r="V84">
        <v>1</v>
      </c>
      <c r="W84">
        <v>1</v>
      </c>
      <c r="X84">
        <v>2644.6</v>
      </c>
      <c r="Y84">
        <v>30856900.399999999</v>
      </c>
      <c r="Z84">
        <v>9411</v>
      </c>
      <c r="AA84">
        <v>2</v>
      </c>
      <c r="AB84">
        <v>64</v>
      </c>
      <c r="AD84">
        <f>Tabela5[[#This Row],[kan_params]]</f>
        <v>9397</v>
      </c>
      <c r="AE84">
        <f>Tabela5[[#This Row],[kan_train_acc]]</f>
        <v>0.93396227359771733</v>
      </c>
      <c r="AF84">
        <f>Tabela5[[#This Row],[kan_val_acc]]</f>
        <v>0.99259259700775149</v>
      </c>
      <c r="AG84">
        <f>Tabela5[[#This Row],[kan_test_acc]]</f>
        <v>0.89777778387069707</v>
      </c>
      <c r="AH84">
        <f>Tabela5[[#This Row],[mlp_test_acc]]</f>
        <v>0.9244444444444444</v>
      </c>
      <c r="AI84">
        <f>Tabela5[[#This Row],[mlp_val_acc]]</f>
        <v>1</v>
      </c>
      <c r="AJ84">
        <f>Tabela5[[#This Row],[mlp_train_acc]]</f>
        <v>1</v>
      </c>
    </row>
    <row r="85" spans="1:36" hidden="1" x14ac:dyDescent="0.25">
      <c r="A85" t="s">
        <v>209</v>
      </c>
      <c r="B85">
        <v>18</v>
      </c>
      <c r="C85">
        <v>9</v>
      </c>
      <c r="D85">
        <v>4</v>
      </c>
      <c r="E85">
        <v>0</v>
      </c>
      <c r="F85" t="s">
        <v>210</v>
      </c>
      <c r="G85">
        <v>9454</v>
      </c>
      <c r="H85">
        <v>215891961.19999999</v>
      </c>
      <c r="I85">
        <v>1185.2</v>
      </c>
      <c r="J85">
        <v>0.33962264060974123</v>
      </c>
      <c r="K85">
        <v>0.71851851940155032</v>
      </c>
      <c r="L85">
        <v>0.30222222805023191</v>
      </c>
      <c r="M85">
        <v>0.97777777777777775</v>
      </c>
      <c r="N85">
        <v>1</v>
      </c>
      <c r="O85">
        <v>0.92075471698113209</v>
      </c>
      <c r="P85">
        <v>886.4</v>
      </c>
      <c r="Q85">
        <v>10523512.800000001</v>
      </c>
      <c r="R85">
        <v>9411</v>
      </c>
      <c r="S85">
        <v>2</v>
      </c>
      <c r="T85">
        <v>64</v>
      </c>
      <c r="U85">
        <v>0.97777777777777775</v>
      </c>
      <c r="V85">
        <v>1</v>
      </c>
      <c r="W85">
        <v>0.91509433962264153</v>
      </c>
      <c r="X85">
        <v>774</v>
      </c>
      <c r="Y85">
        <v>8740483</v>
      </c>
      <c r="Z85">
        <v>9688</v>
      </c>
      <c r="AA85">
        <v>2</v>
      </c>
      <c r="AB85">
        <v>65</v>
      </c>
      <c r="AD85">
        <f>Tabela5[[#This Row],[kan_params]]</f>
        <v>9454</v>
      </c>
      <c r="AE85">
        <f>Tabela5[[#This Row],[kan_train_acc]]</f>
        <v>0.33962264060974123</v>
      </c>
      <c r="AF85">
        <f>Tabela5[[#This Row],[kan_val_acc]]</f>
        <v>0.71851851940155032</v>
      </c>
      <c r="AG85">
        <f>Tabela5[[#This Row],[kan_test_acc]]</f>
        <v>0.30222222805023191</v>
      </c>
      <c r="AH85">
        <f>Tabela5[[#This Row],[mlp_test_acc]]</f>
        <v>0.97777777777777775</v>
      </c>
      <c r="AI85">
        <f>Tabela5[[#This Row],[mlp_val_acc]]</f>
        <v>1</v>
      </c>
      <c r="AJ85">
        <f>Tabela5[[#This Row],[mlp_train_acc]]</f>
        <v>0.92075471698113209</v>
      </c>
    </row>
    <row r="86" spans="1:36" x14ac:dyDescent="0.25">
      <c r="A86" t="s">
        <v>209</v>
      </c>
      <c r="B86">
        <v>14</v>
      </c>
      <c r="C86">
        <v>3</v>
      </c>
      <c r="D86">
        <v>5</v>
      </c>
      <c r="E86">
        <v>0</v>
      </c>
      <c r="F86" t="s">
        <v>214</v>
      </c>
      <c r="G86">
        <v>9469</v>
      </c>
      <c r="H86">
        <v>206650655.80000001</v>
      </c>
      <c r="I86">
        <v>1043.2</v>
      </c>
      <c r="J86">
        <v>0.43962264060974121</v>
      </c>
      <c r="K86">
        <v>0.65925924777984624</v>
      </c>
      <c r="L86">
        <v>0.42222223281860349</v>
      </c>
      <c r="M86">
        <v>0.94222222222222229</v>
      </c>
      <c r="N86">
        <v>0.93333333333333335</v>
      </c>
      <c r="O86">
        <v>1</v>
      </c>
      <c r="P86">
        <v>3773.2</v>
      </c>
      <c r="Q86">
        <v>46263485.200000003</v>
      </c>
      <c r="R86">
        <v>9411</v>
      </c>
      <c r="S86">
        <v>2</v>
      </c>
      <c r="T86">
        <v>64</v>
      </c>
      <c r="U86">
        <v>0.9555555555555556</v>
      </c>
      <c r="V86">
        <v>0.96296296296296291</v>
      </c>
      <c r="W86">
        <v>1</v>
      </c>
      <c r="X86">
        <v>2956.4</v>
      </c>
      <c r="Y86">
        <v>36919998.200000003</v>
      </c>
      <c r="Z86">
        <v>9688</v>
      </c>
      <c r="AA86">
        <v>2</v>
      </c>
      <c r="AB86">
        <v>65</v>
      </c>
      <c r="AD86">
        <f>Tabela5[[#This Row],[kan_params]]</f>
        <v>9469</v>
      </c>
      <c r="AE86">
        <f>Tabela5[[#This Row],[kan_train_acc]]</f>
        <v>0.43962264060974121</v>
      </c>
      <c r="AF86">
        <f>Tabela5[[#This Row],[kan_val_acc]]</f>
        <v>0.65925924777984624</v>
      </c>
      <c r="AG86">
        <f>Tabela5[[#This Row],[kan_test_acc]]</f>
        <v>0.42222223281860349</v>
      </c>
      <c r="AH86">
        <f>Tabela5[[#This Row],[mlp_test_acc]]</f>
        <v>0.94222222222222229</v>
      </c>
      <c r="AI86">
        <f>Tabela5[[#This Row],[mlp_val_acc]]</f>
        <v>0.93333333333333335</v>
      </c>
      <c r="AJ86">
        <f>Tabela5[[#This Row],[mlp_train_acc]]</f>
        <v>1</v>
      </c>
    </row>
    <row r="87" spans="1:36" hidden="1" x14ac:dyDescent="0.25">
      <c r="A87" t="s">
        <v>209</v>
      </c>
      <c r="B87">
        <v>16</v>
      </c>
      <c r="C87">
        <v>9</v>
      </c>
      <c r="D87">
        <v>3</v>
      </c>
      <c r="E87">
        <v>0</v>
      </c>
      <c r="F87" t="s">
        <v>214</v>
      </c>
      <c r="G87">
        <v>9469</v>
      </c>
      <c r="H87">
        <v>21286471.800000001</v>
      </c>
      <c r="I87">
        <v>10000</v>
      </c>
      <c r="J87">
        <v>0.90943394899368291</v>
      </c>
      <c r="K87">
        <v>1</v>
      </c>
      <c r="L87">
        <v>0.83111112117767338</v>
      </c>
      <c r="M87">
        <v>0.97333333333333338</v>
      </c>
      <c r="N87">
        <v>1</v>
      </c>
      <c r="O87">
        <v>0.91698113207547172</v>
      </c>
      <c r="P87">
        <v>876.2</v>
      </c>
      <c r="Q87">
        <v>10529785</v>
      </c>
      <c r="R87">
        <v>9411</v>
      </c>
      <c r="S87">
        <v>2</v>
      </c>
      <c r="T87">
        <v>64</v>
      </c>
      <c r="U87">
        <v>0.98222222222222222</v>
      </c>
      <c r="V87">
        <v>1</v>
      </c>
      <c r="W87">
        <v>0.91509433962264153</v>
      </c>
      <c r="X87">
        <v>832.6</v>
      </c>
      <c r="Y87">
        <v>9927033.8000000007</v>
      </c>
      <c r="Z87">
        <v>9688</v>
      </c>
      <c r="AA87">
        <v>2</v>
      </c>
      <c r="AB87">
        <v>65</v>
      </c>
      <c r="AD87">
        <f>Tabela5[[#This Row],[kan_params]]</f>
        <v>9469</v>
      </c>
      <c r="AE87">
        <f>Tabela5[[#This Row],[kan_train_acc]]</f>
        <v>0.90943394899368291</v>
      </c>
      <c r="AF87">
        <f>Tabela5[[#This Row],[kan_val_acc]]</f>
        <v>1</v>
      </c>
      <c r="AG87">
        <f>Tabela5[[#This Row],[kan_test_acc]]</f>
        <v>0.83111112117767338</v>
      </c>
      <c r="AH87">
        <f>Tabela5[[#This Row],[mlp_test_acc]]</f>
        <v>0.97333333333333338</v>
      </c>
      <c r="AI87">
        <f>Tabela5[[#This Row],[mlp_val_acc]]</f>
        <v>1</v>
      </c>
      <c r="AJ87">
        <f>Tabela5[[#This Row],[mlp_train_acc]]</f>
        <v>0.91698113207547172</v>
      </c>
    </row>
    <row r="88" spans="1:36" hidden="1" x14ac:dyDescent="0.25">
      <c r="A88" t="s">
        <v>209</v>
      </c>
      <c r="B88">
        <v>18</v>
      </c>
      <c r="C88">
        <v>9</v>
      </c>
      <c r="D88">
        <v>4</v>
      </c>
      <c r="E88">
        <v>0</v>
      </c>
      <c r="F88" t="s">
        <v>227</v>
      </c>
      <c r="G88">
        <v>9627</v>
      </c>
      <c r="H88">
        <v>9867295</v>
      </c>
      <c r="I88">
        <v>10000</v>
      </c>
      <c r="J88">
        <v>0.89245282411575322</v>
      </c>
      <c r="K88">
        <v>1</v>
      </c>
      <c r="L88">
        <v>0.77333334684371946</v>
      </c>
      <c r="M88">
        <v>0.99555555555555553</v>
      </c>
      <c r="N88">
        <v>1</v>
      </c>
      <c r="O88">
        <v>0.9188679245283019</v>
      </c>
      <c r="P88">
        <v>883.2</v>
      </c>
      <c r="Q88">
        <v>10356450.199999999</v>
      </c>
      <c r="R88">
        <v>9411</v>
      </c>
      <c r="S88">
        <v>2</v>
      </c>
      <c r="T88">
        <v>64</v>
      </c>
      <c r="U88">
        <v>0.97333333333333327</v>
      </c>
      <c r="V88">
        <v>1</v>
      </c>
      <c r="W88">
        <v>0.91698113207547172</v>
      </c>
      <c r="X88">
        <v>822</v>
      </c>
      <c r="Y88">
        <v>9636620.5999999996</v>
      </c>
      <c r="Z88">
        <v>9688</v>
      </c>
      <c r="AA88">
        <v>2</v>
      </c>
      <c r="AB88">
        <v>65</v>
      </c>
      <c r="AD88">
        <f>Tabela5[[#This Row],[kan_params]]</f>
        <v>9627</v>
      </c>
      <c r="AE88">
        <f>Tabela5[[#This Row],[kan_train_acc]]</f>
        <v>0.89245282411575322</v>
      </c>
      <c r="AF88">
        <f>Tabela5[[#This Row],[kan_val_acc]]</f>
        <v>1</v>
      </c>
      <c r="AG88">
        <f>Tabela5[[#This Row],[kan_test_acc]]</f>
        <v>0.77333334684371946</v>
      </c>
      <c r="AH88">
        <f>Tabela5[[#This Row],[mlp_test_acc]]</f>
        <v>0.99555555555555553</v>
      </c>
      <c r="AI88">
        <f>Tabela5[[#This Row],[mlp_val_acc]]</f>
        <v>1</v>
      </c>
      <c r="AJ88">
        <f>Tabela5[[#This Row],[mlp_train_acc]]</f>
        <v>0.9188679245283019</v>
      </c>
    </row>
    <row r="89" spans="1:36" hidden="1" x14ac:dyDescent="0.25">
      <c r="A89" t="s">
        <v>209</v>
      </c>
      <c r="B89">
        <v>10</v>
      </c>
      <c r="C89">
        <v>5</v>
      </c>
      <c r="D89">
        <v>2</v>
      </c>
      <c r="E89">
        <v>0</v>
      </c>
      <c r="F89" t="s">
        <v>221</v>
      </c>
      <c r="G89">
        <v>9685</v>
      </c>
      <c r="H89">
        <v>499443203.39999998</v>
      </c>
      <c r="I89">
        <v>2926.2</v>
      </c>
      <c r="J89">
        <v>1</v>
      </c>
      <c r="K89">
        <v>0.96296298503875732</v>
      </c>
      <c r="L89">
        <v>0.92888889312744138</v>
      </c>
      <c r="M89">
        <v>0.97777777777777775</v>
      </c>
      <c r="N89">
        <v>0.94814814814814807</v>
      </c>
      <c r="O89">
        <v>0.98301886792452831</v>
      </c>
      <c r="P89">
        <v>2434</v>
      </c>
      <c r="Q89">
        <v>29041030.399999999</v>
      </c>
      <c r="R89">
        <v>9411</v>
      </c>
      <c r="S89">
        <v>2</v>
      </c>
      <c r="T89">
        <v>64</v>
      </c>
      <c r="U89">
        <v>0.97777777777777775</v>
      </c>
      <c r="V89">
        <v>0.93333333333333335</v>
      </c>
      <c r="W89">
        <v>0.99433962264150944</v>
      </c>
      <c r="X89">
        <v>3112.2</v>
      </c>
      <c r="Y89">
        <v>38775676.200000003</v>
      </c>
      <c r="Z89">
        <v>9688</v>
      </c>
      <c r="AA89">
        <v>2</v>
      </c>
      <c r="AB89">
        <v>65</v>
      </c>
      <c r="AD89">
        <f>Tabela5[[#This Row],[kan_params]]</f>
        <v>9685</v>
      </c>
      <c r="AE89">
        <f>Tabela5[[#This Row],[kan_train_acc]]</f>
        <v>1</v>
      </c>
      <c r="AF89">
        <f>Tabela5[[#This Row],[kan_val_acc]]</f>
        <v>0.96296298503875732</v>
      </c>
      <c r="AG89">
        <f>Tabela5[[#This Row],[kan_test_acc]]</f>
        <v>0.92888889312744138</v>
      </c>
      <c r="AH89">
        <f>Tabela5[[#This Row],[mlp_test_acc]]</f>
        <v>0.97777777777777775</v>
      </c>
      <c r="AI89">
        <f>Tabela5[[#This Row],[mlp_val_acc]]</f>
        <v>0.94814814814814807</v>
      </c>
      <c r="AJ89">
        <f>Tabela5[[#This Row],[mlp_train_acc]]</f>
        <v>0.98301886792452831</v>
      </c>
    </row>
    <row r="90" spans="1:36" x14ac:dyDescent="0.25">
      <c r="A90" t="s">
        <v>209</v>
      </c>
      <c r="B90">
        <v>10</v>
      </c>
      <c r="C90">
        <v>3</v>
      </c>
      <c r="D90">
        <v>3</v>
      </c>
      <c r="E90">
        <v>0</v>
      </c>
      <c r="F90" t="s">
        <v>216</v>
      </c>
      <c r="G90">
        <v>9785</v>
      </c>
      <c r="H90">
        <v>378804581.60000002</v>
      </c>
      <c r="I90">
        <v>10000</v>
      </c>
      <c r="J90">
        <v>0.96603775024414063</v>
      </c>
      <c r="K90">
        <v>0.99259259700775149</v>
      </c>
      <c r="L90">
        <v>0.92888889312744138</v>
      </c>
      <c r="M90">
        <v>0.93333333333333335</v>
      </c>
      <c r="N90">
        <v>0.99259259259259258</v>
      </c>
      <c r="O90">
        <v>1</v>
      </c>
      <c r="P90">
        <v>3983.4</v>
      </c>
      <c r="Q90">
        <v>47183686.799999997</v>
      </c>
      <c r="R90">
        <v>9688</v>
      </c>
      <c r="S90">
        <v>2</v>
      </c>
      <c r="T90">
        <v>65</v>
      </c>
      <c r="U90">
        <v>0.92888888888888888</v>
      </c>
      <c r="V90">
        <v>1</v>
      </c>
      <c r="W90">
        <v>1</v>
      </c>
      <c r="X90">
        <v>2295.4</v>
      </c>
      <c r="Y90">
        <v>26932761</v>
      </c>
      <c r="Z90">
        <v>9969</v>
      </c>
      <c r="AA90">
        <v>2</v>
      </c>
      <c r="AB90">
        <v>66</v>
      </c>
      <c r="AD90">
        <f>Tabela5[[#This Row],[kan_params]]</f>
        <v>9785</v>
      </c>
      <c r="AE90">
        <f>Tabela5[[#This Row],[kan_train_acc]]</f>
        <v>0.96603775024414063</v>
      </c>
      <c r="AF90">
        <f>Tabela5[[#This Row],[kan_val_acc]]</f>
        <v>0.99259259700775149</v>
      </c>
      <c r="AG90">
        <f>Tabela5[[#This Row],[kan_test_acc]]</f>
        <v>0.92888889312744138</v>
      </c>
      <c r="AH90">
        <f>Tabela5[[#This Row],[mlp_test_acc]]</f>
        <v>0.93333333333333335</v>
      </c>
      <c r="AI90">
        <f>Tabela5[[#This Row],[mlp_val_acc]]</f>
        <v>0.99259259259259258</v>
      </c>
      <c r="AJ90">
        <f>Tabela5[[#This Row],[mlp_train_acc]]</f>
        <v>1</v>
      </c>
    </row>
    <row r="91" spans="1:36" x14ac:dyDescent="0.25">
      <c r="A91" t="s">
        <v>209</v>
      </c>
      <c r="B91">
        <v>8</v>
      </c>
      <c r="C91">
        <v>3</v>
      </c>
      <c r="D91">
        <v>2</v>
      </c>
      <c r="E91">
        <v>0</v>
      </c>
      <c r="F91" t="s">
        <v>222</v>
      </c>
      <c r="G91">
        <v>9834</v>
      </c>
      <c r="H91">
        <v>700296660.79999995</v>
      </c>
      <c r="I91">
        <v>10000</v>
      </c>
      <c r="J91">
        <v>0.9679245233535767</v>
      </c>
      <c r="K91">
        <v>0.98518519401550297</v>
      </c>
      <c r="L91">
        <v>0.91555556058883669</v>
      </c>
      <c r="M91">
        <v>0.93333333333333335</v>
      </c>
      <c r="N91">
        <v>1</v>
      </c>
      <c r="O91">
        <v>1</v>
      </c>
      <c r="P91">
        <v>2593</v>
      </c>
      <c r="Q91">
        <v>30650742.399999999</v>
      </c>
      <c r="R91">
        <v>9688</v>
      </c>
      <c r="S91">
        <v>2</v>
      </c>
      <c r="T91">
        <v>65</v>
      </c>
      <c r="U91">
        <v>0.93333333333333335</v>
      </c>
      <c r="V91">
        <v>1</v>
      </c>
      <c r="W91">
        <v>1</v>
      </c>
      <c r="X91">
        <v>2427.6</v>
      </c>
      <c r="Y91">
        <v>29344305.199999999</v>
      </c>
      <c r="Z91">
        <v>9969</v>
      </c>
      <c r="AA91">
        <v>2</v>
      </c>
      <c r="AB91">
        <v>66</v>
      </c>
      <c r="AD91">
        <f>Tabela5[[#This Row],[kan_params]]</f>
        <v>9834</v>
      </c>
      <c r="AE91">
        <f>Tabela5[[#This Row],[kan_train_acc]]</f>
        <v>0.9679245233535767</v>
      </c>
      <c r="AF91">
        <f>Tabela5[[#This Row],[kan_val_acc]]</f>
        <v>0.98518519401550297</v>
      </c>
      <c r="AG91">
        <f>Tabela5[[#This Row],[kan_test_acc]]</f>
        <v>0.91555556058883669</v>
      </c>
      <c r="AH91">
        <f>Tabela5[[#This Row],[mlp_test_acc]]</f>
        <v>0.93333333333333335</v>
      </c>
      <c r="AI91">
        <f>Tabela5[[#This Row],[mlp_val_acc]]</f>
        <v>1</v>
      </c>
      <c r="AJ91">
        <f>Tabela5[[#This Row],[mlp_train_acc]]</f>
        <v>1</v>
      </c>
    </row>
    <row r="92" spans="1:36" x14ac:dyDescent="0.25">
      <c r="A92" t="s">
        <v>209</v>
      </c>
      <c r="B92">
        <v>12</v>
      </c>
      <c r="C92">
        <v>3</v>
      </c>
      <c r="D92">
        <v>4</v>
      </c>
      <c r="E92">
        <v>0</v>
      </c>
      <c r="F92" t="s">
        <v>215</v>
      </c>
      <c r="G92">
        <v>9897</v>
      </c>
      <c r="H92">
        <v>228569847.19999999</v>
      </c>
      <c r="I92">
        <v>1308.4000000000001</v>
      </c>
      <c r="J92">
        <v>0.4603773534297943</v>
      </c>
      <c r="K92">
        <v>0.74074074029922488</v>
      </c>
      <c r="L92">
        <v>0.40444444864988327</v>
      </c>
      <c r="M92">
        <v>0.93333333333333335</v>
      </c>
      <c r="N92">
        <v>0.98518518518518516</v>
      </c>
      <c r="O92">
        <v>1</v>
      </c>
      <c r="P92">
        <v>3940.4</v>
      </c>
      <c r="Q92">
        <v>39590467.399999999</v>
      </c>
      <c r="R92">
        <v>9688</v>
      </c>
      <c r="S92">
        <v>2</v>
      </c>
      <c r="T92">
        <v>65</v>
      </c>
      <c r="U92">
        <v>0.9244444444444444</v>
      </c>
      <c r="V92">
        <v>0.98518518518518516</v>
      </c>
      <c r="W92">
        <v>1</v>
      </c>
      <c r="X92">
        <v>3819.4</v>
      </c>
      <c r="Y92">
        <v>38127901</v>
      </c>
      <c r="Z92">
        <v>9969</v>
      </c>
      <c r="AA92">
        <v>2</v>
      </c>
      <c r="AB92">
        <v>66</v>
      </c>
      <c r="AD92">
        <f>Tabela5[[#This Row],[kan_params]]</f>
        <v>9897</v>
      </c>
      <c r="AE92">
        <f>Tabela5[[#This Row],[kan_train_acc]]</f>
        <v>0.4603773534297943</v>
      </c>
      <c r="AF92">
        <f>Tabela5[[#This Row],[kan_val_acc]]</f>
        <v>0.74074074029922488</v>
      </c>
      <c r="AG92">
        <f>Tabela5[[#This Row],[kan_test_acc]]</f>
        <v>0.40444444864988327</v>
      </c>
      <c r="AH92">
        <f>Tabela5[[#This Row],[mlp_test_acc]]</f>
        <v>0.93333333333333335</v>
      </c>
      <c r="AI92">
        <f>Tabela5[[#This Row],[mlp_val_acc]]</f>
        <v>0.98518518518518516</v>
      </c>
      <c r="AJ92">
        <f>Tabela5[[#This Row],[mlp_train_acc]]</f>
        <v>1</v>
      </c>
    </row>
    <row r="93" spans="1:36" hidden="1" x14ac:dyDescent="0.25">
      <c r="A93" t="s">
        <v>209</v>
      </c>
      <c r="B93">
        <v>14</v>
      </c>
      <c r="C93">
        <v>9</v>
      </c>
      <c r="D93">
        <v>2</v>
      </c>
      <c r="E93">
        <v>0</v>
      </c>
      <c r="F93" t="s">
        <v>215</v>
      </c>
      <c r="G93">
        <v>9897</v>
      </c>
      <c r="H93">
        <v>340115916</v>
      </c>
      <c r="I93">
        <v>10000</v>
      </c>
      <c r="J93">
        <v>0.94905660152435301</v>
      </c>
      <c r="K93">
        <v>0.99259259700775149</v>
      </c>
      <c r="L93">
        <v>0.88444445133209226</v>
      </c>
      <c r="M93">
        <v>0.96888888888888891</v>
      </c>
      <c r="N93">
        <v>1</v>
      </c>
      <c r="O93">
        <v>0.91320754716981134</v>
      </c>
      <c r="P93">
        <v>780.8</v>
      </c>
      <c r="Q93">
        <v>9984892</v>
      </c>
      <c r="R93">
        <v>9688</v>
      </c>
      <c r="S93">
        <v>2</v>
      </c>
      <c r="T93">
        <v>65</v>
      </c>
      <c r="U93">
        <v>0.97777777777777775</v>
      </c>
      <c r="V93">
        <v>1</v>
      </c>
      <c r="W93">
        <v>0.91509433962264153</v>
      </c>
      <c r="X93">
        <v>820.6</v>
      </c>
      <c r="Y93">
        <v>9937840.8000000007</v>
      </c>
      <c r="Z93">
        <v>9969</v>
      </c>
      <c r="AA93">
        <v>2</v>
      </c>
      <c r="AB93">
        <v>66</v>
      </c>
      <c r="AD93">
        <f>Tabela5[[#This Row],[kan_params]]</f>
        <v>9897</v>
      </c>
      <c r="AE93">
        <f>Tabela5[[#This Row],[kan_train_acc]]</f>
        <v>0.94905660152435301</v>
      </c>
      <c r="AF93">
        <f>Tabela5[[#This Row],[kan_val_acc]]</f>
        <v>0.99259259700775149</v>
      </c>
      <c r="AG93">
        <f>Tabela5[[#This Row],[kan_test_acc]]</f>
        <v>0.88444445133209226</v>
      </c>
      <c r="AH93">
        <f>Tabela5[[#This Row],[mlp_test_acc]]</f>
        <v>0.96888888888888891</v>
      </c>
      <c r="AI93">
        <f>Tabela5[[#This Row],[mlp_val_acc]]</f>
        <v>1</v>
      </c>
      <c r="AJ93">
        <f>Tabela5[[#This Row],[mlp_train_acc]]</f>
        <v>0.91320754716981134</v>
      </c>
    </row>
    <row r="94" spans="1:36" x14ac:dyDescent="0.25">
      <c r="A94" t="s">
        <v>209</v>
      </c>
      <c r="B94">
        <v>14</v>
      </c>
      <c r="C94">
        <v>3</v>
      </c>
      <c r="D94">
        <v>5</v>
      </c>
      <c r="E94">
        <v>0</v>
      </c>
      <c r="F94" t="s">
        <v>211</v>
      </c>
      <c r="G94">
        <v>10088</v>
      </c>
      <c r="H94">
        <v>311614294.39999998</v>
      </c>
      <c r="I94">
        <v>1563.2</v>
      </c>
      <c r="J94">
        <v>0.38679245114326477</v>
      </c>
      <c r="K94">
        <v>0.65185185670852663</v>
      </c>
      <c r="L94">
        <v>0.37777778506278992</v>
      </c>
      <c r="M94">
        <v>0.9555555555555556</v>
      </c>
      <c r="N94">
        <v>0.96296296296296291</v>
      </c>
      <c r="O94">
        <v>1</v>
      </c>
      <c r="P94">
        <v>2840.4</v>
      </c>
      <c r="Q94">
        <v>33784810.600000001</v>
      </c>
      <c r="R94">
        <v>9969</v>
      </c>
      <c r="S94">
        <v>2</v>
      </c>
      <c r="T94">
        <v>66</v>
      </c>
      <c r="U94">
        <v>0.9555555555555556</v>
      </c>
      <c r="V94">
        <v>0.94814814814814807</v>
      </c>
      <c r="W94">
        <v>1</v>
      </c>
      <c r="X94">
        <v>3408</v>
      </c>
      <c r="Y94">
        <v>41245474.399999999</v>
      </c>
      <c r="Z94">
        <v>10254</v>
      </c>
      <c r="AA94">
        <v>2</v>
      </c>
      <c r="AB94">
        <v>67</v>
      </c>
      <c r="AD94">
        <f>Tabela5[[#This Row],[kan_params]]</f>
        <v>10088</v>
      </c>
      <c r="AE94">
        <f>Tabela5[[#This Row],[kan_train_acc]]</f>
        <v>0.38679245114326477</v>
      </c>
      <c r="AF94">
        <f>Tabela5[[#This Row],[kan_val_acc]]</f>
        <v>0.65185185670852663</v>
      </c>
      <c r="AG94">
        <f>Tabela5[[#This Row],[kan_test_acc]]</f>
        <v>0.37777778506278992</v>
      </c>
      <c r="AH94">
        <f>Tabela5[[#This Row],[mlp_test_acc]]</f>
        <v>0.9555555555555556</v>
      </c>
      <c r="AI94">
        <f>Tabela5[[#This Row],[mlp_val_acc]]</f>
        <v>0.96296296296296291</v>
      </c>
      <c r="AJ94">
        <f>Tabela5[[#This Row],[mlp_train_acc]]</f>
        <v>1</v>
      </c>
    </row>
    <row r="95" spans="1:36" hidden="1" x14ac:dyDescent="0.25">
      <c r="A95" t="s">
        <v>209</v>
      </c>
      <c r="B95">
        <v>16</v>
      </c>
      <c r="C95">
        <v>9</v>
      </c>
      <c r="D95">
        <v>3</v>
      </c>
      <c r="E95">
        <v>0</v>
      </c>
      <c r="F95" t="s">
        <v>211</v>
      </c>
      <c r="G95">
        <v>10088</v>
      </c>
      <c r="H95">
        <v>8165248.4000000004</v>
      </c>
      <c r="I95">
        <v>10000</v>
      </c>
      <c r="J95">
        <v>0.92075473070144653</v>
      </c>
      <c r="K95">
        <v>1</v>
      </c>
      <c r="L95">
        <v>0.85333334207534794</v>
      </c>
      <c r="M95">
        <v>0.97777777777777775</v>
      </c>
      <c r="N95">
        <v>1</v>
      </c>
      <c r="O95">
        <v>0.92075471698113209</v>
      </c>
      <c r="P95">
        <v>860</v>
      </c>
      <c r="Q95">
        <v>9888713.8000000007</v>
      </c>
      <c r="R95">
        <v>9969</v>
      </c>
      <c r="S95">
        <v>2</v>
      </c>
      <c r="T95">
        <v>66</v>
      </c>
      <c r="U95">
        <v>0.97777777777777775</v>
      </c>
      <c r="V95">
        <v>1</v>
      </c>
      <c r="W95">
        <v>0.91320754716981134</v>
      </c>
      <c r="X95">
        <v>818.2</v>
      </c>
      <c r="Y95">
        <v>9348135.8000000007</v>
      </c>
      <c r="Z95">
        <v>10254</v>
      </c>
      <c r="AA95">
        <v>2</v>
      </c>
      <c r="AB95">
        <v>67</v>
      </c>
      <c r="AD95">
        <f>Tabela5[[#This Row],[kan_params]]</f>
        <v>10088</v>
      </c>
      <c r="AE95">
        <f>Tabela5[[#This Row],[kan_train_acc]]</f>
        <v>0.92075473070144653</v>
      </c>
      <c r="AF95">
        <f>Tabela5[[#This Row],[kan_val_acc]]</f>
        <v>1</v>
      </c>
      <c r="AG95">
        <f>Tabela5[[#This Row],[kan_test_acc]]</f>
        <v>0.85333334207534794</v>
      </c>
      <c r="AH95">
        <f>Tabela5[[#This Row],[mlp_test_acc]]</f>
        <v>0.97777777777777775</v>
      </c>
      <c r="AI95">
        <f>Tabela5[[#This Row],[mlp_val_acc]]</f>
        <v>1</v>
      </c>
      <c r="AJ95">
        <f>Tabela5[[#This Row],[mlp_train_acc]]</f>
        <v>0.92075471698113209</v>
      </c>
    </row>
    <row r="96" spans="1:36" hidden="1" x14ac:dyDescent="0.25">
      <c r="A96" t="s">
        <v>209</v>
      </c>
      <c r="B96">
        <v>14</v>
      </c>
      <c r="C96">
        <v>5</v>
      </c>
      <c r="D96">
        <v>4</v>
      </c>
      <c r="E96">
        <v>0</v>
      </c>
      <c r="F96" t="s">
        <v>217</v>
      </c>
      <c r="G96">
        <v>10134</v>
      </c>
      <c r="H96">
        <v>180124735</v>
      </c>
      <c r="I96">
        <v>1143.5999999999999</v>
      </c>
      <c r="J96">
        <v>0.44150943458080294</v>
      </c>
      <c r="K96">
        <v>0.72592593431472774</v>
      </c>
      <c r="L96">
        <v>0.36000000536441801</v>
      </c>
      <c r="M96">
        <v>0.93333333333333335</v>
      </c>
      <c r="N96">
        <v>0.96296296296296291</v>
      </c>
      <c r="O96">
        <v>0.98113207547169812</v>
      </c>
      <c r="P96">
        <v>1877.6</v>
      </c>
      <c r="Q96">
        <v>17040552.600000001</v>
      </c>
      <c r="R96">
        <v>9969</v>
      </c>
      <c r="S96">
        <v>2</v>
      </c>
      <c r="T96">
        <v>66</v>
      </c>
      <c r="U96">
        <v>0.92888888888888888</v>
      </c>
      <c r="V96">
        <v>0.96296296296296291</v>
      </c>
      <c r="W96">
        <v>0.98490566037735849</v>
      </c>
      <c r="X96">
        <v>3414.2</v>
      </c>
      <c r="Y96">
        <v>31073242.600000001</v>
      </c>
      <c r="Z96">
        <v>10254</v>
      </c>
      <c r="AA96">
        <v>2</v>
      </c>
      <c r="AB96">
        <v>67</v>
      </c>
      <c r="AD96">
        <f>Tabela5[[#This Row],[kan_params]]</f>
        <v>10134</v>
      </c>
      <c r="AE96">
        <f>Tabela5[[#This Row],[kan_train_acc]]</f>
        <v>0.44150943458080294</v>
      </c>
      <c r="AF96">
        <f>Tabela5[[#This Row],[kan_val_acc]]</f>
        <v>0.72592593431472774</v>
      </c>
      <c r="AG96">
        <f>Tabela5[[#This Row],[kan_test_acc]]</f>
        <v>0.36000000536441801</v>
      </c>
      <c r="AH96">
        <f>Tabela5[[#This Row],[mlp_test_acc]]</f>
        <v>0.93333333333333335</v>
      </c>
      <c r="AI96">
        <f>Tabela5[[#This Row],[mlp_val_acc]]</f>
        <v>0.96296296296296291</v>
      </c>
      <c r="AJ96">
        <f>Tabela5[[#This Row],[mlp_train_acc]]</f>
        <v>0.98113207547169812</v>
      </c>
    </row>
    <row r="97" spans="1:36" x14ac:dyDescent="0.25">
      <c r="A97" t="s">
        <v>209</v>
      </c>
      <c r="B97">
        <v>12</v>
      </c>
      <c r="C97">
        <v>3</v>
      </c>
      <c r="D97">
        <v>4</v>
      </c>
      <c r="E97">
        <v>0</v>
      </c>
      <c r="F97" t="s">
        <v>220</v>
      </c>
      <c r="G97">
        <v>10162</v>
      </c>
      <c r="H97">
        <v>212138069.40000001</v>
      </c>
      <c r="I97">
        <v>1218</v>
      </c>
      <c r="J97">
        <v>0.47169811725616456</v>
      </c>
      <c r="K97">
        <v>0.65925925970077515</v>
      </c>
      <c r="L97">
        <v>0.43111112713813782</v>
      </c>
      <c r="M97">
        <v>0.93333333333333335</v>
      </c>
      <c r="N97">
        <v>0.93333333333333335</v>
      </c>
      <c r="O97">
        <v>1</v>
      </c>
      <c r="P97">
        <v>9790</v>
      </c>
      <c r="Q97">
        <v>107005484.2</v>
      </c>
      <c r="R97">
        <v>9969</v>
      </c>
      <c r="S97">
        <v>2</v>
      </c>
      <c r="T97">
        <v>66</v>
      </c>
      <c r="U97">
        <v>0.93333333333333335</v>
      </c>
      <c r="V97">
        <v>0.94074074074074077</v>
      </c>
      <c r="W97">
        <v>1</v>
      </c>
      <c r="X97">
        <v>9881.6</v>
      </c>
      <c r="Y97">
        <v>108211910.59999999</v>
      </c>
      <c r="Z97">
        <v>10254</v>
      </c>
      <c r="AA97">
        <v>2</v>
      </c>
      <c r="AB97">
        <v>67</v>
      </c>
      <c r="AD97">
        <f>Tabela5[[#This Row],[kan_params]]</f>
        <v>10162</v>
      </c>
      <c r="AE97">
        <f>Tabela5[[#This Row],[kan_train_acc]]</f>
        <v>0.47169811725616456</v>
      </c>
      <c r="AF97">
        <f>Tabela5[[#This Row],[kan_val_acc]]</f>
        <v>0.65925925970077515</v>
      </c>
      <c r="AG97">
        <f>Tabela5[[#This Row],[kan_test_acc]]</f>
        <v>0.43111112713813782</v>
      </c>
      <c r="AH97">
        <f>Tabela5[[#This Row],[mlp_test_acc]]</f>
        <v>0.93333333333333335</v>
      </c>
      <c r="AI97">
        <f>Tabela5[[#This Row],[mlp_val_acc]]</f>
        <v>0.93333333333333335</v>
      </c>
      <c r="AJ97">
        <f>Tabela5[[#This Row],[mlp_train_acc]]</f>
        <v>1</v>
      </c>
    </row>
    <row r="98" spans="1:36" hidden="1" x14ac:dyDescent="0.25">
      <c r="A98" t="s">
        <v>209</v>
      </c>
      <c r="B98">
        <v>14</v>
      </c>
      <c r="C98">
        <v>9</v>
      </c>
      <c r="D98">
        <v>2</v>
      </c>
      <c r="E98">
        <v>0</v>
      </c>
      <c r="F98" t="s">
        <v>220</v>
      </c>
      <c r="G98">
        <v>10162</v>
      </c>
      <c r="H98">
        <v>11755214.6</v>
      </c>
      <c r="I98">
        <v>10000</v>
      </c>
      <c r="J98">
        <v>0.91698114871978764</v>
      </c>
      <c r="K98">
        <v>1</v>
      </c>
      <c r="L98">
        <v>0.85777778625488277</v>
      </c>
      <c r="M98">
        <v>0.97777777777777775</v>
      </c>
      <c r="N98">
        <v>1</v>
      </c>
      <c r="O98">
        <v>0.91698113207547172</v>
      </c>
      <c r="P98">
        <v>818.6</v>
      </c>
      <c r="Q98">
        <v>9455955.4000000004</v>
      </c>
      <c r="R98">
        <v>9969</v>
      </c>
      <c r="S98">
        <v>2</v>
      </c>
      <c r="T98">
        <v>66</v>
      </c>
      <c r="U98">
        <v>0.97777777777777775</v>
      </c>
      <c r="V98">
        <v>1</v>
      </c>
      <c r="W98">
        <v>0.91698113207547172</v>
      </c>
      <c r="X98">
        <v>798.6</v>
      </c>
      <c r="Y98">
        <v>9460560.5999999996</v>
      </c>
      <c r="Z98">
        <v>10254</v>
      </c>
      <c r="AA98">
        <v>2</v>
      </c>
      <c r="AB98">
        <v>67</v>
      </c>
      <c r="AD98">
        <f>Tabela5[[#This Row],[kan_params]]</f>
        <v>10162</v>
      </c>
      <c r="AE98">
        <f>Tabela5[[#This Row],[kan_train_acc]]</f>
        <v>0.91698114871978764</v>
      </c>
      <c r="AF98">
        <f>Tabela5[[#This Row],[kan_val_acc]]</f>
        <v>1</v>
      </c>
      <c r="AG98">
        <f>Tabela5[[#This Row],[kan_test_acc]]</f>
        <v>0.85777778625488277</v>
      </c>
      <c r="AH98">
        <f>Tabela5[[#This Row],[mlp_test_acc]]</f>
        <v>0.97777777777777775</v>
      </c>
      <c r="AI98">
        <f>Tabela5[[#This Row],[mlp_val_acc]]</f>
        <v>1</v>
      </c>
      <c r="AJ98">
        <f>Tabela5[[#This Row],[mlp_train_acc]]</f>
        <v>0.91698113207547172</v>
      </c>
    </row>
    <row r="99" spans="1:36" x14ac:dyDescent="0.25">
      <c r="A99" t="s">
        <v>209</v>
      </c>
      <c r="B99">
        <v>12</v>
      </c>
      <c r="C99">
        <v>3</v>
      </c>
      <c r="D99">
        <v>4</v>
      </c>
      <c r="E99">
        <v>0</v>
      </c>
      <c r="F99" t="s">
        <v>212</v>
      </c>
      <c r="G99">
        <v>10242</v>
      </c>
      <c r="H99">
        <v>313326064.60000002</v>
      </c>
      <c r="I99">
        <v>1701.6</v>
      </c>
      <c r="J99">
        <v>0.51132074296474461</v>
      </c>
      <c r="K99">
        <v>0.76296297311782835</v>
      </c>
      <c r="L99">
        <v>0.46222223713994026</v>
      </c>
      <c r="M99">
        <v>0.9244444444444444</v>
      </c>
      <c r="N99">
        <v>1</v>
      </c>
      <c r="O99">
        <v>1</v>
      </c>
      <c r="P99">
        <v>2281.8000000000002</v>
      </c>
      <c r="Q99">
        <v>27298530.800000001</v>
      </c>
      <c r="R99">
        <v>9969</v>
      </c>
      <c r="S99">
        <v>2</v>
      </c>
      <c r="T99">
        <v>66</v>
      </c>
      <c r="U99">
        <v>0.9244444444444444</v>
      </c>
      <c r="V99">
        <v>0.99259259259259258</v>
      </c>
      <c r="W99">
        <v>1</v>
      </c>
      <c r="X99">
        <v>3833.2</v>
      </c>
      <c r="Y99">
        <v>46121927.200000003</v>
      </c>
      <c r="Z99">
        <v>10254</v>
      </c>
      <c r="AA99">
        <v>2</v>
      </c>
      <c r="AB99">
        <v>67</v>
      </c>
      <c r="AD99">
        <f>Tabela5[[#This Row],[kan_params]]</f>
        <v>10242</v>
      </c>
      <c r="AE99">
        <f>Tabela5[[#This Row],[kan_train_acc]]</f>
        <v>0.51132074296474461</v>
      </c>
      <c r="AF99">
        <f>Tabela5[[#This Row],[kan_val_acc]]</f>
        <v>0.76296297311782835</v>
      </c>
      <c r="AG99">
        <f>Tabela5[[#This Row],[kan_test_acc]]</f>
        <v>0.46222223713994026</v>
      </c>
      <c r="AH99">
        <f>Tabela5[[#This Row],[mlp_test_acc]]</f>
        <v>0.9244444444444444</v>
      </c>
      <c r="AI99">
        <f>Tabela5[[#This Row],[mlp_val_acc]]</f>
        <v>1</v>
      </c>
      <c r="AJ99">
        <f>Tabela5[[#This Row],[mlp_train_acc]]</f>
        <v>1</v>
      </c>
    </row>
    <row r="100" spans="1:36" hidden="1" x14ac:dyDescent="0.25">
      <c r="A100" t="s">
        <v>209</v>
      </c>
      <c r="B100">
        <v>14</v>
      </c>
      <c r="C100">
        <v>9</v>
      </c>
      <c r="D100">
        <v>2</v>
      </c>
      <c r="E100">
        <v>0</v>
      </c>
      <c r="F100" t="s">
        <v>212</v>
      </c>
      <c r="G100">
        <v>10242</v>
      </c>
      <c r="H100">
        <v>15146120.800000001</v>
      </c>
      <c r="I100">
        <v>10000</v>
      </c>
      <c r="J100">
        <v>0.94150943756103511</v>
      </c>
      <c r="K100">
        <v>1</v>
      </c>
      <c r="L100">
        <v>0.82222223281860352</v>
      </c>
      <c r="M100">
        <v>0.97333333333333327</v>
      </c>
      <c r="N100">
        <v>1</v>
      </c>
      <c r="O100">
        <v>0.9188679245283019</v>
      </c>
      <c r="P100">
        <v>819.8</v>
      </c>
      <c r="Q100">
        <v>9714085.8000000007</v>
      </c>
      <c r="R100">
        <v>9969</v>
      </c>
      <c r="S100">
        <v>2</v>
      </c>
      <c r="T100">
        <v>66</v>
      </c>
      <c r="U100">
        <v>0.97777777777777775</v>
      </c>
      <c r="V100">
        <v>1</v>
      </c>
      <c r="W100">
        <v>0.91320754716981134</v>
      </c>
      <c r="X100">
        <v>759.6</v>
      </c>
      <c r="Y100">
        <v>8787527.5999999996</v>
      </c>
      <c r="Z100">
        <v>10254</v>
      </c>
      <c r="AA100">
        <v>2</v>
      </c>
      <c r="AB100">
        <v>67</v>
      </c>
      <c r="AD100">
        <f>Tabela5[[#This Row],[kan_params]]</f>
        <v>10242</v>
      </c>
      <c r="AE100">
        <f>Tabela5[[#This Row],[kan_train_acc]]</f>
        <v>0.94150943756103511</v>
      </c>
      <c r="AF100">
        <f>Tabela5[[#This Row],[kan_val_acc]]</f>
        <v>1</v>
      </c>
      <c r="AG100">
        <f>Tabela5[[#This Row],[kan_test_acc]]</f>
        <v>0.82222223281860352</v>
      </c>
      <c r="AH100">
        <f>Tabela5[[#This Row],[mlp_test_acc]]</f>
        <v>0.97333333333333327</v>
      </c>
      <c r="AI100">
        <f>Tabela5[[#This Row],[mlp_val_acc]]</f>
        <v>1</v>
      </c>
      <c r="AJ100">
        <f>Tabela5[[#This Row],[mlp_train_acc]]</f>
        <v>0.9188679245283019</v>
      </c>
    </row>
    <row r="101" spans="1:36" hidden="1" x14ac:dyDescent="0.25">
      <c r="A101" t="s">
        <v>209</v>
      </c>
      <c r="B101">
        <v>10</v>
      </c>
      <c r="C101">
        <v>5</v>
      </c>
      <c r="D101">
        <v>2</v>
      </c>
      <c r="E101">
        <v>0</v>
      </c>
      <c r="F101" t="s">
        <v>219</v>
      </c>
      <c r="G101">
        <v>10258</v>
      </c>
      <c r="H101">
        <v>89883272.599999994</v>
      </c>
      <c r="I101">
        <v>6441.4</v>
      </c>
      <c r="J101">
        <v>0.9867924571037292</v>
      </c>
      <c r="K101">
        <v>0.98518519401550297</v>
      </c>
      <c r="L101">
        <v>0.92444444894790645</v>
      </c>
      <c r="M101">
        <v>0.97777777777777775</v>
      </c>
      <c r="N101">
        <v>0.95555555555555549</v>
      </c>
      <c r="O101">
        <v>0.98113207547169812</v>
      </c>
      <c r="P101">
        <v>2435.4</v>
      </c>
      <c r="Q101">
        <v>28839608.199999999</v>
      </c>
      <c r="R101">
        <v>10254</v>
      </c>
      <c r="S101">
        <v>2</v>
      </c>
      <c r="T101">
        <v>67</v>
      </c>
      <c r="U101">
        <v>0.97333333333333327</v>
      </c>
      <c r="V101">
        <v>0.95555555555555549</v>
      </c>
      <c r="W101">
        <v>0.98113207547169812</v>
      </c>
      <c r="X101">
        <v>2506.1999999999998</v>
      </c>
      <c r="Y101">
        <v>30252393.800000001</v>
      </c>
      <c r="Z101">
        <v>10543</v>
      </c>
      <c r="AA101">
        <v>2</v>
      </c>
      <c r="AB101">
        <v>68</v>
      </c>
      <c r="AD101">
        <f>Tabela5[[#This Row],[kan_params]]</f>
        <v>10258</v>
      </c>
      <c r="AE101">
        <f>Tabela5[[#This Row],[kan_train_acc]]</f>
        <v>0.9867924571037292</v>
      </c>
      <c r="AF101">
        <f>Tabela5[[#This Row],[kan_val_acc]]</f>
        <v>0.98518519401550297</v>
      </c>
      <c r="AG101">
        <f>Tabela5[[#This Row],[kan_test_acc]]</f>
        <v>0.92444444894790645</v>
      </c>
      <c r="AH101">
        <f>Tabela5[[#This Row],[mlp_test_acc]]</f>
        <v>0.97777777777777775</v>
      </c>
      <c r="AI101">
        <f>Tabela5[[#This Row],[mlp_val_acc]]</f>
        <v>0.95555555555555549</v>
      </c>
      <c r="AJ101">
        <f>Tabela5[[#This Row],[mlp_train_acc]]</f>
        <v>0.98113207547169812</v>
      </c>
    </row>
    <row r="102" spans="1:36" hidden="1" x14ac:dyDescent="0.25">
      <c r="A102" t="s">
        <v>209</v>
      </c>
      <c r="B102">
        <v>16</v>
      </c>
      <c r="C102">
        <v>5</v>
      </c>
      <c r="D102">
        <v>5</v>
      </c>
      <c r="E102">
        <v>0</v>
      </c>
      <c r="F102" t="s">
        <v>214</v>
      </c>
      <c r="G102">
        <v>10327</v>
      </c>
      <c r="H102">
        <v>194225019.40000001</v>
      </c>
      <c r="I102">
        <v>1155</v>
      </c>
      <c r="J102">
        <v>0.35471697747707365</v>
      </c>
      <c r="K102">
        <v>0.60740741491317751</v>
      </c>
      <c r="L102">
        <v>0.29777778387069703</v>
      </c>
      <c r="M102">
        <v>0.92888888888888888</v>
      </c>
      <c r="N102">
        <v>0.96296296296296291</v>
      </c>
      <c r="O102">
        <v>0.98490566037735849</v>
      </c>
      <c r="P102">
        <v>3411.4</v>
      </c>
      <c r="Q102">
        <v>31559411.800000001</v>
      </c>
      <c r="R102">
        <v>10254</v>
      </c>
      <c r="S102">
        <v>2</v>
      </c>
      <c r="T102">
        <v>67</v>
      </c>
      <c r="U102">
        <v>0.92888888888888888</v>
      </c>
      <c r="V102">
        <v>0.96296296296296291</v>
      </c>
      <c r="W102">
        <v>0.98490566037735849</v>
      </c>
      <c r="X102">
        <v>2373.8000000000002</v>
      </c>
      <c r="Y102">
        <v>21871703.800000001</v>
      </c>
      <c r="Z102">
        <v>10543</v>
      </c>
      <c r="AA102">
        <v>2</v>
      </c>
      <c r="AB102">
        <v>68</v>
      </c>
      <c r="AD102">
        <f>Tabela5[[#This Row],[kan_params]]</f>
        <v>10327</v>
      </c>
      <c r="AE102">
        <f>Tabela5[[#This Row],[kan_train_acc]]</f>
        <v>0.35471697747707365</v>
      </c>
      <c r="AF102">
        <f>Tabela5[[#This Row],[kan_val_acc]]</f>
        <v>0.60740741491317751</v>
      </c>
      <c r="AG102">
        <f>Tabela5[[#This Row],[kan_test_acc]]</f>
        <v>0.29777778387069703</v>
      </c>
      <c r="AH102">
        <f>Tabela5[[#This Row],[mlp_test_acc]]</f>
        <v>0.92888888888888888</v>
      </c>
      <c r="AI102">
        <f>Tabela5[[#This Row],[mlp_val_acc]]</f>
        <v>0.96296296296296291</v>
      </c>
      <c r="AJ102">
        <f>Tabela5[[#This Row],[mlp_train_acc]]</f>
        <v>0.98490566037735849</v>
      </c>
    </row>
    <row r="103" spans="1:36" x14ac:dyDescent="0.25">
      <c r="A103" t="s">
        <v>209</v>
      </c>
      <c r="B103">
        <v>10</v>
      </c>
      <c r="C103">
        <v>3</v>
      </c>
      <c r="D103">
        <v>3</v>
      </c>
      <c r="E103">
        <v>0</v>
      </c>
      <c r="F103" t="s">
        <v>221</v>
      </c>
      <c r="G103">
        <v>10328</v>
      </c>
      <c r="H103">
        <v>93061227.400000006</v>
      </c>
      <c r="I103">
        <v>10000</v>
      </c>
      <c r="J103">
        <v>0.92075471878051762</v>
      </c>
      <c r="K103">
        <v>1</v>
      </c>
      <c r="L103">
        <v>0.8622222304344177</v>
      </c>
      <c r="M103">
        <v>0.92888888888888888</v>
      </c>
      <c r="N103">
        <v>1</v>
      </c>
      <c r="O103">
        <v>1</v>
      </c>
      <c r="P103">
        <v>2418.8000000000002</v>
      </c>
      <c r="Q103">
        <v>29591651</v>
      </c>
      <c r="R103">
        <v>10254</v>
      </c>
      <c r="S103">
        <v>2</v>
      </c>
      <c r="T103">
        <v>67</v>
      </c>
      <c r="U103">
        <v>0.93333333333333335</v>
      </c>
      <c r="V103">
        <v>1</v>
      </c>
      <c r="W103">
        <v>1</v>
      </c>
      <c r="X103">
        <v>2467.8000000000002</v>
      </c>
      <c r="Y103">
        <v>28846595.199999999</v>
      </c>
      <c r="Z103">
        <v>10543</v>
      </c>
      <c r="AA103">
        <v>2</v>
      </c>
      <c r="AB103">
        <v>68</v>
      </c>
      <c r="AD103">
        <f>Tabela5[[#This Row],[kan_params]]</f>
        <v>10328</v>
      </c>
      <c r="AE103">
        <f>Tabela5[[#This Row],[kan_train_acc]]</f>
        <v>0.92075471878051762</v>
      </c>
      <c r="AF103">
        <f>Tabela5[[#This Row],[kan_val_acc]]</f>
        <v>1</v>
      </c>
      <c r="AG103">
        <f>Tabela5[[#This Row],[kan_test_acc]]</f>
        <v>0.8622222304344177</v>
      </c>
      <c r="AH103">
        <f>Tabela5[[#This Row],[mlp_test_acc]]</f>
        <v>0.92888888888888888</v>
      </c>
      <c r="AI103">
        <f>Tabela5[[#This Row],[mlp_val_acc]]</f>
        <v>1</v>
      </c>
      <c r="AJ103">
        <f>Tabela5[[#This Row],[mlp_train_acc]]</f>
        <v>1</v>
      </c>
    </row>
    <row r="104" spans="1:36" hidden="1" x14ac:dyDescent="0.25">
      <c r="A104" t="s">
        <v>209</v>
      </c>
      <c r="B104">
        <v>20</v>
      </c>
      <c r="C104">
        <v>9</v>
      </c>
      <c r="D104">
        <v>5</v>
      </c>
      <c r="E104">
        <v>0</v>
      </c>
      <c r="F104" t="s">
        <v>210</v>
      </c>
      <c r="G104">
        <v>10585</v>
      </c>
      <c r="H104">
        <v>218144255.69999999</v>
      </c>
      <c r="I104">
        <v>1110</v>
      </c>
      <c r="J104">
        <v>0.29339622855186465</v>
      </c>
      <c r="K104">
        <v>0.65555555820465083</v>
      </c>
      <c r="L104">
        <v>0.32000000625848768</v>
      </c>
      <c r="M104">
        <v>0.92</v>
      </c>
      <c r="N104">
        <v>0.98888888888888893</v>
      </c>
      <c r="O104">
        <v>0.9679245283018868</v>
      </c>
      <c r="P104">
        <v>1912.5</v>
      </c>
      <c r="Q104">
        <v>21905940.600000001</v>
      </c>
      <c r="R104">
        <v>10543</v>
      </c>
      <c r="S104">
        <v>2</v>
      </c>
      <c r="T104">
        <v>68</v>
      </c>
      <c r="U104">
        <v>0.92666666666666664</v>
      </c>
      <c r="V104">
        <v>0.9814814814814814</v>
      </c>
      <c r="W104">
        <v>0.98584905660377364</v>
      </c>
      <c r="X104">
        <v>2405.4</v>
      </c>
      <c r="Y104">
        <v>26662757.899999999</v>
      </c>
      <c r="Z104">
        <v>10836</v>
      </c>
      <c r="AA104">
        <v>2</v>
      </c>
      <c r="AB104">
        <v>69</v>
      </c>
      <c r="AD104">
        <f>Tabela5[[#This Row],[kan_params]]</f>
        <v>10585</v>
      </c>
      <c r="AE104">
        <f>Tabela5[[#This Row],[kan_train_acc]]</f>
        <v>0.29339622855186465</v>
      </c>
      <c r="AF104">
        <f>Tabela5[[#This Row],[kan_val_acc]]</f>
        <v>0.65555555820465083</v>
      </c>
      <c r="AG104">
        <f>Tabela5[[#This Row],[kan_test_acc]]</f>
        <v>0.32000000625848768</v>
      </c>
      <c r="AH104">
        <f>Tabela5[[#This Row],[mlp_test_acc]]</f>
        <v>0.92</v>
      </c>
      <c r="AI104">
        <f>Tabela5[[#This Row],[mlp_val_acc]]</f>
        <v>0.98888888888888893</v>
      </c>
      <c r="AJ104">
        <f>Tabela5[[#This Row],[mlp_train_acc]]</f>
        <v>0.9679245283018868</v>
      </c>
    </row>
    <row r="105" spans="1:36" x14ac:dyDescent="0.25">
      <c r="A105" t="s">
        <v>209</v>
      </c>
      <c r="B105">
        <v>14</v>
      </c>
      <c r="C105">
        <v>3</v>
      </c>
      <c r="D105">
        <v>5</v>
      </c>
      <c r="E105">
        <v>0</v>
      </c>
      <c r="F105" t="s">
        <v>217</v>
      </c>
      <c r="G105">
        <v>10615</v>
      </c>
      <c r="H105">
        <v>235157147.80000001</v>
      </c>
      <c r="I105">
        <v>1156.8</v>
      </c>
      <c r="J105">
        <v>0.40000000298023225</v>
      </c>
      <c r="K105">
        <v>0.61481482982635494</v>
      </c>
      <c r="L105">
        <v>0.40000001192092893</v>
      </c>
      <c r="M105">
        <v>0.9555555555555556</v>
      </c>
      <c r="N105">
        <v>0.96296296296296291</v>
      </c>
      <c r="O105">
        <v>1</v>
      </c>
      <c r="P105">
        <v>2874.8</v>
      </c>
      <c r="Q105">
        <v>35806754</v>
      </c>
      <c r="R105">
        <v>10543</v>
      </c>
      <c r="S105">
        <v>2</v>
      </c>
      <c r="T105">
        <v>68</v>
      </c>
      <c r="U105">
        <v>0.9555555555555556</v>
      </c>
      <c r="V105">
        <v>0.95555555555555549</v>
      </c>
      <c r="W105">
        <v>1</v>
      </c>
      <c r="X105">
        <v>2933</v>
      </c>
      <c r="Y105">
        <v>35793695.200000003</v>
      </c>
      <c r="Z105">
        <v>10836</v>
      </c>
      <c r="AA105">
        <v>2</v>
      </c>
      <c r="AB105">
        <v>69</v>
      </c>
      <c r="AD105">
        <f>Tabela5[[#This Row],[kan_params]]</f>
        <v>10615</v>
      </c>
      <c r="AE105">
        <f>Tabela5[[#This Row],[kan_train_acc]]</f>
        <v>0.40000000298023225</v>
      </c>
      <c r="AF105">
        <f>Tabela5[[#This Row],[kan_val_acc]]</f>
        <v>0.61481482982635494</v>
      </c>
      <c r="AG105">
        <f>Tabela5[[#This Row],[kan_test_acc]]</f>
        <v>0.40000001192092893</v>
      </c>
      <c r="AH105">
        <f>Tabela5[[#This Row],[mlp_test_acc]]</f>
        <v>0.9555555555555556</v>
      </c>
      <c r="AI105">
        <f>Tabela5[[#This Row],[mlp_val_acc]]</f>
        <v>0.96296296296296291</v>
      </c>
      <c r="AJ105">
        <f>Tabela5[[#This Row],[mlp_train_acc]]</f>
        <v>1</v>
      </c>
    </row>
    <row r="106" spans="1:36" hidden="1" x14ac:dyDescent="0.25">
      <c r="A106" t="s">
        <v>209</v>
      </c>
      <c r="B106">
        <v>16</v>
      </c>
      <c r="C106">
        <v>9</v>
      </c>
      <c r="D106">
        <v>3</v>
      </c>
      <c r="E106">
        <v>0</v>
      </c>
      <c r="F106" t="s">
        <v>217</v>
      </c>
      <c r="G106">
        <v>10615</v>
      </c>
      <c r="H106">
        <v>20950304.800000001</v>
      </c>
      <c r="I106">
        <v>10000</v>
      </c>
      <c r="J106">
        <v>0.93018867969512942</v>
      </c>
      <c r="K106">
        <v>1</v>
      </c>
      <c r="L106">
        <v>0.84888889789581301</v>
      </c>
      <c r="M106">
        <v>0.98222222222222222</v>
      </c>
      <c r="N106">
        <v>1</v>
      </c>
      <c r="O106">
        <v>0.92264150943396228</v>
      </c>
      <c r="P106">
        <v>911.4</v>
      </c>
      <c r="Q106">
        <v>11145155</v>
      </c>
      <c r="R106">
        <v>10543</v>
      </c>
      <c r="S106">
        <v>2</v>
      </c>
      <c r="T106">
        <v>68</v>
      </c>
      <c r="U106">
        <v>0.97333333333333338</v>
      </c>
      <c r="V106">
        <v>1</v>
      </c>
      <c r="W106">
        <v>0.9188679245283019</v>
      </c>
      <c r="X106">
        <v>897.6</v>
      </c>
      <c r="Y106">
        <v>9647474.5999999996</v>
      </c>
      <c r="Z106">
        <v>10836</v>
      </c>
      <c r="AA106">
        <v>2</v>
      </c>
      <c r="AB106">
        <v>69</v>
      </c>
      <c r="AD106">
        <f>Tabela5[[#This Row],[kan_params]]</f>
        <v>10615</v>
      </c>
      <c r="AE106">
        <f>Tabela5[[#This Row],[kan_train_acc]]</f>
        <v>0.93018867969512942</v>
      </c>
      <c r="AF106">
        <f>Tabela5[[#This Row],[kan_val_acc]]</f>
        <v>1</v>
      </c>
      <c r="AG106">
        <f>Tabela5[[#This Row],[kan_test_acc]]</f>
        <v>0.84888889789581301</v>
      </c>
      <c r="AH106">
        <f>Tabela5[[#This Row],[mlp_test_acc]]</f>
        <v>0.98222222222222222</v>
      </c>
      <c r="AI106">
        <f>Tabela5[[#This Row],[mlp_val_acc]]</f>
        <v>1</v>
      </c>
      <c r="AJ106">
        <f>Tabela5[[#This Row],[mlp_train_acc]]</f>
        <v>0.92264150943396228</v>
      </c>
    </row>
    <row r="107" spans="1:36" hidden="1" x14ac:dyDescent="0.25">
      <c r="A107" t="s">
        <v>209</v>
      </c>
      <c r="B107">
        <v>10</v>
      </c>
      <c r="C107">
        <v>5</v>
      </c>
      <c r="D107">
        <v>2</v>
      </c>
      <c r="E107">
        <v>0</v>
      </c>
      <c r="F107" t="s">
        <v>225</v>
      </c>
      <c r="G107">
        <v>10617</v>
      </c>
      <c r="H107">
        <v>158948500</v>
      </c>
      <c r="I107">
        <v>2901.8</v>
      </c>
      <c r="J107">
        <v>0.9849056601524353</v>
      </c>
      <c r="K107">
        <v>0.97037038803100584</v>
      </c>
      <c r="L107">
        <v>0.92888889312744138</v>
      </c>
      <c r="M107">
        <v>0.97777777777777775</v>
      </c>
      <c r="N107">
        <v>0.94074074074074077</v>
      </c>
      <c r="O107">
        <v>0.98867924528301887</v>
      </c>
      <c r="P107">
        <v>2754.2</v>
      </c>
      <c r="Q107">
        <v>33338858.199999999</v>
      </c>
      <c r="R107">
        <v>10543</v>
      </c>
      <c r="S107">
        <v>2</v>
      </c>
      <c r="T107">
        <v>68</v>
      </c>
      <c r="U107">
        <v>0.97777777777777775</v>
      </c>
      <c r="V107">
        <v>0.94074074074074077</v>
      </c>
      <c r="W107">
        <v>0.98867924528301887</v>
      </c>
      <c r="X107">
        <v>2936.6</v>
      </c>
      <c r="Y107">
        <v>36198499.399999999</v>
      </c>
      <c r="Z107">
        <v>10836</v>
      </c>
      <c r="AA107">
        <v>2</v>
      </c>
      <c r="AB107">
        <v>69</v>
      </c>
      <c r="AD107">
        <f>Tabela5[[#This Row],[kan_params]]</f>
        <v>10617</v>
      </c>
      <c r="AE107">
        <f>Tabela5[[#This Row],[kan_train_acc]]</f>
        <v>0.9849056601524353</v>
      </c>
      <c r="AF107">
        <f>Tabela5[[#This Row],[kan_val_acc]]</f>
        <v>0.97037038803100584</v>
      </c>
      <c r="AG107">
        <f>Tabela5[[#This Row],[kan_test_acc]]</f>
        <v>0.92888889312744138</v>
      </c>
      <c r="AH107">
        <f>Tabela5[[#This Row],[mlp_test_acc]]</f>
        <v>0.97777777777777775</v>
      </c>
      <c r="AI107">
        <f>Tabela5[[#This Row],[mlp_val_acc]]</f>
        <v>0.94074074074074077</v>
      </c>
      <c r="AJ107">
        <f>Tabela5[[#This Row],[mlp_train_acc]]</f>
        <v>0.98867924528301887</v>
      </c>
    </row>
    <row r="108" spans="1:36" hidden="1" x14ac:dyDescent="0.25">
      <c r="A108" t="s">
        <v>209</v>
      </c>
      <c r="B108">
        <v>18</v>
      </c>
      <c r="C108">
        <v>9</v>
      </c>
      <c r="D108">
        <v>4</v>
      </c>
      <c r="E108">
        <v>0</v>
      </c>
      <c r="F108" t="s">
        <v>214</v>
      </c>
      <c r="G108">
        <v>10756</v>
      </c>
      <c r="H108">
        <v>261557516.40000001</v>
      </c>
      <c r="I108">
        <v>1388.2</v>
      </c>
      <c r="J108">
        <v>0.45283018946647646</v>
      </c>
      <c r="K108">
        <v>0.74074072837829585</v>
      </c>
      <c r="L108">
        <v>0.40888889431953429</v>
      </c>
      <c r="M108">
        <v>0.8666666666666667</v>
      </c>
      <c r="N108">
        <v>0.97037037037037033</v>
      </c>
      <c r="O108">
        <v>0.98301886792452831</v>
      </c>
      <c r="P108">
        <v>2919.8</v>
      </c>
      <c r="Q108">
        <v>32819923.199999999</v>
      </c>
      <c r="R108">
        <v>10543</v>
      </c>
      <c r="S108">
        <v>2</v>
      </c>
      <c r="T108">
        <v>68</v>
      </c>
      <c r="U108">
        <v>0.8666666666666667</v>
      </c>
      <c r="V108">
        <v>0.97037037037037033</v>
      </c>
      <c r="W108">
        <v>0.98113207547169812</v>
      </c>
      <c r="X108">
        <v>2620.8000000000002</v>
      </c>
      <c r="Y108">
        <v>29781264.800000001</v>
      </c>
      <c r="Z108">
        <v>10836</v>
      </c>
      <c r="AA108">
        <v>2</v>
      </c>
      <c r="AB108">
        <v>69</v>
      </c>
      <c r="AD108">
        <f>Tabela5[[#This Row],[kan_params]]</f>
        <v>10756</v>
      </c>
      <c r="AE108">
        <f>Tabela5[[#This Row],[kan_train_acc]]</f>
        <v>0.45283018946647646</v>
      </c>
      <c r="AF108">
        <f>Tabela5[[#This Row],[kan_val_acc]]</f>
        <v>0.74074072837829585</v>
      </c>
      <c r="AG108">
        <f>Tabela5[[#This Row],[kan_test_acc]]</f>
        <v>0.40888889431953429</v>
      </c>
      <c r="AH108">
        <f>Tabela5[[#This Row],[mlp_test_acc]]</f>
        <v>0.8666666666666667</v>
      </c>
      <c r="AI108">
        <f>Tabela5[[#This Row],[mlp_val_acc]]</f>
        <v>0.97037037037037033</v>
      </c>
      <c r="AJ108">
        <f>Tabela5[[#This Row],[mlp_train_acc]]</f>
        <v>0.98301886792452831</v>
      </c>
    </row>
    <row r="109" spans="1:36" x14ac:dyDescent="0.25">
      <c r="A109" t="s">
        <v>209</v>
      </c>
      <c r="B109">
        <v>8</v>
      </c>
      <c r="C109">
        <v>3</v>
      </c>
      <c r="D109">
        <v>2</v>
      </c>
      <c r="E109">
        <v>0</v>
      </c>
      <c r="F109" t="s">
        <v>226</v>
      </c>
      <c r="G109">
        <v>10772</v>
      </c>
      <c r="H109">
        <v>61613463.399999999</v>
      </c>
      <c r="I109">
        <v>8241.2000000000007</v>
      </c>
      <c r="J109">
        <v>0.9641509413719177</v>
      </c>
      <c r="K109">
        <v>0.99259259700775149</v>
      </c>
      <c r="L109">
        <v>0.91111111640930176</v>
      </c>
      <c r="M109">
        <v>0.92888888888888888</v>
      </c>
      <c r="N109">
        <v>1</v>
      </c>
      <c r="O109">
        <v>1</v>
      </c>
      <c r="P109">
        <v>2310</v>
      </c>
      <c r="Q109">
        <v>28040457.199999999</v>
      </c>
      <c r="R109">
        <v>10543</v>
      </c>
      <c r="S109">
        <v>2</v>
      </c>
      <c r="T109">
        <v>68</v>
      </c>
      <c r="U109">
        <v>0.92888888888888888</v>
      </c>
      <c r="V109">
        <v>1</v>
      </c>
      <c r="W109">
        <v>1</v>
      </c>
      <c r="X109">
        <v>2216.1999999999998</v>
      </c>
      <c r="Y109">
        <v>27055970.800000001</v>
      </c>
      <c r="Z109">
        <v>10836</v>
      </c>
      <c r="AA109">
        <v>2</v>
      </c>
      <c r="AB109">
        <v>69</v>
      </c>
      <c r="AD109">
        <f>Tabela5[[#This Row],[kan_params]]</f>
        <v>10772</v>
      </c>
      <c r="AE109">
        <f>Tabela5[[#This Row],[kan_train_acc]]</f>
        <v>0.9641509413719177</v>
      </c>
      <c r="AF109">
        <f>Tabela5[[#This Row],[kan_val_acc]]</f>
        <v>0.99259259700775149</v>
      </c>
      <c r="AG109">
        <f>Tabela5[[#This Row],[kan_test_acc]]</f>
        <v>0.91111111640930176</v>
      </c>
      <c r="AH109">
        <f>Tabela5[[#This Row],[mlp_test_acc]]</f>
        <v>0.92888888888888888</v>
      </c>
      <c r="AI109">
        <f>Tabela5[[#This Row],[mlp_val_acc]]</f>
        <v>1</v>
      </c>
      <c r="AJ109">
        <f>Tabela5[[#This Row],[mlp_train_acc]]</f>
        <v>1</v>
      </c>
    </row>
    <row r="110" spans="1:36" hidden="1" x14ac:dyDescent="0.25">
      <c r="A110" t="s">
        <v>209</v>
      </c>
      <c r="B110">
        <v>20</v>
      </c>
      <c r="C110">
        <v>9</v>
      </c>
      <c r="D110">
        <v>5</v>
      </c>
      <c r="E110">
        <v>0</v>
      </c>
      <c r="F110" t="s">
        <v>227</v>
      </c>
      <c r="G110">
        <v>10779</v>
      </c>
      <c r="H110">
        <v>231430405.59999999</v>
      </c>
      <c r="I110">
        <v>1553.1</v>
      </c>
      <c r="J110">
        <v>0.4933962285518646</v>
      </c>
      <c r="K110">
        <v>0.85925926566123967</v>
      </c>
      <c r="L110">
        <v>0.50444445759057999</v>
      </c>
      <c r="M110">
        <v>0.92</v>
      </c>
      <c r="N110">
        <v>0.9814814814814814</v>
      </c>
      <c r="O110">
        <v>0.98679245283018868</v>
      </c>
      <c r="P110">
        <v>2400</v>
      </c>
      <c r="Q110">
        <v>26854160.800000001</v>
      </c>
      <c r="R110">
        <v>10543</v>
      </c>
      <c r="S110">
        <v>2</v>
      </c>
      <c r="T110">
        <v>68</v>
      </c>
      <c r="U110">
        <v>0.92222222222222217</v>
      </c>
      <c r="V110">
        <v>0.98518518518518516</v>
      </c>
      <c r="W110">
        <v>0.97735849056603774</v>
      </c>
      <c r="X110">
        <v>2204.6</v>
      </c>
      <c r="Y110">
        <v>24816309.5</v>
      </c>
      <c r="Z110">
        <v>10836</v>
      </c>
      <c r="AA110">
        <v>2</v>
      </c>
      <c r="AB110">
        <v>69</v>
      </c>
      <c r="AD110">
        <f>Tabela5[[#This Row],[kan_params]]</f>
        <v>10779</v>
      </c>
      <c r="AE110">
        <f>Tabela5[[#This Row],[kan_train_acc]]</f>
        <v>0.4933962285518646</v>
      </c>
      <c r="AF110">
        <f>Tabela5[[#This Row],[kan_val_acc]]</f>
        <v>0.85925926566123967</v>
      </c>
      <c r="AG110">
        <f>Tabela5[[#This Row],[kan_test_acc]]</f>
        <v>0.50444445759057999</v>
      </c>
      <c r="AH110">
        <f>Tabela5[[#This Row],[mlp_test_acc]]</f>
        <v>0.92</v>
      </c>
      <c r="AI110">
        <f>Tabela5[[#This Row],[mlp_val_acc]]</f>
        <v>0.9814814814814814</v>
      </c>
      <c r="AJ110">
        <f>Tabela5[[#This Row],[mlp_train_acc]]</f>
        <v>0.98679245283018868</v>
      </c>
    </row>
    <row r="111" spans="1:36" hidden="1" x14ac:dyDescent="0.25">
      <c r="A111" t="s">
        <v>209</v>
      </c>
      <c r="B111">
        <v>14</v>
      </c>
      <c r="C111">
        <v>5</v>
      </c>
      <c r="D111">
        <v>4</v>
      </c>
      <c r="E111">
        <v>0</v>
      </c>
      <c r="F111" t="s">
        <v>215</v>
      </c>
      <c r="G111">
        <v>10935</v>
      </c>
      <c r="H111">
        <v>182112247.19999999</v>
      </c>
      <c r="I111">
        <v>1100.5999999999999</v>
      </c>
      <c r="J111">
        <v>0.4471698045730591</v>
      </c>
      <c r="K111">
        <v>0.68888889551162724</v>
      </c>
      <c r="L111">
        <v>0.40000000894069671</v>
      </c>
      <c r="M111">
        <v>0.9244444444444444</v>
      </c>
      <c r="N111">
        <v>0.96296296296296291</v>
      </c>
      <c r="O111">
        <v>0.98867924528301887</v>
      </c>
      <c r="P111">
        <v>5054.8</v>
      </c>
      <c r="Q111">
        <v>46070187.399999999</v>
      </c>
      <c r="R111">
        <v>10836</v>
      </c>
      <c r="S111">
        <v>2</v>
      </c>
      <c r="T111">
        <v>69</v>
      </c>
      <c r="U111">
        <v>0.93333333333333335</v>
      </c>
      <c r="V111">
        <v>0.96296296296296291</v>
      </c>
      <c r="W111">
        <v>0.98301886792452831</v>
      </c>
      <c r="X111">
        <v>1848.2</v>
      </c>
      <c r="Y111">
        <v>17257759.600000001</v>
      </c>
      <c r="Z111">
        <v>11133</v>
      </c>
      <c r="AA111">
        <v>2</v>
      </c>
      <c r="AB111">
        <v>70</v>
      </c>
      <c r="AD111">
        <f>Tabela5[[#This Row],[kan_params]]</f>
        <v>10935</v>
      </c>
      <c r="AE111">
        <f>Tabela5[[#This Row],[kan_train_acc]]</f>
        <v>0.4471698045730591</v>
      </c>
      <c r="AF111">
        <f>Tabela5[[#This Row],[kan_val_acc]]</f>
        <v>0.68888889551162724</v>
      </c>
      <c r="AG111">
        <f>Tabela5[[#This Row],[kan_test_acc]]</f>
        <v>0.40000000894069671</v>
      </c>
      <c r="AH111">
        <f>Tabela5[[#This Row],[mlp_test_acc]]</f>
        <v>0.9244444444444444</v>
      </c>
      <c r="AI111">
        <f>Tabela5[[#This Row],[mlp_val_acc]]</f>
        <v>0.96296296296296291</v>
      </c>
      <c r="AJ111">
        <f>Tabela5[[#This Row],[mlp_train_acc]]</f>
        <v>0.98867924528301887</v>
      </c>
    </row>
    <row r="112" spans="1:36" x14ac:dyDescent="0.25">
      <c r="A112" t="s">
        <v>209</v>
      </c>
      <c r="B112">
        <v>10</v>
      </c>
      <c r="C112">
        <v>3</v>
      </c>
      <c r="D112">
        <v>3</v>
      </c>
      <c r="E112">
        <v>0</v>
      </c>
      <c r="F112" t="s">
        <v>219</v>
      </c>
      <c r="G112">
        <v>10939</v>
      </c>
      <c r="H112">
        <v>162247569.40000001</v>
      </c>
      <c r="I112">
        <v>6735.2</v>
      </c>
      <c r="J112">
        <v>0.8075471818447113</v>
      </c>
      <c r="K112">
        <v>0.97777777910232544</v>
      </c>
      <c r="L112">
        <v>0.76000001430511477</v>
      </c>
      <c r="M112">
        <v>0.92888888888888888</v>
      </c>
      <c r="N112">
        <v>1</v>
      </c>
      <c r="O112">
        <v>1</v>
      </c>
      <c r="P112">
        <v>2111.4</v>
      </c>
      <c r="Q112">
        <v>25007087.800000001</v>
      </c>
      <c r="R112">
        <v>10836</v>
      </c>
      <c r="S112">
        <v>2</v>
      </c>
      <c r="T112">
        <v>69</v>
      </c>
      <c r="U112">
        <v>0.9244444444444444</v>
      </c>
      <c r="V112">
        <v>1</v>
      </c>
      <c r="W112">
        <v>1</v>
      </c>
      <c r="X112">
        <v>2430.8000000000002</v>
      </c>
      <c r="Y112">
        <v>30209859.600000001</v>
      </c>
      <c r="Z112">
        <v>11133</v>
      </c>
      <c r="AA112">
        <v>2</v>
      </c>
      <c r="AB112">
        <v>70</v>
      </c>
      <c r="AD112">
        <f>Tabela5[[#This Row],[kan_params]]</f>
        <v>10939</v>
      </c>
      <c r="AE112">
        <f>Tabela5[[#This Row],[kan_train_acc]]</f>
        <v>0.8075471818447113</v>
      </c>
      <c r="AF112">
        <f>Tabela5[[#This Row],[kan_val_acc]]</f>
        <v>0.97777777910232544</v>
      </c>
      <c r="AG112">
        <f>Tabela5[[#This Row],[kan_test_acc]]</f>
        <v>0.76000001430511477</v>
      </c>
      <c r="AH112">
        <f>Tabela5[[#This Row],[mlp_test_acc]]</f>
        <v>0.92888888888888888</v>
      </c>
      <c r="AI112">
        <f>Tabela5[[#This Row],[mlp_val_acc]]</f>
        <v>1</v>
      </c>
      <c r="AJ112">
        <f>Tabela5[[#This Row],[mlp_train_acc]]</f>
        <v>1</v>
      </c>
    </row>
    <row r="113" spans="1:36" hidden="1" x14ac:dyDescent="0.25">
      <c r="A113" t="s">
        <v>209</v>
      </c>
      <c r="B113">
        <v>16</v>
      </c>
      <c r="C113">
        <v>5</v>
      </c>
      <c r="D113">
        <v>5</v>
      </c>
      <c r="E113">
        <v>0</v>
      </c>
      <c r="F113" t="s">
        <v>211</v>
      </c>
      <c r="G113">
        <v>11002</v>
      </c>
      <c r="H113">
        <v>174807997.19999999</v>
      </c>
      <c r="I113">
        <v>1009.4</v>
      </c>
      <c r="J113">
        <v>0.32452830076217654</v>
      </c>
      <c r="K113">
        <v>0.6518518328666687</v>
      </c>
      <c r="L113">
        <v>0.37333334088325498</v>
      </c>
      <c r="M113">
        <v>0.93333333333333335</v>
      </c>
      <c r="N113">
        <v>0.96296296296296291</v>
      </c>
      <c r="O113">
        <v>0.98113207547169812</v>
      </c>
      <c r="P113">
        <v>1905</v>
      </c>
      <c r="Q113">
        <v>17466605.399999999</v>
      </c>
      <c r="R113">
        <v>10836</v>
      </c>
      <c r="S113">
        <v>2</v>
      </c>
      <c r="T113">
        <v>69</v>
      </c>
      <c r="U113">
        <v>0.92888888888888888</v>
      </c>
      <c r="V113">
        <v>0.96296296296296291</v>
      </c>
      <c r="W113">
        <v>0.98490566037735849</v>
      </c>
      <c r="X113">
        <v>3434.6</v>
      </c>
      <c r="Y113">
        <v>31477880</v>
      </c>
      <c r="Z113">
        <v>11133</v>
      </c>
      <c r="AA113">
        <v>2</v>
      </c>
      <c r="AB113">
        <v>70</v>
      </c>
      <c r="AD113">
        <f>Tabela5[[#This Row],[kan_params]]</f>
        <v>11002</v>
      </c>
      <c r="AE113">
        <f>Tabela5[[#This Row],[kan_train_acc]]</f>
        <v>0.32452830076217654</v>
      </c>
      <c r="AF113">
        <f>Tabela5[[#This Row],[kan_val_acc]]</f>
        <v>0.6518518328666687</v>
      </c>
      <c r="AG113">
        <f>Tabela5[[#This Row],[kan_test_acc]]</f>
        <v>0.37333334088325498</v>
      </c>
      <c r="AH113">
        <f>Tabela5[[#This Row],[mlp_test_acc]]</f>
        <v>0.93333333333333335</v>
      </c>
      <c r="AI113">
        <f>Tabela5[[#This Row],[mlp_val_acc]]</f>
        <v>0.96296296296296291</v>
      </c>
      <c r="AJ113">
        <f>Tabela5[[#This Row],[mlp_train_acc]]</f>
        <v>0.98113207547169812</v>
      </c>
    </row>
    <row r="114" spans="1:36" x14ac:dyDescent="0.25">
      <c r="A114" t="s">
        <v>209</v>
      </c>
      <c r="B114">
        <v>12</v>
      </c>
      <c r="C114">
        <v>3</v>
      </c>
      <c r="D114">
        <v>4</v>
      </c>
      <c r="E114">
        <v>0</v>
      </c>
      <c r="F114" t="s">
        <v>218</v>
      </c>
      <c r="G114">
        <v>11077</v>
      </c>
      <c r="H114">
        <v>298665473.39999998</v>
      </c>
      <c r="I114">
        <v>1644.8</v>
      </c>
      <c r="J114">
        <v>0.66981132626533513</v>
      </c>
      <c r="K114">
        <v>0.7481481552124023</v>
      </c>
      <c r="L114">
        <v>0.59555556774139407</v>
      </c>
      <c r="M114">
        <v>0.93333333333333335</v>
      </c>
      <c r="N114">
        <v>0.94074074074074077</v>
      </c>
      <c r="O114">
        <v>1</v>
      </c>
      <c r="P114">
        <v>9855.2000000000007</v>
      </c>
      <c r="Q114">
        <v>108018522.59999999</v>
      </c>
      <c r="R114">
        <v>10836</v>
      </c>
      <c r="S114">
        <v>2</v>
      </c>
      <c r="T114">
        <v>69</v>
      </c>
      <c r="U114">
        <v>0.93333333333333335</v>
      </c>
      <c r="V114">
        <v>0.94814814814814807</v>
      </c>
      <c r="W114">
        <v>1</v>
      </c>
      <c r="X114">
        <v>9449.7999999999993</v>
      </c>
      <c r="Y114">
        <v>105958710.40000001</v>
      </c>
      <c r="Z114">
        <v>11133</v>
      </c>
      <c r="AA114">
        <v>2</v>
      </c>
      <c r="AB114">
        <v>70</v>
      </c>
      <c r="AD114">
        <f>Tabela5[[#This Row],[kan_params]]</f>
        <v>11077</v>
      </c>
      <c r="AE114">
        <f>Tabela5[[#This Row],[kan_train_acc]]</f>
        <v>0.66981132626533513</v>
      </c>
      <c r="AF114">
        <f>Tabela5[[#This Row],[kan_val_acc]]</f>
        <v>0.7481481552124023</v>
      </c>
      <c r="AG114">
        <f>Tabela5[[#This Row],[kan_test_acc]]</f>
        <v>0.59555556774139407</v>
      </c>
      <c r="AH114">
        <f>Tabela5[[#This Row],[mlp_test_acc]]</f>
        <v>0.93333333333333335</v>
      </c>
      <c r="AI114">
        <f>Tabela5[[#This Row],[mlp_val_acc]]</f>
        <v>0.94074074074074077</v>
      </c>
      <c r="AJ114">
        <f>Tabela5[[#This Row],[mlp_train_acc]]</f>
        <v>1</v>
      </c>
    </row>
    <row r="115" spans="1:36" hidden="1" x14ac:dyDescent="0.25">
      <c r="A115" t="s">
        <v>209</v>
      </c>
      <c r="B115">
        <v>14</v>
      </c>
      <c r="C115">
        <v>9</v>
      </c>
      <c r="D115">
        <v>2</v>
      </c>
      <c r="E115">
        <v>0</v>
      </c>
      <c r="F115" t="s">
        <v>218</v>
      </c>
      <c r="G115">
        <v>11077</v>
      </c>
      <c r="H115">
        <v>9813986</v>
      </c>
      <c r="I115">
        <v>10000</v>
      </c>
      <c r="J115">
        <v>0.91886794567108154</v>
      </c>
      <c r="K115">
        <v>1</v>
      </c>
      <c r="L115">
        <v>0.8622222304344177</v>
      </c>
      <c r="M115">
        <v>0.97333333333333327</v>
      </c>
      <c r="N115">
        <v>1</v>
      </c>
      <c r="O115">
        <v>0.9188679245283019</v>
      </c>
      <c r="P115">
        <v>796.2</v>
      </c>
      <c r="Q115">
        <v>9570047.1999999993</v>
      </c>
      <c r="R115">
        <v>10836</v>
      </c>
      <c r="S115">
        <v>2</v>
      </c>
      <c r="T115">
        <v>69</v>
      </c>
      <c r="U115">
        <v>0.97777777777777775</v>
      </c>
      <c r="V115">
        <v>1</v>
      </c>
      <c r="W115">
        <v>0.91698113207547172</v>
      </c>
      <c r="X115">
        <v>715</v>
      </c>
      <c r="Y115">
        <v>8989038.1999999993</v>
      </c>
      <c r="Z115">
        <v>11133</v>
      </c>
      <c r="AA115">
        <v>2</v>
      </c>
      <c r="AB115">
        <v>70</v>
      </c>
      <c r="AD115">
        <f>Tabela5[[#This Row],[kan_params]]</f>
        <v>11077</v>
      </c>
      <c r="AE115">
        <f>Tabela5[[#This Row],[kan_train_acc]]</f>
        <v>0.91886794567108154</v>
      </c>
      <c r="AF115">
        <f>Tabela5[[#This Row],[kan_val_acc]]</f>
        <v>1</v>
      </c>
      <c r="AG115">
        <f>Tabela5[[#This Row],[kan_test_acc]]</f>
        <v>0.8622222304344177</v>
      </c>
      <c r="AH115">
        <f>Tabela5[[#This Row],[mlp_test_acc]]</f>
        <v>0.97333333333333327</v>
      </c>
      <c r="AI115">
        <f>Tabela5[[#This Row],[mlp_val_acc]]</f>
        <v>1</v>
      </c>
      <c r="AJ115">
        <f>Tabela5[[#This Row],[mlp_train_acc]]</f>
        <v>0.9188679245283019</v>
      </c>
    </row>
    <row r="116" spans="1:36" x14ac:dyDescent="0.25">
      <c r="A116" t="s">
        <v>209</v>
      </c>
      <c r="B116">
        <v>12</v>
      </c>
      <c r="C116">
        <v>3</v>
      </c>
      <c r="D116">
        <v>4</v>
      </c>
      <c r="E116">
        <v>0</v>
      </c>
      <c r="F116" t="s">
        <v>224</v>
      </c>
      <c r="G116">
        <v>11152</v>
      </c>
      <c r="H116">
        <v>294620003.80000001</v>
      </c>
      <c r="I116">
        <v>1640.8</v>
      </c>
      <c r="J116">
        <v>0.41509433984756472</v>
      </c>
      <c r="K116">
        <v>0.70370370149612427</v>
      </c>
      <c r="L116">
        <v>0.40888890624046326</v>
      </c>
      <c r="M116">
        <v>0.93333333333333335</v>
      </c>
      <c r="N116">
        <v>0.92592592592592593</v>
      </c>
      <c r="O116">
        <v>1</v>
      </c>
      <c r="P116">
        <v>9635</v>
      </c>
      <c r="Q116">
        <v>108536809</v>
      </c>
      <c r="R116">
        <v>11133</v>
      </c>
      <c r="S116">
        <v>2</v>
      </c>
      <c r="T116">
        <v>70</v>
      </c>
      <c r="U116">
        <v>0.93333333333333335</v>
      </c>
      <c r="V116">
        <v>0.94814814814814807</v>
      </c>
      <c r="W116">
        <v>1</v>
      </c>
      <c r="X116">
        <v>9383.4</v>
      </c>
      <c r="Y116">
        <v>412212234.60000002</v>
      </c>
      <c r="Z116">
        <v>11434</v>
      </c>
      <c r="AA116">
        <v>2</v>
      </c>
      <c r="AB116">
        <v>71</v>
      </c>
      <c r="AD116">
        <f>Tabela5[[#This Row],[kan_params]]</f>
        <v>11152</v>
      </c>
      <c r="AE116">
        <f>Tabela5[[#This Row],[kan_train_acc]]</f>
        <v>0.41509433984756472</v>
      </c>
      <c r="AF116">
        <f>Tabela5[[#This Row],[kan_val_acc]]</f>
        <v>0.70370370149612427</v>
      </c>
      <c r="AG116">
        <f>Tabela5[[#This Row],[kan_test_acc]]</f>
        <v>0.40888890624046326</v>
      </c>
      <c r="AH116">
        <f>Tabela5[[#This Row],[mlp_test_acc]]</f>
        <v>0.93333333333333335</v>
      </c>
      <c r="AI116">
        <f>Tabela5[[#This Row],[mlp_val_acc]]</f>
        <v>0.92592592592592593</v>
      </c>
      <c r="AJ116">
        <f>Tabela5[[#This Row],[mlp_train_acc]]</f>
        <v>1</v>
      </c>
    </row>
    <row r="117" spans="1:36" hidden="1" x14ac:dyDescent="0.25">
      <c r="A117" t="s">
        <v>209</v>
      </c>
      <c r="B117">
        <v>14</v>
      </c>
      <c r="C117">
        <v>9</v>
      </c>
      <c r="D117">
        <v>2</v>
      </c>
      <c r="E117">
        <v>0</v>
      </c>
      <c r="F117" t="s">
        <v>224</v>
      </c>
      <c r="G117">
        <v>11152</v>
      </c>
      <c r="H117">
        <v>9381769.8000000007</v>
      </c>
      <c r="I117">
        <v>10000</v>
      </c>
      <c r="J117">
        <v>0.91132075786590572</v>
      </c>
      <c r="K117">
        <v>1</v>
      </c>
      <c r="L117">
        <v>0.82222223281860352</v>
      </c>
      <c r="M117">
        <v>0.96888888888888891</v>
      </c>
      <c r="N117">
        <v>1</v>
      </c>
      <c r="O117">
        <v>0.92264150943396228</v>
      </c>
      <c r="P117">
        <v>791</v>
      </c>
      <c r="Q117">
        <v>9267947.8000000007</v>
      </c>
      <c r="R117">
        <v>11133</v>
      </c>
      <c r="S117">
        <v>2</v>
      </c>
      <c r="T117">
        <v>70</v>
      </c>
      <c r="U117">
        <v>0.97333333333333327</v>
      </c>
      <c r="V117">
        <v>1</v>
      </c>
      <c r="W117">
        <v>0.91509433962264153</v>
      </c>
      <c r="X117">
        <v>670.2</v>
      </c>
      <c r="Y117">
        <v>28924354.199999999</v>
      </c>
      <c r="Z117">
        <v>11434</v>
      </c>
      <c r="AA117">
        <v>2</v>
      </c>
      <c r="AB117">
        <v>71</v>
      </c>
      <c r="AD117">
        <f>Tabela5[[#This Row],[kan_params]]</f>
        <v>11152</v>
      </c>
      <c r="AE117">
        <f>Tabela5[[#This Row],[kan_train_acc]]</f>
        <v>0.91132075786590572</v>
      </c>
      <c r="AF117">
        <f>Tabela5[[#This Row],[kan_val_acc]]</f>
        <v>1</v>
      </c>
      <c r="AG117">
        <f>Tabela5[[#This Row],[kan_test_acc]]</f>
        <v>0.82222223281860352</v>
      </c>
      <c r="AH117">
        <f>Tabela5[[#This Row],[mlp_test_acc]]</f>
        <v>0.96888888888888891</v>
      </c>
      <c r="AI117">
        <f>Tabela5[[#This Row],[mlp_val_acc]]</f>
        <v>1</v>
      </c>
      <c r="AJ117">
        <f>Tabela5[[#This Row],[mlp_train_acc]]</f>
        <v>0.92264150943396228</v>
      </c>
    </row>
    <row r="118" spans="1:36" hidden="1" x14ac:dyDescent="0.25">
      <c r="A118" t="s">
        <v>209</v>
      </c>
      <c r="B118">
        <v>14</v>
      </c>
      <c r="C118">
        <v>5</v>
      </c>
      <c r="D118">
        <v>4</v>
      </c>
      <c r="E118">
        <v>0</v>
      </c>
      <c r="F118" t="s">
        <v>220</v>
      </c>
      <c r="G118">
        <v>11228</v>
      </c>
      <c r="H118">
        <v>229851216.19999999</v>
      </c>
      <c r="I118">
        <v>1410.4</v>
      </c>
      <c r="J118">
        <v>0.46415094733238221</v>
      </c>
      <c r="K118">
        <v>0.74074071645736694</v>
      </c>
      <c r="L118">
        <v>0.40000000596046448</v>
      </c>
      <c r="M118">
        <v>0.93333333333333335</v>
      </c>
      <c r="N118">
        <v>0.96296296296296291</v>
      </c>
      <c r="O118">
        <v>0.98113207547169812</v>
      </c>
      <c r="P118">
        <v>1730.4</v>
      </c>
      <c r="Q118">
        <v>15775716.4</v>
      </c>
      <c r="R118">
        <v>11133</v>
      </c>
      <c r="S118">
        <v>2</v>
      </c>
      <c r="T118">
        <v>70</v>
      </c>
      <c r="U118">
        <v>0.93333333333333335</v>
      </c>
      <c r="V118">
        <v>0.96296296296296291</v>
      </c>
      <c r="W118">
        <v>0.98113207547169812</v>
      </c>
      <c r="X118">
        <v>1780.2</v>
      </c>
      <c r="Y118">
        <v>70579792.799999997</v>
      </c>
      <c r="Z118">
        <v>11434</v>
      </c>
      <c r="AA118">
        <v>2</v>
      </c>
      <c r="AB118">
        <v>71</v>
      </c>
      <c r="AD118">
        <f>Tabela5[[#This Row],[kan_params]]</f>
        <v>11228</v>
      </c>
      <c r="AE118">
        <f>Tabela5[[#This Row],[kan_train_acc]]</f>
        <v>0.46415094733238221</v>
      </c>
      <c r="AF118">
        <f>Tabela5[[#This Row],[kan_val_acc]]</f>
        <v>0.74074071645736694</v>
      </c>
      <c r="AG118">
        <f>Tabela5[[#This Row],[kan_test_acc]]</f>
        <v>0.40000000596046448</v>
      </c>
      <c r="AH118">
        <f>Tabela5[[#This Row],[mlp_test_acc]]</f>
        <v>0.93333333333333335</v>
      </c>
      <c r="AI118">
        <f>Tabela5[[#This Row],[mlp_val_acc]]</f>
        <v>0.96296296296296291</v>
      </c>
      <c r="AJ118">
        <f>Tabela5[[#This Row],[mlp_train_acc]]</f>
        <v>0.98113207547169812</v>
      </c>
    </row>
    <row r="119" spans="1:36" hidden="1" x14ac:dyDescent="0.25">
      <c r="A119" t="s">
        <v>209</v>
      </c>
      <c r="B119">
        <v>14</v>
      </c>
      <c r="C119">
        <v>5</v>
      </c>
      <c r="D119">
        <v>4</v>
      </c>
      <c r="E119">
        <v>0</v>
      </c>
      <c r="F119" t="s">
        <v>212</v>
      </c>
      <c r="G119">
        <v>11316</v>
      </c>
      <c r="H119">
        <v>182217453.19999999</v>
      </c>
      <c r="I119">
        <v>1141.2</v>
      </c>
      <c r="J119">
        <v>0.43584906458854678</v>
      </c>
      <c r="K119">
        <v>0.6814814686775208</v>
      </c>
      <c r="L119">
        <v>0.42222223281860349</v>
      </c>
      <c r="M119">
        <v>0.92888888888888888</v>
      </c>
      <c r="N119">
        <v>0.96296296296296291</v>
      </c>
      <c r="O119">
        <v>0.98490566037735849</v>
      </c>
      <c r="P119">
        <v>2365.4</v>
      </c>
      <c r="Q119">
        <v>20091334.800000001</v>
      </c>
      <c r="R119">
        <v>11133</v>
      </c>
      <c r="S119">
        <v>2</v>
      </c>
      <c r="T119">
        <v>70</v>
      </c>
      <c r="U119">
        <v>0.92888888888888888</v>
      </c>
      <c r="V119">
        <v>0.96296296296296291</v>
      </c>
      <c r="W119">
        <v>0.98490566037735849</v>
      </c>
      <c r="X119">
        <v>2900.6</v>
      </c>
      <c r="Y119">
        <v>97783817.599999994</v>
      </c>
      <c r="Z119">
        <v>11434</v>
      </c>
      <c r="AA119">
        <v>2</v>
      </c>
      <c r="AB119">
        <v>71</v>
      </c>
      <c r="AD119">
        <f>Tabela5[[#This Row],[kan_params]]</f>
        <v>11316</v>
      </c>
      <c r="AE119">
        <f>Tabela5[[#This Row],[kan_train_acc]]</f>
        <v>0.43584906458854678</v>
      </c>
      <c r="AF119">
        <f>Tabela5[[#This Row],[kan_val_acc]]</f>
        <v>0.6814814686775208</v>
      </c>
      <c r="AG119">
        <f>Tabela5[[#This Row],[kan_test_acc]]</f>
        <v>0.42222223281860349</v>
      </c>
      <c r="AH119">
        <f>Tabela5[[#This Row],[mlp_test_acc]]</f>
        <v>0.92888888888888888</v>
      </c>
      <c r="AI119">
        <f>Tabela5[[#This Row],[mlp_val_acc]]</f>
        <v>0.96296296296296291</v>
      </c>
      <c r="AJ119">
        <f>Tabela5[[#This Row],[mlp_train_acc]]</f>
        <v>0.98490566037735849</v>
      </c>
    </row>
    <row r="120" spans="1:36" x14ac:dyDescent="0.25">
      <c r="A120" t="s">
        <v>209</v>
      </c>
      <c r="B120">
        <v>10</v>
      </c>
      <c r="C120">
        <v>3</v>
      </c>
      <c r="D120">
        <v>3</v>
      </c>
      <c r="E120">
        <v>0</v>
      </c>
      <c r="F120" t="s">
        <v>225</v>
      </c>
      <c r="G120">
        <v>11322</v>
      </c>
      <c r="H120">
        <v>233177757.59999999</v>
      </c>
      <c r="I120">
        <v>5172</v>
      </c>
      <c r="J120">
        <v>0.92452831268310542</v>
      </c>
      <c r="K120">
        <v>0.97037037611007693</v>
      </c>
      <c r="L120">
        <v>0.85333334207534794</v>
      </c>
      <c r="M120">
        <v>0.93333333333333335</v>
      </c>
      <c r="N120">
        <v>1</v>
      </c>
      <c r="O120">
        <v>1</v>
      </c>
      <c r="P120">
        <v>2288.8000000000002</v>
      </c>
      <c r="Q120">
        <v>26418019.600000001</v>
      </c>
      <c r="R120">
        <v>11133</v>
      </c>
      <c r="S120">
        <v>2</v>
      </c>
      <c r="T120">
        <v>70</v>
      </c>
      <c r="U120">
        <v>0.92888888888888888</v>
      </c>
      <c r="V120">
        <v>0.99259259259259258</v>
      </c>
      <c r="W120">
        <v>1</v>
      </c>
      <c r="X120">
        <v>3780.6</v>
      </c>
      <c r="Y120">
        <v>166545094.19999999</v>
      </c>
      <c r="Z120">
        <v>11434</v>
      </c>
      <c r="AA120">
        <v>2</v>
      </c>
      <c r="AB120">
        <v>71</v>
      </c>
      <c r="AD120">
        <f>Tabela5[[#This Row],[kan_params]]</f>
        <v>11322</v>
      </c>
      <c r="AE120">
        <f>Tabela5[[#This Row],[kan_train_acc]]</f>
        <v>0.92452831268310542</v>
      </c>
      <c r="AF120">
        <f>Tabela5[[#This Row],[kan_val_acc]]</f>
        <v>0.97037037611007693</v>
      </c>
      <c r="AG120">
        <f>Tabela5[[#This Row],[kan_test_acc]]</f>
        <v>0.85333334207534794</v>
      </c>
      <c r="AH120">
        <f>Tabela5[[#This Row],[mlp_test_acc]]</f>
        <v>0.93333333333333335</v>
      </c>
      <c r="AI120">
        <f>Tabela5[[#This Row],[mlp_val_acc]]</f>
        <v>1</v>
      </c>
      <c r="AJ120">
        <f>Tabela5[[#This Row],[mlp_train_acc]]</f>
        <v>1</v>
      </c>
    </row>
    <row r="121" spans="1:36" hidden="1" x14ac:dyDescent="0.25">
      <c r="A121" t="s">
        <v>209</v>
      </c>
      <c r="B121">
        <v>10</v>
      </c>
      <c r="C121">
        <v>5</v>
      </c>
      <c r="D121">
        <v>2</v>
      </c>
      <c r="E121">
        <v>0</v>
      </c>
      <c r="F121" t="s">
        <v>222</v>
      </c>
      <c r="G121">
        <v>11340</v>
      </c>
      <c r="H121">
        <v>854067675.39999998</v>
      </c>
      <c r="I121">
        <v>4656.3999999999996</v>
      </c>
      <c r="J121">
        <v>1</v>
      </c>
      <c r="K121">
        <v>0.94074074029922483</v>
      </c>
      <c r="L121">
        <v>0.96000000238418581</v>
      </c>
      <c r="M121">
        <v>0.97777777777777775</v>
      </c>
      <c r="N121">
        <v>0.94074074074074077</v>
      </c>
      <c r="O121">
        <v>1</v>
      </c>
      <c r="P121">
        <v>3396.4</v>
      </c>
      <c r="Q121">
        <v>42066545.399999999</v>
      </c>
      <c r="R121">
        <v>11133</v>
      </c>
      <c r="S121">
        <v>2</v>
      </c>
      <c r="T121">
        <v>70</v>
      </c>
      <c r="U121">
        <v>0.97777777777777775</v>
      </c>
      <c r="V121">
        <v>0.93333333333333335</v>
      </c>
      <c r="W121">
        <v>0.99433962264150944</v>
      </c>
      <c r="X121">
        <v>2989.4</v>
      </c>
      <c r="Y121">
        <v>135635651.59999999</v>
      </c>
      <c r="Z121">
        <v>11434</v>
      </c>
      <c r="AA121">
        <v>2</v>
      </c>
      <c r="AB121">
        <v>71</v>
      </c>
      <c r="AD121">
        <f>Tabela5[[#This Row],[kan_params]]</f>
        <v>11340</v>
      </c>
      <c r="AE121">
        <f>Tabela5[[#This Row],[kan_train_acc]]</f>
        <v>1</v>
      </c>
      <c r="AF121">
        <f>Tabela5[[#This Row],[kan_val_acc]]</f>
        <v>0.94074074029922483</v>
      </c>
      <c r="AG121">
        <f>Tabela5[[#This Row],[kan_test_acc]]</f>
        <v>0.96000000238418581</v>
      </c>
      <c r="AH121">
        <f>Tabela5[[#This Row],[mlp_test_acc]]</f>
        <v>0.97777777777777775</v>
      </c>
      <c r="AI121">
        <f>Tabela5[[#This Row],[mlp_val_acc]]</f>
        <v>0.94074074074074077</v>
      </c>
      <c r="AJ121">
        <f>Tabela5[[#This Row],[mlp_train_acc]]</f>
        <v>1</v>
      </c>
    </row>
    <row r="122" spans="1:36" x14ac:dyDescent="0.25">
      <c r="A122" t="s">
        <v>209</v>
      </c>
      <c r="B122">
        <v>14</v>
      </c>
      <c r="C122">
        <v>3</v>
      </c>
      <c r="D122">
        <v>5</v>
      </c>
      <c r="E122">
        <v>0</v>
      </c>
      <c r="F122" t="s">
        <v>215</v>
      </c>
      <c r="G122">
        <v>11454</v>
      </c>
      <c r="H122">
        <v>251050733</v>
      </c>
      <c r="I122">
        <v>1189.5999999999999</v>
      </c>
      <c r="J122">
        <v>0.41509433984756472</v>
      </c>
      <c r="K122">
        <v>0.66666667461395268</v>
      </c>
      <c r="L122">
        <v>0.39111112058162689</v>
      </c>
      <c r="M122">
        <v>0.95111111111111113</v>
      </c>
      <c r="N122">
        <v>0.94814814814814807</v>
      </c>
      <c r="O122">
        <v>1</v>
      </c>
      <c r="P122">
        <v>3452</v>
      </c>
      <c r="Q122">
        <v>151828319.80000001</v>
      </c>
      <c r="R122">
        <v>11434</v>
      </c>
      <c r="S122">
        <v>2</v>
      </c>
      <c r="T122">
        <v>71</v>
      </c>
      <c r="U122">
        <v>0.95111111111111113</v>
      </c>
      <c r="V122">
        <v>0.95555555555555549</v>
      </c>
      <c r="W122">
        <v>1</v>
      </c>
      <c r="X122">
        <v>3138.8</v>
      </c>
      <c r="Y122">
        <v>150074821.19999999</v>
      </c>
      <c r="Z122">
        <v>11739</v>
      </c>
      <c r="AA122">
        <v>2</v>
      </c>
      <c r="AB122">
        <v>72</v>
      </c>
      <c r="AD122">
        <f>Tabela5[[#This Row],[kan_params]]</f>
        <v>11454</v>
      </c>
      <c r="AE122">
        <f>Tabela5[[#This Row],[kan_train_acc]]</f>
        <v>0.41509433984756472</v>
      </c>
      <c r="AF122">
        <f>Tabela5[[#This Row],[kan_val_acc]]</f>
        <v>0.66666667461395268</v>
      </c>
      <c r="AG122">
        <f>Tabela5[[#This Row],[kan_test_acc]]</f>
        <v>0.39111112058162689</v>
      </c>
      <c r="AH122">
        <f>Tabela5[[#This Row],[mlp_test_acc]]</f>
        <v>0.95111111111111113</v>
      </c>
      <c r="AI122">
        <f>Tabela5[[#This Row],[mlp_val_acc]]</f>
        <v>0.94814814814814807</v>
      </c>
      <c r="AJ122">
        <f>Tabela5[[#This Row],[mlp_train_acc]]</f>
        <v>1</v>
      </c>
    </row>
    <row r="123" spans="1:36" hidden="1" x14ac:dyDescent="0.25">
      <c r="A123" t="s">
        <v>209</v>
      </c>
      <c r="B123">
        <v>16</v>
      </c>
      <c r="C123">
        <v>9</v>
      </c>
      <c r="D123">
        <v>3</v>
      </c>
      <c r="E123">
        <v>0</v>
      </c>
      <c r="F123" t="s">
        <v>215</v>
      </c>
      <c r="G123">
        <v>11454</v>
      </c>
      <c r="H123">
        <v>9003885.5999999996</v>
      </c>
      <c r="I123">
        <v>10000</v>
      </c>
      <c r="J123">
        <v>0.91509435176849363</v>
      </c>
      <c r="K123">
        <v>1</v>
      </c>
      <c r="L123">
        <v>0.82666667699813845</v>
      </c>
      <c r="M123">
        <v>0.97777777777777775</v>
      </c>
      <c r="N123">
        <v>1</v>
      </c>
      <c r="O123">
        <v>0.9188679245283019</v>
      </c>
      <c r="P123">
        <v>780.2</v>
      </c>
      <c r="Q123">
        <v>34816513.200000003</v>
      </c>
      <c r="R123">
        <v>11434</v>
      </c>
      <c r="S123">
        <v>2</v>
      </c>
      <c r="T123">
        <v>71</v>
      </c>
      <c r="U123">
        <v>0.99111111111111105</v>
      </c>
      <c r="V123">
        <v>1</v>
      </c>
      <c r="W123">
        <v>0.92641509433962266</v>
      </c>
      <c r="X123">
        <v>843.8</v>
      </c>
      <c r="Y123">
        <v>39216491.799999997</v>
      </c>
      <c r="Z123">
        <v>11739</v>
      </c>
      <c r="AA123">
        <v>2</v>
      </c>
      <c r="AB123">
        <v>72</v>
      </c>
      <c r="AD123">
        <f>Tabela5[[#This Row],[kan_params]]</f>
        <v>11454</v>
      </c>
      <c r="AE123">
        <f>Tabela5[[#This Row],[kan_train_acc]]</f>
        <v>0.91509435176849363</v>
      </c>
      <c r="AF123">
        <f>Tabela5[[#This Row],[kan_val_acc]]</f>
        <v>1</v>
      </c>
      <c r="AG123">
        <f>Tabela5[[#This Row],[kan_test_acc]]</f>
        <v>0.82666667699813845</v>
      </c>
      <c r="AH123">
        <f>Tabela5[[#This Row],[mlp_test_acc]]</f>
        <v>0.97777777777777775</v>
      </c>
      <c r="AI123">
        <f>Tabela5[[#This Row],[mlp_val_acc]]</f>
        <v>1</v>
      </c>
      <c r="AJ123">
        <f>Tabela5[[#This Row],[mlp_train_acc]]</f>
        <v>0.9188679245283019</v>
      </c>
    </row>
    <row r="124" spans="1:36" hidden="1" x14ac:dyDescent="0.25">
      <c r="A124" t="s">
        <v>209</v>
      </c>
      <c r="B124">
        <v>18</v>
      </c>
      <c r="C124">
        <v>9</v>
      </c>
      <c r="D124">
        <v>4</v>
      </c>
      <c r="E124">
        <v>0</v>
      </c>
      <c r="F124" t="s">
        <v>211</v>
      </c>
      <c r="G124">
        <v>11459</v>
      </c>
      <c r="H124">
        <v>209452154.40000001</v>
      </c>
      <c r="I124">
        <v>1129.8</v>
      </c>
      <c r="J124">
        <v>0.4792452812194824</v>
      </c>
      <c r="K124">
        <v>0.77777779102325439</v>
      </c>
      <c r="L124">
        <v>0.43111112117767336</v>
      </c>
      <c r="M124">
        <v>0.9244444444444444</v>
      </c>
      <c r="N124">
        <v>0.99259259259259258</v>
      </c>
      <c r="O124">
        <v>0.93207547169811322</v>
      </c>
      <c r="P124">
        <v>1207.5999999999999</v>
      </c>
      <c r="Q124">
        <v>33183816.199999999</v>
      </c>
      <c r="R124">
        <v>11434</v>
      </c>
      <c r="S124">
        <v>2</v>
      </c>
      <c r="T124">
        <v>71</v>
      </c>
      <c r="U124">
        <v>0.93333333333333335</v>
      </c>
      <c r="V124">
        <v>0.98518518518518516</v>
      </c>
      <c r="W124">
        <v>0.94528301886792454</v>
      </c>
      <c r="X124">
        <v>1720.2</v>
      </c>
      <c r="Y124">
        <v>41263472.799999997</v>
      </c>
      <c r="Z124">
        <v>11739</v>
      </c>
      <c r="AA124">
        <v>2</v>
      </c>
      <c r="AB124">
        <v>72</v>
      </c>
      <c r="AD124">
        <f>Tabela5[[#This Row],[kan_params]]</f>
        <v>11459</v>
      </c>
      <c r="AE124">
        <f>Tabela5[[#This Row],[kan_train_acc]]</f>
        <v>0.4792452812194824</v>
      </c>
      <c r="AF124">
        <f>Tabela5[[#This Row],[kan_val_acc]]</f>
        <v>0.77777779102325439</v>
      </c>
      <c r="AG124">
        <f>Tabela5[[#This Row],[kan_test_acc]]</f>
        <v>0.43111112117767336</v>
      </c>
      <c r="AH124">
        <f>Tabela5[[#This Row],[mlp_test_acc]]</f>
        <v>0.9244444444444444</v>
      </c>
      <c r="AI124">
        <f>Tabela5[[#This Row],[mlp_val_acc]]</f>
        <v>0.99259259259259258</v>
      </c>
      <c r="AJ124">
        <f>Tabela5[[#This Row],[mlp_train_acc]]</f>
        <v>0.93207547169811322</v>
      </c>
    </row>
    <row r="125" spans="1:36" hidden="1" x14ac:dyDescent="0.25">
      <c r="A125" t="s">
        <v>209</v>
      </c>
      <c r="B125">
        <v>16</v>
      </c>
      <c r="C125">
        <v>5</v>
      </c>
      <c r="D125">
        <v>5</v>
      </c>
      <c r="E125">
        <v>0</v>
      </c>
      <c r="F125" t="s">
        <v>217</v>
      </c>
      <c r="G125">
        <v>11577</v>
      </c>
      <c r="H125">
        <v>309213100.19999999</v>
      </c>
      <c r="I125">
        <v>1548</v>
      </c>
      <c r="J125">
        <v>0.40754716396331786</v>
      </c>
      <c r="K125">
        <v>0.76296297311782835</v>
      </c>
      <c r="L125">
        <v>0.38222223222255708</v>
      </c>
      <c r="M125">
        <v>0.99555555555555553</v>
      </c>
      <c r="N125">
        <v>1</v>
      </c>
      <c r="O125">
        <v>0.92264150943396228</v>
      </c>
      <c r="P125">
        <v>805.8</v>
      </c>
      <c r="Q125">
        <v>32862776.800000001</v>
      </c>
      <c r="R125">
        <v>11434</v>
      </c>
      <c r="S125">
        <v>2</v>
      </c>
      <c r="T125">
        <v>71</v>
      </c>
      <c r="U125">
        <v>0.97333333333333327</v>
      </c>
      <c r="V125">
        <v>1</v>
      </c>
      <c r="W125">
        <v>0.91132075471698115</v>
      </c>
      <c r="X125">
        <v>701.6</v>
      </c>
      <c r="Y125">
        <v>31107592.399999999</v>
      </c>
      <c r="Z125">
        <v>11739</v>
      </c>
      <c r="AA125">
        <v>2</v>
      </c>
      <c r="AB125">
        <v>72</v>
      </c>
      <c r="AD125">
        <f>Tabela5[[#This Row],[kan_params]]</f>
        <v>11577</v>
      </c>
      <c r="AE125">
        <f>Tabela5[[#This Row],[kan_train_acc]]</f>
        <v>0.40754716396331786</v>
      </c>
      <c r="AF125">
        <f>Tabela5[[#This Row],[kan_val_acc]]</f>
        <v>0.76296297311782835</v>
      </c>
      <c r="AG125">
        <f>Tabela5[[#This Row],[kan_test_acc]]</f>
        <v>0.38222223222255708</v>
      </c>
      <c r="AH125">
        <f>Tabela5[[#This Row],[mlp_test_acc]]</f>
        <v>0.99555555555555553</v>
      </c>
      <c r="AI125">
        <f>Tabela5[[#This Row],[mlp_val_acc]]</f>
        <v>1</v>
      </c>
      <c r="AJ125">
        <f>Tabela5[[#This Row],[mlp_train_acc]]</f>
        <v>0.92264150943396228</v>
      </c>
    </row>
    <row r="126" spans="1:36" x14ac:dyDescent="0.25">
      <c r="A126" t="s">
        <v>209</v>
      </c>
      <c r="B126">
        <v>12</v>
      </c>
      <c r="C126">
        <v>3</v>
      </c>
      <c r="D126">
        <v>4</v>
      </c>
      <c r="E126">
        <v>0</v>
      </c>
      <c r="F126" t="s">
        <v>216</v>
      </c>
      <c r="G126">
        <v>11612</v>
      </c>
      <c r="H126">
        <v>213388656.59999999</v>
      </c>
      <c r="I126">
        <v>1157.4000000000001</v>
      </c>
      <c r="J126">
        <v>0.5735849142074585</v>
      </c>
      <c r="K126">
        <v>0.68888889551162724</v>
      </c>
      <c r="L126">
        <v>0.4977777898311615</v>
      </c>
      <c r="M126">
        <v>0.93333333333333335</v>
      </c>
      <c r="N126">
        <v>0.94074074074074077</v>
      </c>
      <c r="O126">
        <v>1</v>
      </c>
      <c r="P126">
        <v>9732.6</v>
      </c>
      <c r="Q126">
        <v>321003685.19999999</v>
      </c>
      <c r="R126">
        <v>11434</v>
      </c>
      <c r="S126">
        <v>2</v>
      </c>
      <c r="T126">
        <v>71</v>
      </c>
      <c r="U126">
        <v>0.93333333333333335</v>
      </c>
      <c r="V126">
        <v>0.94814814814814807</v>
      </c>
      <c r="W126">
        <v>1</v>
      </c>
      <c r="X126">
        <v>9488.6</v>
      </c>
      <c r="Y126">
        <v>170882533.80000001</v>
      </c>
      <c r="Z126">
        <v>11739</v>
      </c>
      <c r="AA126">
        <v>2</v>
      </c>
      <c r="AB126">
        <v>72</v>
      </c>
      <c r="AD126">
        <f>Tabela5[[#This Row],[kan_params]]</f>
        <v>11612</v>
      </c>
      <c r="AE126">
        <f>Tabela5[[#This Row],[kan_train_acc]]</f>
        <v>0.5735849142074585</v>
      </c>
      <c r="AF126">
        <f>Tabela5[[#This Row],[kan_val_acc]]</f>
        <v>0.68888889551162724</v>
      </c>
      <c r="AG126">
        <f>Tabela5[[#This Row],[kan_test_acc]]</f>
        <v>0.4977777898311615</v>
      </c>
      <c r="AH126">
        <f>Tabela5[[#This Row],[mlp_test_acc]]</f>
        <v>0.93333333333333335</v>
      </c>
      <c r="AI126">
        <f>Tabela5[[#This Row],[mlp_val_acc]]</f>
        <v>0.94074074074074077</v>
      </c>
      <c r="AJ126">
        <f>Tabela5[[#This Row],[mlp_train_acc]]</f>
        <v>1</v>
      </c>
    </row>
    <row r="127" spans="1:36" hidden="1" x14ac:dyDescent="0.25">
      <c r="A127" t="s">
        <v>209</v>
      </c>
      <c r="B127">
        <v>14</v>
      </c>
      <c r="C127">
        <v>9</v>
      </c>
      <c r="D127">
        <v>2</v>
      </c>
      <c r="E127">
        <v>0</v>
      </c>
      <c r="F127" t="s">
        <v>216</v>
      </c>
      <c r="G127">
        <v>11612</v>
      </c>
      <c r="H127">
        <v>360754418</v>
      </c>
      <c r="I127">
        <v>10000</v>
      </c>
      <c r="J127">
        <v>0.97547169923782351</v>
      </c>
      <c r="K127">
        <v>0.99259259700775149</v>
      </c>
      <c r="L127">
        <v>0.87555556297302251</v>
      </c>
      <c r="M127">
        <v>0.98666666666666669</v>
      </c>
      <c r="N127">
        <v>1</v>
      </c>
      <c r="O127">
        <v>0.9188679245283019</v>
      </c>
      <c r="P127">
        <v>762.2</v>
      </c>
      <c r="Q127">
        <v>36459335.200000003</v>
      </c>
      <c r="R127">
        <v>11434</v>
      </c>
      <c r="S127">
        <v>2</v>
      </c>
      <c r="T127">
        <v>71</v>
      </c>
      <c r="U127">
        <v>0.97777777777777775</v>
      </c>
      <c r="V127">
        <v>1</v>
      </c>
      <c r="W127">
        <v>0.91509433962264153</v>
      </c>
      <c r="X127">
        <v>721</v>
      </c>
      <c r="Y127">
        <v>34560679</v>
      </c>
      <c r="Z127">
        <v>11739</v>
      </c>
      <c r="AA127">
        <v>2</v>
      </c>
      <c r="AB127">
        <v>72</v>
      </c>
      <c r="AD127">
        <f>Tabela5[[#This Row],[kan_params]]</f>
        <v>11612</v>
      </c>
      <c r="AE127">
        <f>Tabela5[[#This Row],[kan_train_acc]]</f>
        <v>0.97547169923782351</v>
      </c>
      <c r="AF127">
        <f>Tabela5[[#This Row],[kan_val_acc]]</f>
        <v>0.99259259700775149</v>
      </c>
      <c r="AG127">
        <f>Tabela5[[#This Row],[kan_test_acc]]</f>
        <v>0.87555556297302251</v>
      </c>
      <c r="AH127">
        <f>Tabela5[[#This Row],[mlp_test_acc]]</f>
        <v>0.98666666666666669</v>
      </c>
      <c r="AI127">
        <f>Tabela5[[#This Row],[mlp_val_acc]]</f>
        <v>1</v>
      </c>
      <c r="AJ127">
        <f>Tabela5[[#This Row],[mlp_train_acc]]</f>
        <v>0.9188679245283019</v>
      </c>
    </row>
    <row r="128" spans="1:36" x14ac:dyDescent="0.25">
      <c r="A128" t="s">
        <v>209</v>
      </c>
      <c r="B128">
        <v>14</v>
      </c>
      <c r="C128">
        <v>3</v>
      </c>
      <c r="D128">
        <v>5</v>
      </c>
      <c r="E128">
        <v>0</v>
      </c>
      <c r="F128" t="s">
        <v>220</v>
      </c>
      <c r="G128">
        <v>11761</v>
      </c>
      <c r="H128">
        <v>237254520.40000001</v>
      </c>
      <c r="I128">
        <v>1117.5999999999999</v>
      </c>
      <c r="J128">
        <v>0.60188679099082942</v>
      </c>
      <c r="K128">
        <v>0.73333334922790527</v>
      </c>
      <c r="L128">
        <v>0.54666667580604555</v>
      </c>
      <c r="M128">
        <v>0.95111111111111113</v>
      </c>
      <c r="N128">
        <v>0.95555555555555549</v>
      </c>
      <c r="O128">
        <v>1</v>
      </c>
      <c r="P128">
        <v>3287.2</v>
      </c>
      <c r="Q128">
        <v>144589683.59999999</v>
      </c>
      <c r="R128">
        <v>11739</v>
      </c>
      <c r="S128">
        <v>2</v>
      </c>
      <c r="T128">
        <v>72</v>
      </c>
      <c r="U128">
        <v>0.95111111111111113</v>
      </c>
      <c r="V128">
        <v>0.93333333333333335</v>
      </c>
      <c r="W128">
        <v>1</v>
      </c>
      <c r="X128">
        <v>4503.3999999999996</v>
      </c>
      <c r="Y128">
        <v>215518974</v>
      </c>
      <c r="Z128">
        <v>12048</v>
      </c>
      <c r="AA128">
        <v>2</v>
      </c>
      <c r="AB128">
        <v>73</v>
      </c>
      <c r="AD128">
        <f>Tabela5[[#This Row],[kan_params]]</f>
        <v>11761</v>
      </c>
      <c r="AE128">
        <f>Tabela5[[#This Row],[kan_train_acc]]</f>
        <v>0.60188679099082942</v>
      </c>
      <c r="AF128">
        <f>Tabela5[[#This Row],[kan_val_acc]]</f>
        <v>0.73333334922790527</v>
      </c>
      <c r="AG128">
        <f>Tabela5[[#This Row],[kan_test_acc]]</f>
        <v>0.54666667580604555</v>
      </c>
      <c r="AH128">
        <f>Tabela5[[#This Row],[mlp_test_acc]]</f>
        <v>0.95111111111111113</v>
      </c>
      <c r="AI128">
        <f>Tabela5[[#This Row],[mlp_val_acc]]</f>
        <v>0.95555555555555549</v>
      </c>
      <c r="AJ128">
        <f>Tabela5[[#This Row],[mlp_train_acc]]</f>
        <v>1</v>
      </c>
    </row>
    <row r="129" spans="1:36" hidden="1" x14ac:dyDescent="0.25">
      <c r="A129" t="s">
        <v>209</v>
      </c>
      <c r="B129">
        <v>16</v>
      </c>
      <c r="C129">
        <v>9</v>
      </c>
      <c r="D129">
        <v>3</v>
      </c>
      <c r="E129">
        <v>0</v>
      </c>
      <c r="F129" t="s">
        <v>220</v>
      </c>
      <c r="G129">
        <v>11761</v>
      </c>
      <c r="H129">
        <v>29703163.800000001</v>
      </c>
      <c r="I129">
        <v>10000</v>
      </c>
      <c r="J129">
        <v>0.91698113679885862</v>
      </c>
      <c r="K129">
        <v>1</v>
      </c>
      <c r="L129">
        <v>0.82222223281860352</v>
      </c>
      <c r="M129">
        <v>0.96888888888888891</v>
      </c>
      <c r="N129">
        <v>1</v>
      </c>
      <c r="O129">
        <v>0.91509433962264153</v>
      </c>
      <c r="P129">
        <v>772.6</v>
      </c>
      <c r="Q129">
        <v>33009546.600000001</v>
      </c>
      <c r="R129">
        <v>11739</v>
      </c>
      <c r="S129">
        <v>2</v>
      </c>
      <c r="T129">
        <v>72</v>
      </c>
      <c r="U129">
        <v>0.96888888888888891</v>
      </c>
      <c r="V129">
        <v>1</v>
      </c>
      <c r="W129">
        <v>0.9188679245283019</v>
      </c>
      <c r="X129">
        <v>776.8</v>
      </c>
      <c r="Y129">
        <v>35857732.600000001</v>
      </c>
      <c r="Z129">
        <v>12048</v>
      </c>
      <c r="AA129">
        <v>2</v>
      </c>
      <c r="AB129">
        <v>73</v>
      </c>
      <c r="AD129">
        <f>Tabela5[[#This Row],[kan_params]]</f>
        <v>11761</v>
      </c>
      <c r="AE129">
        <f>Tabela5[[#This Row],[kan_train_acc]]</f>
        <v>0.91698113679885862</v>
      </c>
      <c r="AF129">
        <f>Tabela5[[#This Row],[kan_val_acc]]</f>
        <v>1</v>
      </c>
      <c r="AG129">
        <f>Tabela5[[#This Row],[kan_test_acc]]</f>
        <v>0.82222223281860352</v>
      </c>
      <c r="AH129">
        <f>Tabela5[[#This Row],[mlp_test_acc]]</f>
        <v>0.96888888888888891</v>
      </c>
      <c r="AI129">
        <f>Tabela5[[#This Row],[mlp_val_acc]]</f>
        <v>1</v>
      </c>
      <c r="AJ129">
        <f>Tabela5[[#This Row],[mlp_train_acc]]</f>
        <v>0.91509433962264153</v>
      </c>
    </row>
    <row r="130" spans="1:36" x14ac:dyDescent="0.25">
      <c r="A130" t="s">
        <v>209</v>
      </c>
      <c r="B130">
        <v>14</v>
      </c>
      <c r="C130">
        <v>3</v>
      </c>
      <c r="D130">
        <v>5</v>
      </c>
      <c r="E130">
        <v>0</v>
      </c>
      <c r="F130" t="s">
        <v>212</v>
      </c>
      <c r="G130">
        <v>11853</v>
      </c>
      <c r="H130">
        <v>260562812.80000001</v>
      </c>
      <c r="I130">
        <v>1216</v>
      </c>
      <c r="J130">
        <v>0.45471697449684145</v>
      </c>
      <c r="K130">
        <v>0.67407406568527217</v>
      </c>
      <c r="L130">
        <v>0.471111124753952</v>
      </c>
      <c r="M130">
        <v>0.95111111111111113</v>
      </c>
      <c r="N130">
        <v>0.95555555555555549</v>
      </c>
      <c r="O130">
        <v>1</v>
      </c>
      <c r="P130">
        <v>3456.8</v>
      </c>
      <c r="Q130">
        <v>162985472</v>
      </c>
      <c r="R130">
        <v>11739</v>
      </c>
      <c r="S130">
        <v>2</v>
      </c>
      <c r="T130">
        <v>72</v>
      </c>
      <c r="U130">
        <v>0.95111111111111113</v>
      </c>
      <c r="V130">
        <v>0.95555555555555549</v>
      </c>
      <c r="W130">
        <v>1</v>
      </c>
      <c r="X130">
        <v>3205.8</v>
      </c>
      <c r="Y130">
        <v>147984710.19999999</v>
      </c>
      <c r="Z130">
        <v>12048</v>
      </c>
      <c r="AA130">
        <v>2</v>
      </c>
      <c r="AB130">
        <v>73</v>
      </c>
      <c r="AD130">
        <f>Tabela5[[#This Row],[kan_params]]</f>
        <v>11853</v>
      </c>
      <c r="AE130">
        <f>Tabela5[[#This Row],[kan_train_acc]]</f>
        <v>0.45471697449684145</v>
      </c>
      <c r="AF130">
        <f>Tabela5[[#This Row],[kan_val_acc]]</f>
        <v>0.67407406568527217</v>
      </c>
      <c r="AG130">
        <f>Tabela5[[#This Row],[kan_test_acc]]</f>
        <v>0.471111124753952</v>
      </c>
      <c r="AH130">
        <f>Tabela5[[#This Row],[mlp_test_acc]]</f>
        <v>0.95111111111111113</v>
      </c>
      <c r="AI130">
        <f>Tabela5[[#This Row],[mlp_val_acc]]</f>
        <v>0.95555555555555549</v>
      </c>
      <c r="AJ130">
        <f>Tabela5[[#This Row],[mlp_train_acc]]</f>
        <v>1</v>
      </c>
    </row>
    <row r="131" spans="1:36" hidden="1" x14ac:dyDescent="0.25">
      <c r="A131" t="s">
        <v>209</v>
      </c>
      <c r="B131">
        <v>16</v>
      </c>
      <c r="C131">
        <v>9</v>
      </c>
      <c r="D131">
        <v>3</v>
      </c>
      <c r="E131">
        <v>0</v>
      </c>
      <c r="F131" t="s">
        <v>212</v>
      </c>
      <c r="G131">
        <v>11853</v>
      </c>
      <c r="H131">
        <v>10114266</v>
      </c>
      <c r="I131">
        <v>10000</v>
      </c>
      <c r="J131">
        <v>0.91132074594497681</v>
      </c>
      <c r="K131">
        <v>1</v>
      </c>
      <c r="L131">
        <v>0.79555556774139402</v>
      </c>
      <c r="M131">
        <v>0.97777777777777775</v>
      </c>
      <c r="N131">
        <v>1</v>
      </c>
      <c r="O131">
        <v>0.92641509433962266</v>
      </c>
      <c r="P131">
        <v>849.2</v>
      </c>
      <c r="Q131">
        <v>37009841.399999999</v>
      </c>
      <c r="R131">
        <v>11739</v>
      </c>
      <c r="S131">
        <v>2</v>
      </c>
      <c r="T131">
        <v>72</v>
      </c>
      <c r="U131">
        <v>0.99111111111111105</v>
      </c>
      <c r="V131">
        <v>1</v>
      </c>
      <c r="W131">
        <v>0.92264150943396228</v>
      </c>
      <c r="X131">
        <v>851.2</v>
      </c>
      <c r="Y131">
        <v>36682315.600000001</v>
      </c>
      <c r="Z131">
        <v>12048</v>
      </c>
      <c r="AA131">
        <v>2</v>
      </c>
      <c r="AB131">
        <v>73</v>
      </c>
      <c r="AD131">
        <f>Tabela5[[#This Row],[kan_params]]</f>
        <v>11853</v>
      </c>
      <c r="AE131">
        <f>Tabela5[[#This Row],[kan_train_acc]]</f>
        <v>0.91132074594497681</v>
      </c>
      <c r="AF131">
        <f>Tabela5[[#This Row],[kan_val_acc]]</f>
        <v>1</v>
      </c>
      <c r="AG131">
        <f>Tabela5[[#This Row],[kan_test_acc]]</f>
        <v>0.79555556774139402</v>
      </c>
      <c r="AH131">
        <f>Tabela5[[#This Row],[mlp_test_acc]]</f>
        <v>0.97777777777777775</v>
      </c>
      <c r="AI131">
        <f>Tabela5[[#This Row],[mlp_val_acc]]</f>
        <v>1</v>
      </c>
      <c r="AJ131">
        <f>Tabela5[[#This Row],[mlp_train_acc]]</f>
        <v>0.92641509433962266</v>
      </c>
    </row>
    <row r="132" spans="1:36" hidden="1" x14ac:dyDescent="0.25">
      <c r="A132" t="s">
        <v>209</v>
      </c>
      <c r="B132">
        <v>20</v>
      </c>
      <c r="C132">
        <v>9</v>
      </c>
      <c r="D132">
        <v>5</v>
      </c>
      <c r="E132">
        <v>0</v>
      </c>
      <c r="F132" t="s">
        <v>214</v>
      </c>
      <c r="G132">
        <v>12043</v>
      </c>
      <c r="H132">
        <v>254501888.40000001</v>
      </c>
      <c r="I132">
        <v>1176</v>
      </c>
      <c r="J132">
        <v>0.32830189168453217</v>
      </c>
      <c r="K132">
        <v>0.66666666269302366</v>
      </c>
      <c r="L132">
        <v>0.43111112117767336</v>
      </c>
      <c r="M132">
        <v>0.97777777777777775</v>
      </c>
      <c r="N132">
        <v>1</v>
      </c>
      <c r="O132">
        <v>0.97169811320754718</v>
      </c>
      <c r="P132">
        <v>1414.6</v>
      </c>
      <c r="Q132">
        <v>62049781</v>
      </c>
      <c r="R132">
        <v>11739</v>
      </c>
      <c r="S132">
        <v>2</v>
      </c>
      <c r="T132">
        <v>72</v>
      </c>
      <c r="U132">
        <v>0.97777777777777775</v>
      </c>
      <c r="V132">
        <v>1</v>
      </c>
      <c r="W132">
        <v>0.97358490566037736</v>
      </c>
      <c r="X132">
        <v>1621.4</v>
      </c>
      <c r="Y132">
        <v>75366502.400000006</v>
      </c>
      <c r="Z132">
        <v>12048</v>
      </c>
      <c r="AA132">
        <v>2</v>
      </c>
      <c r="AB132">
        <v>73</v>
      </c>
      <c r="AD132">
        <f>Tabela5[[#This Row],[kan_params]]</f>
        <v>12043</v>
      </c>
      <c r="AE132">
        <f>Tabela5[[#This Row],[kan_train_acc]]</f>
        <v>0.32830189168453217</v>
      </c>
      <c r="AF132">
        <f>Tabela5[[#This Row],[kan_val_acc]]</f>
        <v>0.66666666269302366</v>
      </c>
      <c r="AG132">
        <f>Tabela5[[#This Row],[kan_test_acc]]</f>
        <v>0.43111112117767336</v>
      </c>
      <c r="AH132">
        <f>Tabela5[[#This Row],[mlp_test_acc]]</f>
        <v>0.97777777777777775</v>
      </c>
      <c r="AI132">
        <f>Tabela5[[#This Row],[mlp_val_acc]]</f>
        <v>1</v>
      </c>
      <c r="AJ132">
        <f>Tabela5[[#This Row],[mlp_train_acc]]</f>
        <v>0.97169811320754718</v>
      </c>
    </row>
    <row r="133" spans="1:36" hidden="1" x14ac:dyDescent="0.25">
      <c r="A133" t="s">
        <v>209</v>
      </c>
      <c r="B133">
        <v>18</v>
      </c>
      <c r="C133">
        <v>9</v>
      </c>
      <c r="D133">
        <v>4</v>
      </c>
      <c r="E133">
        <v>0</v>
      </c>
      <c r="F133" t="s">
        <v>217</v>
      </c>
      <c r="G133">
        <v>12058</v>
      </c>
      <c r="H133">
        <v>241766896.59999999</v>
      </c>
      <c r="I133">
        <v>1255.5</v>
      </c>
      <c r="J133">
        <v>0.43113207519054414</v>
      </c>
      <c r="K133">
        <v>0.6777777791023254</v>
      </c>
      <c r="L133">
        <v>0.36666667610406878</v>
      </c>
      <c r="M133">
        <v>0.92222222222222228</v>
      </c>
      <c r="N133">
        <v>0.98518518518518516</v>
      </c>
      <c r="O133">
        <v>0.97169811320754718</v>
      </c>
      <c r="P133">
        <v>2147.4</v>
      </c>
      <c r="Q133">
        <v>93573567.299999997</v>
      </c>
      <c r="R133">
        <v>12048</v>
      </c>
      <c r="S133">
        <v>2</v>
      </c>
      <c r="T133">
        <v>73</v>
      </c>
      <c r="U133">
        <v>0.92222222222222228</v>
      </c>
      <c r="V133">
        <v>0.9814814814814814</v>
      </c>
      <c r="W133">
        <v>0.98584905660377364</v>
      </c>
      <c r="X133">
        <v>2483.6</v>
      </c>
      <c r="Y133">
        <v>106361167.8</v>
      </c>
      <c r="Z133">
        <v>12361</v>
      </c>
      <c r="AA133">
        <v>2</v>
      </c>
      <c r="AB133">
        <v>74</v>
      </c>
      <c r="AD133">
        <f>Tabela5[[#This Row],[kan_params]]</f>
        <v>12058</v>
      </c>
      <c r="AE133">
        <f>Tabela5[[#This Row],[kan_train_acc]]</f>
        <v>0.43113207519054414</v>
      </c>
      <c r="AF133">
        <f>Tabela5[[#This Row],[kan_val_acc]]</f>
        <v>0.6777777791023254</v>
      </c>
      <c r="AG133">
        <f>Tabela5[[#This Row],[kan_test_acc]]</f>
        <v>0.36666667610406878</v>
      </c>
      <c r="AH133">
        <f>Tabela5[[#This Row],[mlp_test_acc]]</f>
        <v>0.92222222222222228</v>
      </c>
      <c r="AI133">
        <f>Tabela5[[#This Row],[mlp_val_acc]]</f>
        <v>0.98518518518518516</v>
      </c>
      <c r="AJ133">
        <f>Tabela5[[#This Row],[mlp_train_acc]]</f>
        <v>0.97169811320754718</v>
      </c>
    </row>
    <row r="134" spans="1:36" x14ac:dyDescent="0.25">
      <c r="A134" t="s">
        <v>209</v>
      </c>
      <c r="B134">
        <v>10</v>
      </c>
      <c r="C134">
        <v>3</v>
      </c>
      <c r="D134">
        <v>3</v>
      </c>
      <c r="E134">
        <v>0</v>
      </c>
      <c r="F134" t="s">
        <v>222</v>
      </c>
      <c r="G134">
        <v>12093</v>
      </c>
      <c r="H134">
        <v>98286391.400000006</v>
      </c>
      <c r="I134">
        <v>8303.4</v>
      </c>
      <c r="J134">
        <v>0.95094339847564702</v>
      </c>
      <c r="K134">
        <v>0.99259259700775149</v>
      </c>
      <c r="L134">
        <v>0.89333333969116213</v>
      </c>
      <c r="M134">
        <v>0.92888888888888888</v>
      </c>
      <c r="N134">
        <v>1</v>
      </c>
      <c r="O134">
        <v>1</v>
      </c>
      <c r="P134">
        <v>2461</v>
      </c>
      <c r="Q134">
        <v>118564677.2</v>
      </c>
      <c r="R134">
        <v>12048</v>
      </c>
      <c r="S134">
        <v>2</v>
      </c>
      <c r="T134">
        <v>73</v>
      </c>
      <c r="U134">
        <v>0.92888888888888888</v>
      </c>
      <c r="V134">
        <v>1</v>
      </c>
      <c r="W134">
        <v>1</v>
      </c>
      <c r="X134">
        <v>2256.6</v>
      </c>
      <c r="Y134">
        <v>108969234.59999999</v>
      </c>
      <c r="Z134">
        <v>12361</v>
      </c>
      <c r="AA134">
        <v>2</v>
      </c>
      <c r="AB134">
        <v>74</v>
      </c>
      <c r="AD134">
        <f>Tabela5[[#This Row],[kan_params]]</f>
        <v>12093</v>
      </c>
      <c r="AE134">
        <f>Tabela5[[#This Row],[kan_train_acc]]</f>
        <v>0.95094339847564702</v>
      </c>
      <c r="AF134">
        <f>Tabela5[[#This Row],[kan_val_acc]]</f>
        <v>0.99259259700775149</v>
      </c>
      <c r="AG134">
        <f>Tabela5[[#This Row],[kan_test_acc]]</f>
        <v>0.89333333969116213</v>
      </c>
      <c r="AH134">
        <f>Tabela5[[#This Row],[mlp_test_acc]]</f>
        <v>0.92888888888888888</v>
      </c>
      <c r="AI134">
        <f>Tabela5[[#This Row],[mlp_val_acc]]</f>
        <v>1</v>
      </c>
      <c r="AJ134">
        <f>Tabela5[[#This Row],[mlp_train_acc]]</f>
        <v>1</v>
      </c>
    </row>
    <row r="135" spans="1:36" hidden="1" x14ac:dyDescent="0.25">
      <c r="A135" t="s">
        <v>209</v>
      </c>
      <c r="B135">
        <v>14</v>
      </c>
      <c r="C135">
        <v>5</v>
      </c>
      <c r="D135">
        <v>4</v>
      </c>
      <c r="E135">
        <v>0</v>
      </c>
      <c r="F135" t="s">
        <v>218</v>
      </c>
      <c r="G135">
        <v>12239</v>
      </c>
      <c r="H135">
        <v>187094696</v>
      </c>
      <c r="I135">
        <v>1101.2</v>
      </c>
      <c r="J135">
        <v>0.46037735939025881</v>
      </c>
      <c r="K135">
        <v>0.64444443583488464</v>
      </c>
      <c r="L135">
        <v>0.43555557131767275</v>
      </c>
      <c r="M135">
        <v>0.92888888888888888</v>
      </c>
      <c r="N135">
        <v>0.96296296296296291</v>
      </c>
      <c r="O135">
        <v>0.98490566037735849</v>
      </c>
      <c r="P135">
        <v>3393</v>
      </c>
      <c r="Q135">
        <v>163647267.80000001</v>
      </c>
      <c r="R135">
        <v>12048</v>
      </c>
      <c r="S135">
        <v>2</v>
      </c>
      <c r="T135">
        <v>73</v>
      </c>
      <c r="U135">
        <v>0.93333333333333335</v>
      </c>
      <c r="V135">
        <v>0.96296296296296291</v>
      </c>
      <c r="W135">
        <v>0.98679245283018868</v>
      </c>
      <c r="X135">
        <v>3418.8</v>
      </c>
      <c r="Y135">
        <v>144111737</v>
      </c>
      <c r="Z135">
        <v>12361</v>
      </c>
      <c r="AA135">
        <v>2</v>
      </c>
      <c r="AB135">
        <v>74</v>
      </c>
      <c r="AD135">
        <f>Tabela5[[#This Row],[kan_params]]</f>
        <v>12239</v>
      </c>
      <c r="AE135">
        <f>Tabela5[[#This Row],[kan_train_acc]]</f>
        <v>0.46037735939025881</v>
      </c>
      <c r="AF135">
        <f>Tabela5[[#This Row],[kan_val_acc]]</f>
        <v>0.64444443583488464</v>
      </c>
      <c r="AG135">
        <f>Tabela5[[#This Row],[kan_test_acc]]</f>
        <v>0.43555557131767275</v>
      </c>
      <c r="AH135">
        <f>Tabela5[[#This Row],[mlp_test_acc]]</f>
        <v>0.92888888888888888</v>
      </c>
      <c r="AI135">
        <f>Tabela5[[#This Row],[mlp_val_acc]]</f>
        <v>0.96296296296296291</v>
      </c>
      <c r="AJ135">
        <f>Tabela5[[#This Row],[mlp_train_acc]]</f>
        <v>0.98490566037735849</v>
      </c>
    </row>
    <row r="136" spans="1:36" x14ac:dyDescent="0.25">
      <c r="A136" t="s">
        <v>209</v>
      </c>
      <c r="B136">
        <v>12</v>
      </c>
      <c r="C136">
        <v>3</v>
      </c>
      <c r="D136">
        <v>4</v>
      </c>
      <c r="E136">
        <v>0</v>
      </c>
      <c r="F136" t="s">
        <v>221</v>
      </c>
      <c r="G136">
        <v>12257</v>
      </c>
      <c r="H136">
        <v>255219534</v>
      </c>
      <c r="I136">
        <v>1326.8</v>
      </c>
      <c r="J136">
        <v>0.48113207817077636</v>
      </c>
      <c r="K136">
        <v>0.73333333730697636</v>
      </c>
      <c r="L136">
        <v>0.44444445967674256</v>
      </c>
      <c r="M136">
        <v>0.93333333333333335</v>
      </c>
      <c r="N136">
        <v>0.93333333333333335</v>
      </c>
      <c r="O136">
        <v>1</v>
      </c>
      <c r="P136">
        <v>9766</v>
      </c>
      <c r="Q136">
        <v>453790296.39999998</v>
      </c>
      <c r="R136">
        <v>12048</v>
      </c>
      <c r="S136">
        <v>2</v>
      </c>
      <c r="T136">
        <v>73</v>
      </c>
      <c r="U136">
        <v>0.93333333333333335</v>
      </c>
      <c r="V136">
        <v>0.94074074074074077</v>
      </c>
      <c r="W136">
        <v>1</v>
      </c>
      <c r="X136">
        <v>9644.7999999999993</v>
      </c>
      <c r="Y136">
        <v>458185271.60000002</v>
      </c>
      <c r="Z136">
        <v>12361</v>
      </c>
      <c r="AA136">
        <v>2</v>
      </c>
      <c r="AB136">
        <v>74</v>
      </c>
      <c r="AD136">
        <f>Tabela5[[#This Row],[kan_params]]</f>
        <v>12257</v>
      </c>
      <c r="AE136">
        <f>Tabela5[[#This Row],[kan_train_acc]]</f>
        <v>0.48113207817077636</v>
      </c>
      <c r="AF136">
        <f>Tabela5[[#This Row],[kan_val_acc]]</f>
        <v>0.73333333730697636</v>
      </c>
      <c r="AG136">
        <f>Tabela5[[#This Row],[kan_test_acc]]</f>
        <v>0.44444445967674256</v>
      </c>
      <c r="AH136">
        <f>Tabela5[[#This Row],[mlp_test_acc]]</f>
        <v>0.93333333333333335</v>
      </c>
      <c r="AI136">
        <f>Tabela5[[#This Row],[mlp_val_acc]]</f>
        <v>0.93333333333333335</v>
      </c>
      <c r="AJ136">
        <f>Tabela5[[#This Row],[mlp_train_acc]]</f>
        <v>1</v>
      </c>
    </row>
    <row r="137" spans="1:36" hidden="1" x14ac:dyDescent="0.25">
      <c r="A137" t="s">
        <v>209</v>
      </c>
      <c r="B137">
        <v>14</v>
      </c>
      <c r="C137">
        <v>9</v>
      </c>
      <c r="D137">
        <v>2</v>
      </c>
      <c r="E137">
        <v>0</v>
      </c>
      <c r="F137" t="s">
        <v>221</v>
      </c>
      <c r="G137">
        <v>12257</v>
      </c>
      <c r="H137">
        <v>8907188.4000000004</v>
      </c>
      <c r="I137">
        <v>10000</v>
      </c>
      <c r="J137">
        <v>0.93207547664642332</v>
      </c>
      <c r="K137">
        <v>1</v>
      </c>
      <c r="L137">
        <v>0.88000000715255733</v>
      </c>
      <c r="M137">
        <v>0.98222222222222222</v>
      </c>
      <c r="N137">
        <v>1</v>
      </c>
      <c r="O137">
        <v>0.91698113207547172</v>
      </c>
      <c r="P137">
        <v>723.6</v>
      </c>
      <c r="Q137">
        <v>31103593.199999999</v>
      </c>
      <c r="R137">
        <v>12048</v>
      </c>
      <c r="S137">
        <v>2</v>
      </c>
      <c r="T137">
        <v>73</v>
      </c>
      <c r="U137">
        <v>0.97333333333333327</v>
      </c>
      <c r="V137">
        <v>1</v>
      </c>
      <c r="W137">
        <v>0.91320754716981134</v>
      </c>
      <c r="X137">
        <v>698</v>
      </c>
      <c r="Y137">
        <v>32735013.399999999</v>
      </c>
      <c r="Z137">
        <v>12361</v>
      </c>
      <c r="AA137">
        <v>2</v>
      </c>
      <c r="AB137">
        <v>74</v>
      </c>
      <c r="AD137">
        <f>Tabela5[[#This Row],[kan_params]]</f>
        <v>12257</v>
      </c>
      <c r="AE137">
        <f>Tabela5[[#This Row],[kan_train_acc]]</f>
        <v>0.93207547664642332</v>
      </c>
      <c r="AF137">
        <f>Tabela5[[#This Row],[kan_val_acc]]</f>
        <v>1</v>
      </c>
      <c r="AG137">
        <f>Tabela5[[#This Row],[kan_test_acc]]</f>
        <v>0.88000000715255733</v>
      </c>
      <c r="AH137">
        <f>Tabela5[[#This Row],[mlp_test_acc]]</f>
        <v>0.98222222222222222</v>
      </c>
      <c r="AI137">
        <f>Tabela5[[#This Row],[mlp_val_acc]]</f>
        <v>1</v>
      </c>
      <c r="AJ137">
        <f>Tabela5[[#This Row],[mlp_train_acc]]</f>
        <v>0.91698113207547172</v>
      </c>
    </row>
    <row r="138" spans="1:36" hidden="1" x14ac:dyDescent="0.25">
      <c r="A138" t="s">
        <v>209</v>
      </c>
      <c r="B138">
        <v>14</v>
      </c>
      <c r="C138">
        <v>5</v>
      </c>
      <c r="D138">
        <v>4</v>
      </c>
      <c r="E138">
        <v>0</v>
      </c>
      <c r="F138" t="s">
        <v>224</v>
      </c>
      <c r="G138">
        <v>12322</v>
      </c>
      <c r="H138">
        <v>205805978.19999999</v>
      </c>
      <c r="I138">
        <v>1236.8</v>
      </c>
      <c r="J138">
        <v>0.42641510367393493</v>
      </c>
      <c r="K138">
        <v>0.6370370507240295</v>
      </c>
      <c r="L138">
        <v>0.44444445967674256</v>
      </c>
      <c r="M138">
        <v>0.92</v>
      </c>
      <c r="N138">
        <v>0.96296296296296291</v>
      </c>
      <c r="O138">
        <v>0.99245283018867925</v>
      </c>
      <c r="P138">
        <v>6770</v>
      </c>
      <c r="Q138">
        <v>266831871.59999999</v>
      </c>
      <c r="R138">
        <v>12048</v>
      </c>
      <c r="S138">
        <v>2</v>
      </c>
      <c r="T138">
        <v>73</v>
      </c>
      <c r="U138">
        <v>0.92888888888888888</v>
      </c>
      <c r="V138">
        <v>0.96296296296296291</v>
      </c>
      <c r="W138">
        <v>0.98867924528301887</v>
      </c>
      <c r="X138">
        <v>4988.2</v>
      </c>
      <c r="Y138">
        <v>194407014.80000001</v>
      </c>
      <c r="Z138">
        <v>12361</v>
      </c>
      <c r="AA138">
        <v>2</v>
      </c>
      <c r="AB138">
        <v>74</v>
      </c>
      <c r="AD138">
        <f>Tabela5[[#This Row],[kan_params]]</f>
        <v>12322</v>
      </c>
      <c r="AE138">
        <f>Tabela5[[#This Row],[kan_train_acc]]</f>
        <v>0.42641510367393493</v>
      </c>
      <c r="AF138">
        <f>Tabela5[[#This Row],[kan_val_acc]]</f>
        <v>0.6370370507240295</v>
      </c>
      <c r="AG138">
        <f>Tabela5[[#This Row],[kan_test_acc]]</f>
        <v>0.44444445967674256</v>
      </c>
      <c r="AH138">
        <f>Tabela5[[#This Row],[mlp_test_acc]]</f>
        <v>0.92</v>
      </c>
      <c r="AI138">
        <f>Tabela5[[#This Row],[mlp_val_acc]]</f>
        <v>0.96296296296296291</v>
      </c>
      <c r="AJ138">
        <f>Tabela5[[#This Row],[mlp_train_acc]]</f>
        <v>0.99245283018867925</v>
      </c>
    </row>
    <row r="139" spans="1:36" hidden="1" x14ac:dyDescent="0.25">
      <c r="A139" t="s">
        <v>209</v>
      </c>
      <c r="B139">
        <v>10</v>
      </c>
      <c r="C139">
        <v>5</v>
      </c>
      <c r="D139">
        <v>2</v>
      </c>
      <c r="E139">
        <v>0</v>
      </c>
      <c r="F139" t="s">
        <v>226</v>
      </c>
      <c r="G139">
        <v>12422</v>
      </c>
      <c r="H139">
        <v>471591522</v>
      </c>
      <c r="I139">
        <v>6451.2</v>
      </c>
      <c r="J139">
        <v>0.98113207817077641</v>
      </c>
      <c r="K139">
        <v>0.97777779102325435</v>
      </c>
      <c r="L139">
        <v>0.96444444656372075</v>
      </c>
      <c r="M139">
        <v>0.97777777777777775</v>
      </c>
      <c r="N139">
        <v>0.95555555555555549</v>
      </c>
      <c r="O139">
        <v>0.97735849056603774</v>
      </c>
      <c r="P139">
        <v>2159.4</v>
      </c>
      <c r="Q139">
        <v>101064714.40000001</v>
      </c>
      <c r="R139">
        <v>12361</v>
      </c>
      <c r="S139">
        <v>2</v>
      </c>
      <c r="T139">
        <v>74</v>
      </c>
      <c r="U139">
        <v>0.97777777777777775</v>
      </c>
      <c r="V139">
        <v>0.94814814814814807</v>
      </c>
      <c r="W139">
        <v>0.98867924528301887</v>
      </c>
      <c r="X139">
        <v>2807</v>
      </c>
      <c r="Y139">
        <v>136670206.19999999</v>
      </c>
      <c r="Z139">
        <v>12678</v>
      </c>
      <c r="AA139">
        <v>2</v>
      </c>
      <c r="AB139">
        <v>75</v>
      </c>
      <c r="AD139">
        <f>Tabela5[[#This Row],[kan_params]]</f>
        <v>12422</v>
      </c>
      <c r="AE139">
        <f>Tabela5[[#This Row],[kan_train_acc]]</f>
        <v>0.98113207817077641</v>
      </c>
      <c r="AF139">
        <f>Tabela5[[#This Row],[kan_val_acc]]</f>
        <v>0.97777779102325435</v>
      </c>
      <c r="AG139">
        <f>Tabela5[[#This Row],[kan_test_acc]]</f>
        <v>0.96444444656372075</v>
      </c>
      <c r="AH139">
        <f>Tabela5[[#This Row],[mlp_test_acc]]</f>
        <v>0.97777777777777775</v>
      </c>
      <c r="AI139">
        <f>Tabela5[[#This Row],[mlp_val_acc]]</f>
        <v>0.95555555555555549</v>
      </c>
      <c r="AJ139">
        <f>Tabela5[[#This Row],[mlp_train_acc]]</f>
        <v>0.97735849056603774</v>
      </c>
    </row>
    <row r="140" spans="1:36" hidden="1" x14ac:dyDescent="0.25">
      <c r="A140" t="s">
        <v>209</v>
      </c>
      <c r="B140">
        <v>16</v>
      </c>
      <c r="C140">
        <v>5</v>
      </c>
      <c r="D140">
        <v>5</v>
      </c>
      <c r="E140">
        <v>0</v>
      </c>
      <c r="F140" t="s">
        <v>215</v>
      </c>
      <c r="G140">
        <v>12492</v>
      </c>
      <c r="H140">
        <v>205375782.40000001</v>
      </c>
      <c r="I140">
        <v>1090.5999999999999</v>
      </c>
      <c r="J140">
        <v>0.32641509175300598</v>
      </c>
      <c r="K140">
        <v>0.68888889551162724</v>
      </c>
      <c r="L140">
        <v>0.34666667282581332</v>
      </c>
      <c r="M140">
        <v>0.9555555555555556</v>
      </c>
      <c r="N140">
        <v>0.98518518518518516</v>
      </c>
      <c r="O140">
        <v>0.94150943396226416</v>
      </c>
      <c r="P140">
        <v>1172.2</v>
      </c>
      <c r="Q140">
        <v>48357514.799999997</v>
      </c>
      <c r="R140">
        <v>12361</v>
      </c>
      <c r="S140">
        <v>2</v>
      </c>
      <c r="T140">
        <v>74</v>
      </c>
      <c r="U140">
        <v>0.97333333333333338</v>
      </c>
      <c r="V140">
        <v>0.98518518518518516</v>
      </c>
      <c r="W140">
        <v>0.94339622641509435</v>
      </c>
      <c r="X140">
        <v>1220.5999999999999</v>
      </c>
      <c r="Y140">
        <v>39286062.399999999</v>
      </c>
      <c r="Z140">
        <v>12678</v>
      </c>
      <c r="AA140">
        <v>2</v>
      </c>
      <c r="AB140">
        <v>75</v>
      </c>
      <c r="AD140">
        <f>Tabela5[[#This Row],[kan_params]]</f>
        <v>12492</v>
      </c>
      <c r="AE140">
        <f>Tabela5[[#This Row],[kan_train_acc]]</f>
        <v>0.32641509175300598</v>
      </c>
      <c r="AF140">
        <f>Tabela5[[#This Row],[kan_val_acc]]</f>
        <v>0.68888889551162724</v>
      </c>
      <c r="AG140">
        <f>Tabela5[[#This Row],[kan_test_acc]]</f>
        <v>0.34666667282581332</v>
      </c>
      <c r="AH140">
        <f>Tabela5[[#This Row],[mlp_test_acc]]</f>
        <v>0.9555555555555556</v>
      </c>
      <c r="AI140">
        <f>Tabela5[[#This Row],[mlp_val_acc]]</f>
        <v>0.98518518518518516</v>
      </c>
      <c r="AJ140">
        <f>Tabela5[[#This Row],[mlp_train_acc]]</f>
        <v>0.94150943396226416</v>
      </c>
    </row>
    <row r="141" spans="1:36" x14ac:dyDescent="0.25">
      <c r="A141" t="s">
        <v>209</v>
      </c>
      <c r="B141">
        <v>14</v>
      </c>
      <c r="C141">
        <v>3</v>
      </c>
      <c r="D141">
        <v>5</v>
      </c>
      <c r="E141">
        <v>0</v>
      </c>
      <c r="F141" t="s">
        <v>218</v>
      </c>
      <c r="G141">
        <v>12820</v>
      </c>
      <c r="H141">
        <v>324153462.19999999</v>
      </c>
      <c r="I141">
        <v>1474.8</v>
      </c>
      <c r="J141">
        <v>0.47358490228652955</v>
      </c>
      <c r="K141">
        <v>0.72592593431472774</v>
      </c>
      <c r="L141">
        <v>0.44888890385627744</v>
      </c>
      <c r="M141">
        <v>0.9555555555555556</v>
      </c>
      <c r="N141">
        <v>0.95555555555555549</v>
      </c>
      <c r="O141">
        <v>1</v>
      </c>
      <c r="P141">
        <v>3065.6</v>
      </c>
      <c r="Q141">
        <v>138557722.40000001</v>
      </c>
      <c r="R141">
        <v>12678</v>
      </c>
      <c r="S141">
        <v>2</v>
      </c>
      <c r="T141">
        <v>75</v>
      </c>
      <c r="U141">
        <v>0.95111111111111113</v>
      </c>
      <c r="V141">
        <v>0.95555555555555549</v>
      </c>
      <c r="W141">
        <v>1</v>
      </c>
      <c r="X141">
        <v>3154.6</v>
      </c>
      <c r="Y141">
        <v>146528192.19999999</v>
      </c>
      <c r="Z141">
        <v>12999</v>
      </c>
      <c r="AA141">
        <v>2</v>
      </c>
      <c r="AB141">
        <v>76</v>
      </c>
      <c r="AD141">
        <f>Tabela5[[#This Row],[kan_params]]</f>
        <v>12820</v>
      </c>
      <c r="AE141">
        <f>Tabela5[[#This Row],[kan_train_acc]]</f>
        <v>0.47358490228652955</v>
      </c>
      <c r="AF141">
        <f>Tabela5[[#This Row],[kan_val_acc]]</f>
        <v>0.72592593431472774</v>
      </c>
      <c r="AG141">
        <f>Tabela5[[#This Row],[kan_test_acc]]</f>
        <v>0.44888890385627744</v>
      </c>
      <c r="AH141">
        <f>Tabela5[[#This Row],[mlp_test_acc]]</f>
        <v>0.9555555555555556</v>
      </c>
      <c r="AI141">
        <f>Tabela5[[#This Row],[mlp_val_acc]]</f>
        <v>0.95555555555555549</v>
      </c>
      <c r="AJ141">
        <f>Tabela5[[#This Row],[mlp_train_acc]]</f>
        <v>1</v>
      </c>
    </row>
    <row r="142" spans="1:36" hidden="1" x14ac:dyDescent="0.25">
      <c r="A142" t="s">
        <v>209</v>
      </c>
      <c r="B142">
        <v>16</v>
      </c>
      <c r="C142">
        <v>9</v>
      </c>
      <c r="D142">
        <v>3</v>
      </c>
      <c r="E142">
        <v>0</v>
      </c>
      <c r="F142" t="s">
        <v>218</v>
      </c>
      <c r="G142">
        <v>12820</v>
      </c>
      <c r="H142">
        <v>19618278.199999999</v>
      </c>
      <c r="I142">
        <v>10000</v>
      </c>
      <c r="J142">
        <v>0.85849057435989384</v>
      </c>
      <c r="K142">
        <v>1</v>
      </c>
      <c r="L142">
        <v>0.72888890504837034</v>
      </c>
      <c r="M142">
        <v>0.97333333333333327</v>
      </c>
      <c r="N142">
        <v>1</v>
      </c>
      <c r="O142">
        <v>0.91320754716981134</v>
      </c>
      <c r="P142">
        <v>743</v>
      </c>
      <c r="Q142">
        <v>35044472</v>
      </c>
      <c r="R142">
        <v>12678</v>
      </c>
      <c r="S142">
        <v>2</v>
      </c>
      <c r="T142">
        <v>75</v>
      </c>
      <c r="U142">
        <v>0.98222222222222222</v>
      </c>
      <c r="V142">
        <v>1</v>
      </c>
      <c r="W142">
        <v>0.92264150943396228</v>
      </c>
      <c r="X142">
        <v>813.4</v>
      </c>
      <c r="Y142">
        <v>35512099.200000003</v>
      </c>
      <c r="Z142">
        <v>12999</v>
      </c>
      <c r="AA142">
        <v>2</v>
      </c>
      <c r="AB142">
        <v>76</v>
      </c>
      <c r="AD142">
        <f>Tabela5[[#This Row],[kan_params]]</f>
        <v>12820</v>
      </c>
      <c r="AE142">
        <f>Tabela5[[#This Row],[kan_train_acc]]</f>
        <v>0.85849057435989384</v>
      </c>
      <c r="AF142">
        <f>Tabela5[[#This Row],[kan_val_acc]]</f>
        <v>1</v>
      </c>
      <c r="AG142">
        <f>Tabela5[[#This Row],[kan_test_acc]]</f>
        <v>0.72888890504837034</v>
      </c>
      <c r="AH142">
        <f>Tabela5[[#This Row],[mlp_test_acc]]</f>
        <v>0.97333333333333327</v>
      </c>
      <c r="AI142">
        <f>Tabela5[[#This Row],[mlp_val_acc]]</f>
        <v>1</v>
      </c>
      <c r="AJ142">
        <f>Tabela5[[#This Row],[mlp_train_acc]]</f>
        <v>0.91320754716981134</v>
      </c>
    </row>
    <row r="143" spans="1:36" hidden="1" x14ac:dyDescent="0.25">
      <c r="A143" t="s">
        <v>209</v>
      </c>
      <c r="B143">
        <v>16</v>
      </c>
      <c r="C143">
        <v>5</v>
      </c>
      <c r="D143">
        <v>5</v>
      </c>
      <c r="E143">
        <v>0</v>
      </c>
      <c r="F143" t="s">
        <v>220</v>
      </c>
      <c r="G143">
        <v>12827</v>
      </c>
      <c r="H143">
        <v>266380016.19999999</v>
      </c>
      <c r="I143">
        <v>1259.8</v>
      </c>
      <c r="J143">
        <v>0.43396226763725282</v>
      </c>
      <c r="K143">
        <v>0.77037036418914795</v>
      </c>
      <c r="L143">
        <v>0.38666667938232424</v>
      </c>
      <c r="M143">
        <v>0.98222222222222222</v>
      </c>
      <c r="N143">
        <v>1</v>
      </c>
      <c r="O143">
        <v>0.92075471698113209</v>
      </c>
      <c r="P143">
        <v>798.4</v>
      </c>
      <c r="Q143">
        <v>38547177</v>
      </c>
      <c r="R143">
        <v>12678</v>
      </c>
      <c r="S143">
        <v>2</v>
      </c>
      <c r="T143">
        <v>75</v>
      </c>
      <c r="U143">
        <v>0.99111111111111105</v>
      </c>
      <c r="V143">
        <v>1</v>
      </c>
      <c r="W143">
        <v>0.92264150943396228</v>
      </c>
      <c r="X143">
        <v>806.2</v>
      </c>
      <c r="Y143">
        <v>38969717.600000001</v>
      </c>
      <c r="Z143">
        <v>12999</v>
      </c>
      <c r="AA143">
        <v>2</v>
      </c>
      <c r="AB143">
        <v>76</v>
      </c>
      <c r="AD143">
        <f>Tabela5[[#This Row],[kan_params]]</f>
        <v>12827</v>
      </c>
      <c r="AE143">
        <f>Tabela5[[#This Row],[kan_train_acc]]</f>
        <v>0.43396226763725282</v>
      </c>
      <c r="AF143">
        <f>Tabela5[[#This Row],[kan_val_acc]]</f>
        <v>0.77037036418914795</v>
      </c>
      <c r="AG143">
        <f>Tabela5[[#This Row],[kan_test_acc]]</f>
        <v>0.38666667938232424</v>
      </c>
      <c r="AH143">
        <f>Tabela5[[#This Row],[mlp_test_acc]]</f>
        <v>0.98222222222222222</v>
      </c>
      <c r="AI143">
        <f>Tabela5[[#This Row],[mlp_val_acc]]</f>
        <v>1</v>
      </c>
      <c r="AJ143">
        <f>Tabela5[[#This Row],[mlp_train_acc]]</f>
        <v>0.92075471698113209</v>
      </c>
    </row>
    <row r="144" spans="1:36" hidden="1" x14ac:dyDescent="0.25">
      <c r="A144" t="s">
        <v>209</v>
      </c>
      <c r="B144">
        <v>14</v>
      </c>
      <c r="C144">
        <v>5</v>
      </c>
      <c r="D144">
        <v>4</v>
      </c>
      <c r="E144">
        <v>0</v>
      </c>
      <c r="F144" t="s">
        <v>216</v>
      </c>
      <c r="G144">
        <v>12830</v>
      </c>
      <c r="H144">
        <v>201617150.40000001</v>
      </c>
      <c r="I144">
        <v>1139</v>
      </c>
      <c r="J144">
        <v>0.37547169923782348</v>
      </c>
      <c r="K144">
        <v>0.67407406568527217</v>
      </c>
      <c r="L144">
        <v>0.34222222566604615</v>
      </c>
      <c r="M144">
        <v>0.9244444444444444</v>
      </c>
      <c r="N144">
        <v>0.96296296296296291</v>
      </c>
      <c r="O144">
        <v>0.98867924528301887</v>
      </c>
      <c r="P144">
        <v>3927.4</v>
      </c>
      <c r="Q144">
        <v>158608323</v>
      </c>
      <c r="R144">
        <v>12678</v>
      </c>
      <c r="S144">
        <v>2</v>
      </c>
      <c r="T144">
        <v>75</v>
      </c>
      <c r="U144">
        <v>0.92888888888888888</v>
      </c>
      <c r="V144">
        <v>0.96296296296296291</v>
      </c>
      <c r="W144">
        <v>0.98490566037735849</v>
      </c>
      <c r="X144">
        <v>3457.2</v>
      </c>
      <c r="Y144">
        <v>143775634.80000001</v>
      </c>
      <c r="Z144">
        <v>12999</v>
      </c>
      <c r="AA144">
        <v>2</v>
      </c>
      <c r="AB144">
        <v>76</v>
      </c>
      <c r="AD144">
        <f>Tabela5[[#This Row],[kan_params]]</f>
        <v>12830</v>
      </c>
      <c r="AE144">
        <f>Tabela5[[#This Row],[kan_train_acc]]</f>
        <v>0.37547169923782348</v>
      </c>
      <c r="AF144">
        <f>Tabela5[[#This Row],[kan_val_acc]]</f>
        <v>0.67407406568527217</v>
      </c>
      <c r="AG144">
        <f>Tabela5[[#This Row],[kan_test_acc]]</f>
        <v>0.34222222566604615</v>
      </c>
      <c r="AH144">
        <f>Tabela5[[#This Row],[mlp_test_acc]]</f>
        <v>0.9244444444444444</v>
      </c>
      <c r="AI144">
        <f>Tabela5[[#This Row],[mlp_val_acc]]</f>
        <v>0.96296296296296291</v>
      </c>
      <c r="AJ144">
        <f>Tabela5[[#This Row],[mlp_train_acc]]</f>
        <v>0.98867924528301887</v>
      </c>
    </row>
    <row r="145" spans="1:36" hidden="1" x14ac:dyDescent="0.25">
      <c r="A145" t="s">
        <v>209</v>
      </c>
      <c r="B145">
        <v>20</v>
      </c>
      <c r="C145">
        <v>9</v>
      </c>
      <c r="D145">
        <v>5</v>
      </c>
      <c r="E145">
        <v>0</v>
      </c>
      <c r="F145" t="s">
        <v>211</v>
      </c>
      <c r="G145">
        <v>12830</v>
      </c>
      <c r="H145">
        <v>223965140.19999999</v>
      </c>
      <c r="I145">
        <v>1088.5</v>
      </c>
      <c r="J145">
        <v>0.36226415336132051</v>
      </c>
      <c r="K145">
        <v>0.69259259104728699</v>
      </c>
      <c r="L145">
        <v>0.37111111879348757</v>
      </c>
      <c r="M145">
        <v>0.92222222222222217</v>
      </c>
      <c r="N145">
        <v>0.98518518518518516</v>
      </c>
      <c r="O145">
        <v>0.96415094339622642</v>
      </c>
      <c r="P145">
        <v>2000</v>
      </c>
      <c r="Q145">
        <v>94940441.700000003</v>
      </c>
      <c r="R145">
        <v>12678</v>
      </c>
      <c r="S145">
        <v>2</v>
      </c>
      <c r="T145">
        <v>75</v>
      </c>
      <c r="U145">
        <v>0.9244444444444444</v>
      </c>
      <c r="V145">
        <v>0.98518518518518516</v>
      </c>
      <c r="W145">
        <v>0.97830188679245289</v>
      </c>
      <c r="X145">
        <v>2098.3000000000002</v>
      </c>
      <c r="Y145">
        <v>98197932.599999994</v>
      </c>
      <c r="Z145">
        <v>12999</v>
      </c>
      <c r="AA145">
        <v>2</v>
      </c>
      <c r="AB145">
        <v>76</v>
      </c>
      <c r="AD145">
        <f>Tabela5[[#This Row],[kan_params]]</f>
        <v>12830</v>
      </c>
      <c r="AE145">
        <f>Tabela5[[#This Row],[kan_train_acc]]</f>
        <v>0.36226415336132051</v>
      </c>
      <c r="AF145">
        <f>Tabela5[[#This Row],[kan_val_acc]]</f>
        <v>0.69259259104728699</v>
      </c>
      <c r="AG145">
        <f>Tabela5[[#This Row],[kan_test_acc]]</f>
        <v>0.37111111879348757</v>
      </c>
      <c r="AH145">
        <f>Tabela5[[#This Row],[mlp_test_acc]]</f>
        <v>0.92222222222222217</v>
      </c>
      <c r="AI145">
        <f>Tabela5[[#This Row],[mlp_val_acc]]</f>
        <v>0.98518518518518516</v>
      </c>
      <c r="AJ145">
        <f>Tabela5[[#This Row],[mlp_train_acc]]</f>
        <v>0.96415094339622642</v>
      </c>
    </row>
    <row r="146" spans="1:36" x14ac:dyDescent="0.25">
      <c r="A146" t="s">
        <v>209</v>
      </c>
      <c r="B146">
        <v>14</v>
      </c>
      <c r="C146">
        <v>3</v>
      </c>
      <c r="D146">
        <v>5</v>
      </c>
      <c r="E146">
        <v>0</v>
      </c>
      <c r="F146" t="s">
        <v>224</v>
      </c>
      <c r="G146">
        <v>12907</v>
      </c>
      <c r="H146">
        <v>266394380.59999999</v>
      </c>
      <c r="I146">
        <v>1227.5999999999999</v>
      </c>
      <c r="J146">
        <v>0.26037735491991043</v>
      </c>
      <c r="K146">
        <v>0.62962962388992305</v>
      </c>
      <c r="L146">
        <v>0.24888889789581298</v>
      </c>
      <c r="M146">
        <v>0.9555555555555556</v>
      </c>
      <c r="N146">
        <v>0.95555555555555549</v>
      </c>
      <c r="O146">
        <v>1</v>
      </c>
      <c r="P146">
        <v>3096.6</v>
      </c>
      <c r="Q146">
        <v>143680567.19999999</v>
      </c>
      <c r="R146">
        <v>12678</v>
      </c>
      <c r="S146">
        <v>2</v>
      </c>
      <c r="T146">
        <v>75</v>
      </c>
      <c r="U146">
        <v>0.9555555555555556</v>
      </c>
      <c r="V146">
        <v>0.96296296296296291</v>
      </c>
      <c r="W146">
        <v>1</v>
      </c>
      <c r="X146">
        <v>2744.4</v>
      </c>
      <c r="Y146">
        <v>126056468.40000001</v>
      </c>
      <c r="Z146">
        <v>12999</v>
      </c>
      <c r="AA146">
        <v>2</v>
      </c>
      <c r="AB146">
        <v>76</v>
      </c>
      <c r="AD146">
        <f>Tabela5[[#This Row],[kan_params]]</f>
        <v>12907</v>
      </c>
      <c r="AE146">
        <f>Tabela5[[#This Row],[kan_train_acc]]</f>
        <v>0.26037735491991043</v>
      </c>
      <c r="AF146">
        <f>Tabela5[[#This Row],[kan_val_acc]]</f>
        <v>0.62962962388992305</v>
      </c>
      <c r="AG146">
        <f>Tabela5[[#This Row],[kan_test_acc]]</f>
        <v>0.24888889789581298</v>
      </c>
      <c r="AH146">
        <f>Tabela5[[#This Row],[mlp_test_acc]]</f>
        <v>0.9555555555555556</v>
      </c>
      <c r="AI146">
        <f>Tabela5[[#This Row],[mlp_val_acc]]</f>
        <v>0.95555555555555549</v>
      </c>
      <c r="AJ146">
        <f>Tabela5[[#This Row],[mlp_train_acc]]</f>
        <v>1</v>
      </c>
    </row>
    <row r="147" spans="1:36" hidden="1" x14ac:dyDescent="0.25">
      <c r="A147" t="s">
        <v>209</v>
      </c>
      <c r="B147">
        <v>16</v>
      </c>
      <c r="C147">
        <v>9</v>
      </c>
      <c r="D147">
        <v>3</v>
      </c>
      <c r="E147">
        <v>0</v>
      </c>
      <c r="F147" t="s">
        <v>224</v>
      </c>
      <c r="G147">
        <v>12907</v>
      </c>
      <c r="H147">
        <v>23817806.800000001</v>
      </c>
      <c r="I147">
        <v>10000</v>
      </c>
      <c r="J147">
        <v>0.9</v>
      </c>
      <c r="K147">
        <v>1</v>
      </c>
      <c r="L147">
        <v>0.80444445610046389</v>
      </c>
      <c r="M147">
        <v>0.97333333333333338</v>
      </c>
      <c r="N147">
        <v>1</v>
      </c>
      <c r="O147">
        <v>0.91698113207547172</v>
      </c>
      <c r="P147">
        <v>819.4</v>
      </c>
      <c r="Q147">
        <v>39976301</v>
      </c>
      <c r="R147">
        <v>12678</v>
      </c>
      <c r="S147">
        <v>2</v>
      </c>
      <c r="T147">
        <v>75</v>
      </c>
      <c r="U147">
        <v>0.98666666666666669</v>
      </c>
      <c r="V147">
        <v>1</v>
      </c>
      <c r="W147">
        <v>0.91698113207547172</v>
      </c>
      <c r="X147">
        <v>784.2</v>
      </c>
      <c r="Y147">
        <v>40969595.799999997</v>
      </c>
      <c r="Z147">
        <v>12999</v>
      </c>
      <c r="AA147">
        <v>2</v>
      </c>
      <c r="AB147">
        <v>76</v>
      </c>
      <c r="AD147">
        <f>Tabela5[[#This Row],[kan_params]]</f>
        <v>12907</v>
      </c>
      <c r="AE147">
        <f>Tabela5[[#This Row],[kan_train_acc]]</f>
        <v>0.9</v>
      </c>
      <c r="AF147">
        <f>Tabela5[[#This Row],[kan_val_acc]]</f>
        <v>1</v>
      </c>
      <c r="AG147">
        <f>Tabela5[[#This Row],[kan_test_acc]]</f>
        <v>0.80444445610046389</v>
      </c>
      <c r="AH147">
        <f>Tabela5[[#This Row],[mlp_test_acc]]</f>
        <v>0.97333333333333338</v>
      </c>
      <c r="AI147">
        <f>Tabela5[[#This Row],[mlp_val_acc]]</f>
        <v>1</v>
      </c>
      <c r="AJ147">
        <f>Tabela5[[#This Row],[mlp_train_acc]]</f>
        <v>0.91698113207547172</v>
      </c>
    </row>
    <row r="148" spans="1:36" hidden="1" x14ac:dyDescent="0.25">
      <c r="A148" t="s">
        <v>209</v>
      </c>
      <c r="B148">
        <v>16</v>
      </c>
      <c r="C148">
        <v>5</v>
      </c>
      <c r="D148">
        <v>5</v>
      </c>
      <c r="E148">
        <v>0</v>
      </c>
      <c r="F148" t="s">
        <v>212</v>
      </c>
      <c r="G148">
        <v>12927</v>
      </c>
      <c r="H148">
        <v>243850526.40000001</v>
      </c>
      <c r="I148">
        <v>1318.6</v>
      </c>
      <c r="J148">
        <v>0.40754716694355009</v>
      </c>
      <c r="K148">
        <v>0.62962962388992305</v>
      </c>
      <c r="L148">
        <v>0.40000001192092893</v>
      </c>
      <c r="M148">
        <v>0.93333333333333335</v>
      </c>
      <c r="N148">
        <v>0.96296296296296291</v>
      </c>
      <c r="O148">
        <v>0.98113207547169812</v>
      </c>
      <c r="P148">
        <v>1782</v>
      </c>
      <c r="Q148">
        <v>70667475.400000006</v>
      </c>
      <c r="R148">
        <v>12678</v>
      </c>
      <c r="S148">
        <v>2</v>
      </c>
      <c r="T148">
        <v>75</v>
      </c>
      <c r="U148">
        <v>0.93333333333333335</v>
      </c>
      <c r="V148">
        <v>0.96296296296296291</v>
      </c>
      <c r="W148">
        <v>0.98490566037735849</v>
      </c>
      <c r="X148">
        <v>1829</v>
      </c>
      <c r="Y148">
        <v>69302304.599999994</v>
      </c>
      <c r="Z148">
        <v>12999</v>
      </c>
      <c r="AA148">
        <v>2</v>
      </c>
      <c r="AB148">
        <v>76</v>
      </c>
      <c r="AD148">
        <f>Tabela5[[#This Row],[kan_params]]</f>
        <v>12927</v>
      </c>
      <c r="AE148">
        <f>Tabela5[[#This Row],[kan_train_acc]]</f>
        <v>0.40754716694355009</v>
      </c>
      <c r="AF148">
        <f>Tabela5[[#This Row],[kan_val_acc]]</f>
        <v>0.62962962388992305</v>
      </c>
      <c r="AG148">
        <f>Tabela5[[#This Row],[kan_test_acc]]</f>
        <v>0.40000001192092893</v>
      </c>
      <c r="AH148">
        <f>Tabela5[[#This Row],[mlp_test_acc]]</f>
        <v>0.93333333333333335</v>
      </c>
      <c r="AI148">
        <f>Tabela5[[#This Row],[mlp_val_acc]]</f>
        <v>0.96296296296296291</v>
      </c>
      <c r="AJ148">
        <f>Tabela5[[#This Row],[mlp_train_acc]]</f>
        <v>0.98113207547169812</v>
      </c>
    </row>
    <row r="149" spans="1:36" x14ac:dyDescent="0.25">
      <c r="A149" t="s">
        <v>209</v>
      </c>
      <c r="B149">
        <v>12</v>
      </c>
      <c r="C149">
        <v>3</v>
      </c>
      <c r="D149">
        <v>4</v>
      </c>
      <c r="E149">
        <v>0</v>
      </c>
      <c r="F149" t="s">
        <v>219</v>
      </c>
      <c r="G149">
        <v>12982</v>
      </c>
      <c r="H149">
        <v>275236304.60000002</v>
      </c>
      <c r="I149">
        <v>1432.4</v>
      </c>
      <c r="J149">
        <v>0.32452830523252485</v>
      </c>
      <c r="K149">
        <v>0.73333332538604734</v>
      </c>
      <c r="L149">
        <v>0.36000000834465029</v>
      </c>
      <c r="M149">
        <v>0.93333333333333335</v>
      </c>
      <c r="N149">
        <v>0.93333333333333335</v>
      </c>
      <c r="O149">
        <v>1</v>
      </c>
      <c r="P149">
        <v>9978.6</v>
      </c>
      <c r="Q149">
        <v>493696483.60000002</v>
      </c>
      <c r="R149">
        <v>12678</v>
      </c>
      <c r="S149">
        <v>2</v>
      </c>
      <c r="T149">
        <v>75</v>
      </c>
      <c r="U149">
        <v>0.93333333333333335</v>
      </c>
      <c r="V149">
        <v>0.94074074074074077</v>
      </c>
      <c r="W149">
        <v>1</v>
      </c>
      <c r="X149">
        <v>9614.7999999999993</v>
      </c>
      <c r="Y149">
        <v>462998845.80000001</v>
      </c>
      <c r="Z149">
        <v>12999</v>
      </c>
      <c r="AA149">
        <v>2</v>
      </c>
      <c r="AB149">
        <v>76</v>
      </c>
      <c r="AD149">
        <f>Tabela5[[#This Row],[kan_params]]</f>
        <v>12982</v>
      </c>
      <c r="AE149">
        <f>Tabela5[[#This Row],[kan_train_acc]]</f>
        <v>0.32452830523252485</v>
      </c>
      <c r="AF149">
        <f>Tabela5[[#This Row],[kan_val_acc]]</f>
        <v>0.73333332538604734</v>
      </c>
      <c r="AG149">
        <f>Tabela5[[#This Row],[kan_test_acc]]</f>
        <v>0.36000000834465029</v>
      </c>
      <c r="AH149">
        <f>Tabela5[[#This Row],[mlp_test_acc]]</f>
        <v>0.93333333333333335</v>
      </c>
      <c r="AI149">
        <f>Tabela5[[#This Row],[mlp_val_acc]]</f>
        <v>0.93333333333333335</v>
      </c>
      <c r="AJ149">
        <f>Tabela5[[#This Row],[mlp_train_acc]]</f>
        <v>1</v>
      </c>
    </row>
    <row r="150" spans="1:36" hidden="1" x14ac:dyDescent="0.25">
      <c r="A150" t="s">
        <v>209</v>
      </c>
      <c r="B150">
        <v>14</v>
      </c>
      <c r="C150">
        <v>9</v>
      </c>
      <c r="D150">
        <v>2</v>
      </c>
      <c r="E150">
        <v>0</v>
      </c>
      <c r="F150" t="s">
        <v>219</v>
      </c>
      <c r="G150">
        <v>12982</v>
      </c>
      <c r="H150">
        <v>382883370.19999999</v>
      </c>
      <c r="I150">
        <v>10000</v>
      </c>
      <c r="J150">
        <v>0.93584905862808232</v>
      </c>
      <c r="K150">
        <v>0.99259259700775149</v>
      </c>
      <c r="L150">
        <v>0.85777778625488277</v>
      </c>
      <c r="M150">
        <v>0.98222222222222222</v>
      </c>
      <c r="N150">
        <v>1</v>
      </c>
      <c r="O150">
        <v>0.92264150943396228</v>
      </c>
      <c r="P150">
        <v>791.2</v>
      </c>
      <c r="Q150">
        <v>31273358</v>
      </c>
      <c r="R150">
        <v>12678</v>
      </c>
      <c r="S150">
        <v>2</v>
      </c>
      <c r="T150">
        <v>75</v>
      </c>
      <c r="U150">
        <v>0.98666666666666669</v>
      </c>
      <c r="V150">
        <v>1</v>
      </c>
      <c r="W150">
        <v>0.92452830188679247</v>
      </c>
      <c r="X150">
        <v>884</v>
      </c>
      <c r="Y150">
        <v>40206745.600000001</v>
      </c>
      <c r="Z150">
        <v>12999</v>
      </c>
      <c r="AA150">
        <v>2</v>
      </c>
      <c r="AB150">
        <v>76</v>
      </c>
      <c r="AD150">
        <f>Tabela5[[#This Row],[kan_params]]</f>
        <v>12982</v>
      </c>
      <c r="AE150">
        <f>Tabela5[[#This Row],[kan_train_acc]]</f>
        <v>0.93584905862808232</v>
      </c>
      <c r="AF150">
        <f>Tabela5[[#This Row],[kan_val_acc]]</f>
        <v>0.99259259700775149</v>
      </c>
      <c r="AG150">
        <f>Tabela5[[#This Row],[kan_test_acc]]</f>
        <v>0.85777778625488277</v>
      </c>
      <c r="AH150">
        <f>Tabela5[[#This Row],[mlp_test_acc]]</f>
        <v>0.98222222222222222</v>
      </c>
      <c r="AI150">
        <f>Tabela5[[#This Row],[mlp_val_acc]]</f>
        <v>1</v>
      </c>
      <c r="AJ150">
        <f>Tabela5[[#This Row],[mlp_train_acc]]</f>
        <v>0.92264150943396228</v>
      </c>
    </row>
    <row r="151" spans="1:36" hidden="1" x14ac:dyDescent="0.25">
      <c r="A151" t="s">
        <v>209</v>
      </c>
      <c r="B151">
        <v>18</v>
      </c>
      <c r="C151">
        <v>9</v>
      </c>
      <c r="D151">
        <v>4</v>
      </c>
      <c r="E151">
        <v>0</v>
      </c>
      <c r="F151" t="s">
        <v>215</v>
      </c>
      <c r="G151">
        <v>13011</v>
      </c>
      <c r="H151">
        <v>212626221.40000001</v>
      </c>
      <c r="I151">
        <v>1037.5999999999999</v>
      </c>
      <c r="J151">
        <v>0.35660377144813538</v>
      </c>
      <c r="K151">
        <v>0.74074074029922488</v>
      </c>
      <c r="L151">
        <v>0.42222223281860349</v>
      </c>
      <c r="M151">
        <v>0.8666666666666667</v>
      </c>
      <c r="N151">
        <v>0.97037037037037033</v>
      </c>
      <c r="O151">
        <v>0.98113207547169812</v>
      </c>
      <c r="P151">
        <v>2754</v>
      </c>
      <c r="Q151">
        <v>129912591.59999999</v>
      </c>
      <c r="R151">
        <v>12999</v>
      </c>
      <c r="S151">
        <v>2</v>
      </c>
      <c r="T151">
        <v>76</v>
      </c>
      <c r="U151">
        <v>0.8666666666666667</v>
      </c>
      <c r="V151">
        <v>0.97037037037037033</v>
      </c>
      <c r="W151">
        <v>0.98113207547169812</v>
      </c>
      <c r="X151">
        <v>2877.4</v>
      </c>
      <c r="Y151">
        <v>137088078.40000001</v>
      </c>
      <c r="Z151">
        <v>13324</v>
      </c>
      <c r="AA151">
        <v>2</v>
      </c>
      <c r="AB151">
        <v>77</v>
      </c>
      <c r="AD151">
        <f>Tabela5[[#This Row],[kan_params]]</f>
        <v>13011</v>
      </c>
      <c r="AE151">
        <f>Tabela5[[#This Row],[kan_train_acc]]</f>
        <v>0.35660377144813538</v>
      </c>
      <c r="AF151">
        <f>Tabela5[[#This Row],[kan_val_acc]]</f>
        <v>0.74074074029922488</v>
      </c>
      <c r="AG151">
        <f>Tabela5[[#This Row],[kan_test_acc]]</f>
        <v>0.42222223281860349</v>
      </c>
      <c r="AH151">
        <f>Tabela5[[#This Row],[mlp_test_acc]]</f>
        <v>0.8666666666666667</v>
      </c>
      <c r="AI151">
        <f>Tabela5[[#This Row],[mlp_val_acc]]</f>
        <v>0.97037037037037033</v>
      </c>
      <c r="AJ151">
        <f>Tabela5[[#This Row],[mlp_train_acc]]</f>
        <v>0.98113207547169812</v>
      </c>
    </row>
    <row r="152" spans="1:36" x14ac:dyDescent="0.25">
      <c r="A152" t="s">
        <v>209</v>
      </c>
      <c r="B152">
        <v>10</v>
      </c>
      <c r="C152">
        <v>3</v>
      </c>
      <c r="D152">
        <v>3</v>
      </c>
      <c r="E152">
        <v>0</v>
      </c>
      <c r="F152" t="s">
        <v>226</v>
      </c>
      <c r="G152">
        <v>13247</v>
      </c>
      <c r="H152">
        <v>230598351.80000001</v>
      </c>
      <c r="I152">
        <v>6826.8</v>
      </c>
      <c r="J152">
        <v>0.89245282411575322</v>
      </c>
      <c r="K152">
        <v>0.98518519401550297</v>
      </c>
      <c r="L152">
        <v>0.86666667461395264</v>
      </c>
      <c r="M152">
        <v>0.93333333333333335</v>
      </c>
      <c r="N152">
        <v>1</v>
      </c>
      <c r="O152">
        <v>1</v>
      </c>
      <c r="P152">
        <v>2140</v>
      </c>
      <c r="Q152">
        <v>93361094.200000003</v>
      </c>
      <c r="R152">
        <v>12999</v>
      </c>
      <c r="S152">
        <v>2</v>
      </c>
      <c r="T152">
        <v>76</v>
      </c>
      <c r="U152">
        <v>0.93333333333333335</v>
      </c>
      <c r="V152">
        <v>1</v>
      </c>
      <c r="W152">
        <v>1</v>
      </c>
      <c r="X152">
        <v>2164.8000000000002</v>
      </c>
      <c r="Y152">
        <v>98801818.200000003</v>
      </c>
      <c r="Z152">
        <v>13324</v>
      </c>
      <c r="AA152">
        <v>2</v>
      </c>
      <c r="AB152">
        <v>77</v>
      </c>
      <c r="AD152">
        <f>Tabela5[[#This Row],[kan_params]]</f>
        <v>13247</v>
      </c>
      <c r="AE152">
        <f>Tabela5[[#This Row],[kan_train_acc]]</f>
        <v>0.89245282411575322</v>
      </c>
      <c r="AF152">
        <f>Tabela5[[#This Row],[kan_val_acc]]</f>
        <v>0.98518519401550297</v>
      </c>
      <c r="AG152">
        <f>Tabela5[[#This Row],[kan_test_acc]]</f>
        <v>0.86666667461395264</v>
      </c>
      <c r="AH152">
        <f>Tabela5[[#This Row],[mlp_test_acc]]</f>
        <v>0.93333333333333335</v>
      </c>
      <c r="AI152">
        <f>Tabela5[[#This Row],[mlp_val_acc]]</f>
        <v>1</v>
      </c>
      <c r="AJ152">
        <f>Tabela5[[#This Row],[mlp_train_acc]]</f>
        <v>1</v>
      </c>
    </row>
    <row r="153" spans="1:36" hidden="1" x14ac:dyDescent="0.25">
      <c r="A153" t="s">
        <v>209</v>
      </c>
      <c r="B153">
        <v>18</v>
      </c>
      <c r="C153">
        <v>9</v>
      </c>
      <c r="D153">
        <v>4</v>
      </c>
      <c r="E153">
        <v>0</v>
      </c>
      <c r="F153" t="s">
        <v>220</v>
      </c>
      <c r="G153">
        <v>13360</v>
      </c>
      <c r="H153">
        <v>258493074.40000001</v>
      </c>
      <c r="I153">
        <v>2235.6999999999998</v>
      </c>
      <c r="J153">
        <v>0.48018867671489718</v>
      </c>
      <c r="K153">
        <v>0.70740740895271303</v>
      </c>
      <c r="L153">
        <v>0.47777778506278989</v>
      </c>
      <c r="M153">
        <v>0.92666666666666664</v>
      </c>
      <c r="N153">
        <v>0.9814814814814814</v>
      </c>
      <c r="O153">
        <v>0.98018867924528297</v>
      </c>
      <c r="P153">
        <v>2448</v>
      </c>
      <c r="Q153">
        <v>117327211.2</v>
      </c>
      <c r="R153">
        <v>13324</v>
      </c>
      <c r="S153">
        <v>2</v>
      </c>
      <c r="T153">
        <v>77</v>
      </c>
      <c r="U153">
        <v>0.92222222222222228</v>
      </c>
      <c r="V153">
        <v>0.9814814814814814</v>
      </c>
      <c r="W153">
        <v>0.98679245283018868</v>
      </c>
      <c r="X153">
        <v>2364.5</v>
      </c>
      <c r="Y153">
        <v>113683291.8</v>
      </c>
      <c r="Z153">
        <v>13653</v>
      </c>
      <c r="AA153">
        <v>2</v>
      </c>
      <c r="AB153">
        <v>78</v>
      </c>
      <c r="AD153">
        <f>Tabela5[[#This Row],[kan_params]]</f>
        <v>13360</v>
      </c>
      <c r="AE153">
        <f>Tabela5[[#This Row],[kan_train_acc]]</f>
        <v>0.48018867671489718</v>
      </c>
      <c r="AF153">
        <f>Tabela5[[#This Row],[kan_val_acc]]</f>
        <v>0.70740740895271303</v>
      </c>
      <c r="AG153">
        <f>Tabela5[[#This Row],[kan_test_acc]]</f>
        <v>0.47777778506278989</v>
      </c>
      <c r="AH153">
        <f>Tabela5[[#This Row],[mlp_test_acc]]</f>
        <v>0.92666666666666664</v>
      </c>
      <c r="AI153">
        <f>Tabela5[[#This Row],[mlp_val_acc]]</f>
        <v>0.9814814814814814</v>
      </c>
      <c r="AJ153">
        <f>Tabela5[[#This Row],[mlp_train_acc]]</f>
        <v>0.98018867924528297</v>
      </c>
    </row>
    <row r="154" spans="1:36" x14ac:dyDescent="0.25">
      <c r="A154" t="s">
        <v>209</v>
      </c>
      <c r="B154">
        <v>12</v>
      </c>
      <c r="C154">
        <v>3</v>
      </c>
      <c r="D154">
        <v>4</v>
      </c>
      <c r="E154">
        <v>0</v>
      </c>
      <c r="F154" t="s">
        <v>225</v>
      </c>
      <c r="G154">
        <v>13437</v>
      </c>
      <c r="H154">
        <v>253289044</v>
      </c>
      <c r="I154">
        <v>1300.8</v>
      </c>
      <c r="J154">
        <v>0.55283018350601199</v>
      </c>
      <c r="K154">
        <v>0.62222222089767454</v>
      </c>
      <c r="L154">
        <v>0.58222224116325383</v>
      </c>
      <c r="M154">
        <v>0.94222222222222229</v>
      </c>
      <c r="N154">
        <v>0.95555555555555549</v>
      </c>
      <c r="O154">
        <v>1</v>
      </c>
      <c r="P154">
        <v>6728</v>
      </c>
      <c r="Q154">
        <v>274543042</v>
      </c>
      <c r="R154">
        <v>13324</v>
      </c>
      <c r="S154">
        <v>2</v>
      </c>
      <c r="T154">
        <v>77</v>
      </c>
      <c r="U154">
        <v>0.93777777777777782</v>
      </c>
      <c r="V154">
        <v>0.95555555555555549</v>
      </c>
      <c r="W154">
        <v>1</v>
      </c>
      <c r="X154">
        <v>7079</v>
      </c>
      <c r="Y154">
        <v>274817776.19999999</v>
      </c>
      <c r="Z154">
        <v>13653</v>
      </c>
      <c r="AA154">
        <v>2</v>
      </c>
      <c r="AB154">
        <v>78</v>
      </c>
      <c r="AD154">
        <f>Tabela5[[#This Row],[kan_params]]</f>
        <v>13437</v>
      </c>
      <c r="AE154">
        <f>Tabela5[[#This Row],[kan_train_acc]]</f>
        <v>0.55283018350601199</v>
      </c>
      <c r="AF154">
        <f>Tabela5[[#This Row],[kan_val_acc]]</f>
        <v>0.62222222089767454</v>
      </c>
      <c r="AG154">
        <f>Tabela5[[#This Row],[kan_test_acc]]</f>
        <v>0.58222224116325383</v>
      </c>
      <c r="AH154">
        <f>Tabela5[[#This Row],[mlp_test_acc]]</f>
        <v>0.94222222222222229</v>
      </c>
      <c r="AI154">
        <f>Tabela5[[#This Row],[mlp_val_acc]]</f>
        <v>0.95555555555555549</v>
      </c>
      <c r="AJ154">
        <f>Tabela5[[#This Row],[mlp_train_acc]]</f>
        <v>1</v>
      </c>
    </row>
    <row r="155" spans="1:36" hidden="1" x14ac:dyDescent="0.25">
      <c r="A155" t="s">
        <v>209</v>
      </c>
      <c r="B155">
        <v>14</v>
      </c>
      <c r="C155">
        <v>9</v>
      </c>
      <c r="D155">
        <v>2</v>
      </c>
      <c r="E155">
        <v>0</v>
      </c>
      <c r="F155" t="s">
        <v>225</v>
      </c>
      <c r="G155">
        <v>13437</v>
      </c>
      <c r="H155">
        <v>14031680.800000001</v>
      </c>
      <c r="I155">
        <v>10000</v>
      </c>
      <c r="J155">
        <v>0.93773586750030513</v>
      </c>
      <c r="K155">
        <v>1</v>
      </c>
      <c r="L155">
        <v>0.82222223281860352</v>
      </c>
      <c r="M155">
        <v>0.96888888888888891</v>
      </c>
      <c r="N155">
        <v>1</v>
      </c>
      <c r="O155">
        <v>0.91698113207547172</v>
      </c>
      <c r="P155">
        <v>719.6</v>
      </c>
      <c r="Q155">
        <v>31319051.199999999</v>
      </c>
      <c r="R155">
        <v>13324</v>
      </c>
      <c r="S155">
        <v>2</v>
      </c>
      <c r="T155">
        <v>77</v>
      </c>
      <c r="U155">
        <v>0.97777777777777775</v>
      </c>
      <c r="V155">
        <v>1</v>
      </c>
      <c r="W155">
        <v>0.92075471698113209</v>
      </c>
      <c r="X155">
        <v>830</v>
      </c>
      <c r="Y155">
        <v>39154249.600000001</v>
      </c>
      <c r="Z155">
        <v>13653</v>
      </c>
      <c r="AA155">
        <v>2</v>
      </c>
      <c r="AB155">
        <v>78</v>
      </c>
      <c r="AD155">
        <f>Tabela5[[#This Row],[kan_params]]</f>
        <v>13437</v>
      </c>
      <c r="AE155">
        <f>Tabela5[[#This Row],[kan_train_acc]]</f>
        <v>0.93773586750030513</v>
      </c>
      <c r="AF155">
        <f>Tabela5[[#This Row],[kan_val_acc]]</f>
        <v>1</v>
      </c>
      <c r="AG155">
        <f>Tabela5[[#This Row],[kan_test_acc]]</f>
        <v>0.82222223281860352</v>
      </c>
      <c r="AH155">
        <f>Tabela5[[#This Row],[mlp_test_acc]]</f>
        <v>0.96888888888888891</v>
      </c>
      <c r="AI155">
        <f>Tabela5[[#This Row],[mlp_val_acc]]</f>
        <v>1</v>
      </c>
      <c r="AJ155">
        <f>Tabela5[[#This Row],[mlp_train_acc]]</f>
        <v>0.91698113207547172</v>
      </c>
    </row>
    <row r="156" spans="1:36" x14ac:dyDescent="0.25">
      <c r="A156" t="s">
        <v>209</v>
      </c>
      <c r="B156">
        <v>14</v>
      </c>
      <c r="C156">
        <v>3</v>
      </c>
      <c r="D156">
        <v>5</v>
      </c>
      <c r="E156">
        <v>0</v>
      </c>
      <c r="F156" t="s">
        <v>216</v>
      </c>
      <c r="G156">
        <v>13439</v>
      </c>
      <c r="H156">
        <v>252450442.80000001</v>
      </c>
      <c r="I156">
        <v>1122</v>
      </c>
      <c r="J156">
        <v>0.58301887512207029</v>
      </c>
      <c r="K156">
        <v>0.78518519401550291</v>
      </c>
      <c r="L156">
        <v>0.54666668176651001</v>
      </c>
      <c r="M156">
        <v>0.9555555555555556</v>
      </c>
      <c r="N156">
        <v>0.94814814814814807</v>
      </c>
      <c r="O156">
        <v>1</v>
      </c>
      <c r="P156">
        <v>3102.2</v>
      </c>
      <c r="Q156">
        <v>142950084.19999999</v>
      </c>
      <c r="R156">
        <v>13324</v>
      </c>
      <c r="S156">
        <v>2</v>
      </c>
      <c r="T156">
        <v>77</v>
      </c>
      <c r="U156">
        <v>0.9555555555555556</v>
      </c>
      <c r="V156">
        <v>0.94074074074074077</v>
      </c>
      <c r="W156">
        <v>1</v>
      </c>
      <c r="X156">
        <v>3587.4</v>
      </c>
      <c r="Y156">
        <v>179099021.40000001</v>
      </c>
      <c r="Z156">
        <v>13653</v>
      </c>
      <c r="AA156">
        <v>2</v>
      </c>
      <c r="AB156">
        <v>78</v>
      </c>
      <c r="AD156">
        <f>Tabela5[[#This Row],[kan_params]]</f>
        <v>13439</v>
      </c>
      <c r="AE156">
        <f>Tabela5[[#This Row],[kan_train_acc]]</f>
        <v>0.58301887512207029</v>
      </c>
      <c r="AF156">
        <f>Tabela5[[#This Row],[kan_val_acc]]</f>
        <v>0.78518519401550291</v>
      </c>
      <c r="AG156">
        <f>Tabela5[[#This Row],[kan_test_acc]]</f>
        <v>0.54666668176651001</v>
      </c>
      <c r="AH156">
        <f>Tabela5[[#This Row],[mlp_test_acc]]</f>
        <v>0.9555555555555556</v>
      </c>
      <c r="AI156">
        <f>Tabela5[[#This Row],[mlp_val_acc]]</f>
        <v>0.94814814814814807</v>
      </c>
      <c r="AJ156">
        <f>Tabela5[[#This Row],[mlp_train_acc]]</f>
        <v>1</v>
      </c>
    </row>
    <row r="157" spans="1:36" hidden="1" x14ac:dyDescent="0.25">
      <c r="A157" t="s">
        <v>209</v>
      </c>
      <c r="B157">
        <v>16</v>
      </c>
      <c r="C157">
        <v>9</v>
      </c>
      <c r="D157">
        <v>3</v>
      </c>
      <c r="E157">
        <v>0</v>
      </c>
      <c r="F157" t="s">
        <v>216</v>
      </c>
      <c r="G157">
        <v>13439</v>
      </c>
      <c r="H157">
        <v>8688104.8000000007</v>
      </c>
      <c r="I157">
        <v>10000</v>
      </c>
      <c r="J157">
        <v>0.94150943756103511</v>
      </c>
      <c r="K157">
        <v>1</v>
      </c>
      <c r="L157">
        <v>0.86666667461395264</v>
      </c>
      <c r="M157">
        <v>0.97333333333333338</v>
      </c>
      <c r="N157">
        <v>1</v>
      </c>
      <c r="O157">
        <v>0.91698113207547172</v>
      </c>
      <c r="P157">
        <v>743.2</v>
      </c>
      <c r="Q157">
        <v>33839596.399999999</v>
      </c>
      <c r="R157">
        <v>13324</v>
      </c>
      <c r="S157">
        <v>2</v>
      </c>
      <c r="T157">
        <v>77</v>
      </c>
      <c r="U157">
        <v>0.98666666666666669</v>
      </c>
      <c r="V157">
        <v>1</v>
      </c>
      <c r="W157">
        <v>0.91698113207547172</v>
      </c>
      <c r="X157">
        <v>731.4</v>
      </c>
      <c r="Y157">
        <v>35647116.600000001</v>
      </c>
      <c r="Z157">
        <v>13653</v>
      </c>
      <c r="AA157">
        <v>2</v>
      </c>
      <c r="AB157">
        <v>78</v>
      </c>
      <c r="AD157">
        <f>Tabela5[[#This Row],[kan_params]]</f>
        <v>13439</v>
      </c>
      <c r="AE157">
        <f>Tabela5[[#This Row],[kan_train_acc]]</f>
        <v>0.94150943756103511</v>
      </c>
      <c r="AF157">
        <f>Tabela5[[#This Row],[kan_val_acc]]</f>
        <v>1</v>
      </c>
      <c r="AG157">
        <f>Tabela5[[#This Row],[kan_test_acc]]</f>
        <v>0.86666667461395264</v>
      </c>
      <c r="AH157">
        <f>Tabela5[[#This Row],[mlp_test_acc]]</f>
        <v>0.97333333333333338</v>
      </c>
      <c r="AI157">
        <f>Tabela5[[#This Row],[mlp_val_acc]]</f>
        <v>1</v>
      </c>
      <c r="AJ157">
        <f>Tabela5[[#This Row],[mlp_train_acc]]</f>
        <v>0.91698113207547172</v>
      </c>
    </row>
    <row r="158" spans="1:36" hidden="1" x14ac:dyDescent="0.25">
      <c r="A158" t="s">
        <v>209</v>
      </c>
      <c r="B158">
        <v>18</v>
      </c>
      <c r="C158">
        <v>9</v>
      </c>
      <c r="D158">
        <v>4</v>
      </c>
      <c r="E158">
        <v>0</v>
      </c>
      <c r="F158" t="s">
        <v>212</v>
      </c>
      <c r="G158">
        <v>13464</v>
      </c>
      <c r="H158">
        <v>277512126.80000001</v>
      </c>
      <c r="I158">
        <v>1357.2</v>
      </c>
      <c r="J158">
        <v>0.4452830135822296</v>
      </c>
      <c r="K158">
        <v>0.68148148059844971</v>
      </c>
      <c r="L158">
        <v>0.40444445013999941</v>
      </c>
      <c r="M158">
        <v>0.88</v>
      </c>
      <c r="N158">
        <v>0.96296296296296291</v>
      </c>
      <c r="O158">
        <v>1</v>
      </c>
      <c r="P158">
        <v>3272.6</v>
      </c>
      <c r="Q158">
        <v>147072269</v>
      </c>
      <c r="R158">
        <v>13324</v>
      </c>
      <c r="S158">
        <v>2</v>
      </c>
      <c r="T158">
        <v>77</v>
      </c>
      <c r="U158">
        <v>0.87555555555555553</v>
      </c>
      <c r="V158">
        <v>0.96296296296296291</v>
      </c>
      <c r="W158">
        <v>1</v>
      </c>
      <c r="X158">
        <v>3198.6</v>
      </c>
      <c r="Y158">
        <v>144616752.59999999</v>
      </c>
      <c r="Z158">
        <v>13653</v>
      </c>
      <c r="AA158">
        <v>2</v>
      </c>
      <c r="AB158">
        <v>78</v>
      </c>
      <c r="AD158">
        <f>Tabela5[[#This Row],[kan_params]]</f>
        <v>13464</v>
      </c>
      <c r="AE158">
        <f>Tabela5[[#This Row],[kan_train_acc]]</f>
        <v>0.4452830135822296</v>
      </c>
      <c r="AF158">
        <f>Tabela5[[#This Row],[kan_val_acc]]</f>
        <v>0.68148148059844971</v>
      </c>
      <c r="AG158">
        <f>Tabela5[[#This Row],[kan_test_acc]]</f>
        <v>0.40444445013999941</v>
      </c>
      <c r="AH158">
        <f>Tabela5[[#This Row],[mlp_test_acc]]</f>
        <v>0.88</v>
      </c>
      <c r="AI158">
        <f>Tabela5[[#This Row],[mlp_val_acc]]</f>
        <v>0.96296296296296291</v>
      </c>
      <c r="AJ158">
        <f>Tabela5[[#This Row],[mlp_train_acc]]</f>
        <v>1</v>
      </c>
    </row>
    <row r="159" spans="1:36" hidden="1" x14ac:dyDescent="0.25">
      <c r="A159" t="s">
        <v>209</v>
      </c>
      <c r="B159">
        <v>20</v>
      </c>
      <c r="C159">
        <v>9</v>
      </c>
      <c r="D159">
        <v>5</v>
      </c>
      <c r="E159">
        <v>0</v>
      </c>
      <c r="F159" t="s">
        <v>217</v>
      </c>
      <c r="G159">
        <v>13501</v>
      </c>
      <c r="H159">
        <v>132007585.8</v>
      </c>
      <c r="I159">
        <v>1087.5999999999999</v>
      </c>
      <c r="J159">
        <v>0.38867924809455873</v>
      </c>
      <c r="K159">
        <v>0.70370370149612427</v>
      </c>
      <c r="L159">
        <v>0.4088889002799988</v>
      </c>
      <c r="M159">
        <v>0.87111111111111117</v>
      </c>
      <c r="N159">
        <v>1</v>
      </c>
      <c r="O159">
        <v>0.97169811320754718</v>
      </c>
      <c r="P159">
        <v>921.8</v>
      </c>
      <c r="Q159">
        <v>29742244.399999999</v>
      </c>
      <c r="R159">
        <v>13324</v>
      </c>
      <c r="S159">
        <v>2</v>
      </c>
      <c r="T159">
        <v>77</v>
      </c>
      <c r="U159">
        <v>0.88444444444444437</v>
      </c>
      <c r="V159">
        <v>1</v>
      </c>
      <c r="W159">
        <v>0.96037735849056605</v>
      </c>
      <c r="X159">
        <v>917.6</v>
      </c>
      <c r="Y159">
        <v>26631947.399999999</v>
      </c>
      <c r="Z159">
        <v>13653</v>
      </c>
      <c r="AA159">
        <v>2</v>
      </c>
      <c r="AB159">
        <v>78</v>
      </c>
      <c r="AD159">
        <f>Tabela5[[#This Row],[kan_params]]</f>
        <v>13501</v>
      </c>
      <c r="AE159">
        <f>Tabela5[[#This Row],[kan_train_acc]]</f>
        <v>0.38867924809455873</v>
      </c>
      <c r="AF159">
        <f>Tabela5[[#This Row],[kan_val_acc]]</f>
        <v>0.70370370149612427</v>
      </c>
      <c r="AG159">
        <f>Tabela5[[#This Row],[kan_test_acc]]</f>
        <v>0.4088889002799988</v>
      </c>
      <c r="AH159">
        <f>Tabela5[[#This Row],[mlp_test_acc]]</f>
        <v>0.87111111111111117</v>
      </c>
      <c r="AI159">
        <f>Tabela5[[#This Row],[mlp_val_acc]]</f>
        <v>1</v>
      </c>
      <c r="AJ159">
        <f>Tabela5[[#This Row],[mlp_train_acc]]</f>
        <v>0.97169811320754718</v>
      </c>
    </row>
    <row r="160" spans="1:36" hidden="1" x14ac:dyDescent="0.25">
      <c r="A160" t="s">
        <v>209</v>
      </c>
      <c r="B160">
        <v>14</v>
      </c>
      <c r="C160">
        <v>5</v>
      </c>
      <c r="D160">
        <v>4</v>
      </c>
      <c r="E160">
        <v>0</v>
      </c>
      <c r="F160" t="s">
        <v>221</v>
      </c>
      <c r="G160">
        <v>13543</v>
      </c>
      <c r="H160">
        <v>200729927</v>
      </c>
      <c r="I160">
        <v>1141.4000000000001</v>
      </c>
      <c r="J160">
        <v>0.52452829480171204</v>
      </c>
      <c r="K160">
        <v>0.73333332538604734</v>
      </c>
      <c r="L160">
        <v>0.43111112713813782</v>
      </c>
      <c r="M160">
        <v>0.93333333333333335</v>
      </c>
      <c r="N160">
        <v>0.96296296296296291</v>
      </c>
      <c r="O160">
        <v>0.98301886792452831</v>
      </c>
      <c r="P160">
        <v>1704.8</v>
      </c>
      <c r="Q160">
        <v>74044115.200000003</v>
      </c>
      <c r="R160">
        <v>13324</v>
      </c>
      <c r="S160">
        <v>2</v>
      </c>
      <c r="T160">
        <v>77</v>
      </c>
      <c r="U160">
        <v>0.93333333333333335</v>
      </c>
      <c r="V160">
        <v>0.96296296296296291</v>
      </c>
      <c r="W160">
        <v>0.98490566037735849</v>
      </c>
      <c r="X160">
        <v>1717.2</v>
      </c>
      <c r="Y160">
        <v>74286584.599999994</v>
      </c>
      <c r="Z160">
        <v>13653</v>
      </c>
      <c r="AA160">
        <v>2</v>
      </c>
      <c r="AB160">
        <v>78</v>
      </c>
      <c r="AD160">
        <f>Tabela5[[#This Row],[kan_params]]</f>
        <v>13543</v>
      </c>
      <c r="AE160">
        <f>Tabela5[[#This Row],[kan_train_acc]]</f>
        <v>0.52452829480171204</v>
      </c>
      <c r="AF160">
        <f>Tabela5[[#This Row],[kan_val_acc]]</f>
        <v>0.73333332538604734</v>
      </c>
      <c r="AG160">
        <f>Tabela5[[#This Row],[kan_test_acc]]</f>
        <v>0.43111112713813782</v>
      </c>
      <c r="AH160">
        <f>Tabela5[[#This Row],[mlp_test_acc]]</f>
        <v>0.93333333333333335</v>
      </c>
      <c r="AI160">
        <f>Tabela5[[#This Row],[mlp_val_acc]]</f>
        <v>0.96296296296296291</v>
      </c>
      <c r="AJ160">
        <f>Tabela5[[#This Row],[mlp_train_acc]]</f>
        <v>0.98301886792452831</v>
      </c>
    </row>
    <row r="161" spans="1:36" hidden="1" x14ac:dyDescent="0.25">
      <c r="A161" t="s">
        <v>209</v>
      </c>
      <c r="B161">
        <v>16</v>
      </c>
      <c r="C161">
        <v>5</v>
      </c>
      <c r="D161">
        <v>5</v>
      </c>
      <c r="E161">
        <v>0</v>
      </c>
      <c r="F161" t="s">
        <v>218</v>
      </c>
      <c r="G161">
        <v>13982</v>
      </c>
      <c r="H161">
        <v>229824669.40000001</v>
      </c>
      <c r="I161">
        <v>1055.5999999999999</v>
      </c>
      <c r="J161">
        <v>0.36792452931404113</v>
      </c>
      <c r="K161">
        <v>0.79259259700775142</v>
      </c>
      <c r="L161">
        <v>0.41777778565883639</v>
      </c>
      <c r="M161">
        <v>0.97777777777777775</v>
      </c>
      <c r="N161">
        <v>1</v>
      </c>
      <c r="O161">
        <v>0.92264150943396228</v>
      </c>
      <c r="P161">
        <v>789.4</v>
      </c>
      <c r="Q161">
        <v>35015136.399999999</v>
      </c>
      <c r="R161">
        <v>13653</v>
      </c>
      <c r="S161">
        <v>2</v>
      </c>
      <c r="T161">
        <v>78</v>
      </c>
      <c r="U161">
        <v>0.97333333333333327</v>
      </c>
      <c r="V161">
        <v>1</v>
      </c>
      <c r="W161">
        <v>0.92075471698113209</v>
      </c>
      <c r="X161">
        <v>710.2</v>
      </c>
      <c r="Y161">
        <v>33642451</v>
      </c>
      <c r="Z161">
        <v>13986</v>
      </c>
      <c r="AA161">
        <v>2</v>
      </c>
      <c r="AB161">
        <v>79</v>
      </c>
      <c r="AD161">
        <f>Tabela5[[#This Row],[kan_params]]</f>
        <v>13982</v>
      </c>
      <c r="AE161">
        <f>Tabela5[[#This Row],[kan_train_acc]]</f>
        <v>0.36792452931404113</v>
      </c>
      <c r="AF161">
        <f>Tabela5[[#This Row],[kan_val_acc]]</f>
        <v>0.79259259700775142</v>
      </c>
      <c r="AG161">
        <f>Tabela5[[#This Row],[kan_test_acc]]</f>
        <v>0.41777778565883639</v>
      </c>
      <c r="AH161">
        <f>Tabela5[[#This Row],[mlp_test_acc]]</f>
        <v>0.97777777777777775</v>
      </c>
      <c r="AI161">
        <f>Tabela5[[#This Row],[mlp_val_acc]]</f>
        <v>1</v>
      </c>
      <c r="AJ161">
        <f>Tabela5[[#This Row],[mlp_train_acc]]</f>
        <v>0.92264150943396228</v>
      </c>
    </row>
    <row r="162" spans="1:36" hidden="1" x14ac:dyDescent="0.25">
      <c r="A162" t="s">
        <v>209</v>
      </c>
      <c r="B162">
        <v>16</v>
      </c>
      <c r="C162">
        <v>5</v>
      </c>
      <c r="D162">
        <v>5</v>
      </c>
      <c r="E162">
        <v>0</v>
      </c>
      <c r="F162" t="s">
        <v>224</v>
      </c>
      <c r="G162">
        <v>14077</v>
      </c>
      <c r="H162">
        <v>267810195</v>
      </c>
      <c r="I162">
        <v>1211.8</v>
      </c>
      <c r="J162">
        <v>0.25660377442836763</v>
      </c>
      <c r="K162">
        <v>0.785185182094574</v>
      </c>
      <c r="L162">
        <v>0.20000000372529031</v>
      </c>
      <c r="M162">
        <v>0.98666666666666669</v>
      </c>
      <c r="N162">
        <v>1</v>
      </c>
      <c r="O162">
        <v>0.92264150943396228</v>
      </c>
      <c r="P162">
        <v>770.8</v>
      </c>
      <c r="Q162">
        <v>35803268.399999999</v>
      </c>
      <c r="R162">
        <v>13986</v>
      </c>
      <c r="S162">
        <v>2</v>
      </c>
      <c r="T162">
        <v>79</v>
      </c>
      <c r="U162">
        <v>0.97333333333333327</v>
      </c>
      <c r="V162">
        <v>1</v>
      </c>
      <c r="W162">
        <v>0.91698113207547172</v>
      </c>
      <c r="X162">
        <v>747.4</v>
      </c>
      <c r="Y162">
        <v>33156784</v>
      </c>
      <c r="Z162">
        <v>14323</v>
      </c>
      <c r="AA162">
        <v>2</v>
      </c>
      <c r="AB162">
        <v>80</v>
      </c>
      <c r="AD162">
        <f>Tabela5[[#This Row],[kan_params]]</f>
        <v>14077</v>
      </c>
      <c r="AE162">
        <f>Tabela5[[#This Row],[kan_train_acc]]</f>
        <v>0.25660377442836763</v>
      </c>
      <c r="AF162">
        <f>Tabela5[[#This Row],[kan_val_acc]]</f>
        <v>0.785185182094574</v>
      </c>
      <c r="AG162">
        <f>Tabela5[[#This Row],[kan_test_acc]]</f>
        <v>0.20000000372529031</v>
      </c>
      <c r="AH162">
        <f>Tabela5[[#This Row],[mlp_test_acc]]</f>
        <v>0.98666666666666669</v>
      </c>
      <c r="AI162">
        <f>Tabela5[[#This Row],[mlp_val_acc]]</f>
        <v>1</v>
      </c>
      <c r="AJ162">
        <f>Tabela5[[#This Row],[mlp_train_acc]]</f>
        <v>0.92264150943396228</v>
      </c>
    </row>
    <row r="163" spans="1:36" x14ac:dyDescent="0.25">
      <c r="A163" t="s">
        <v>209</v>
      </c>
      <c r="B163">
        <v>14</v>
      </c>
      <c r="C163">
        <v>3</v>
      </c>
      <c r="D163">
        <v>5</v>
      </c>
      <c r="E163">
        <v>0</v>
      </c>
      <c r="F163" t="s">
        <v>221</v>
      </c>
      <c r="G163">
        <v>14186</v>
      </c>
      <c r="H163">
        <v>301752507.60000002</v>
      </c>
      <c r="I163">
        <v>1339</v>
      </c>
      <c r="J163">
        <v>0.52264150381088259</v>
      </c>
      <c r="K163">
        <v>0.68888889551162724</v>
      </c>
      <c r="L163">
        <v>0.52888890504837038</v>
      </c>
      <c r="M163">
        <v>0.9555555555555556</v>
      </c>
      <c r="N163">
        <v>0.95555555555555549</v>
      </c>
      <c r="O163">
        <v>1</v>
      </c>
      <c r="P163">
        <v>2714.6</v>
      </c>
      <c r="Q163">
        <v>121200758</v>
      </c>
      <c r="R163">
        <v>13986</v>
      </c>
      <c r="S163">
        <v>2</v>
      </c>
      <c r="T163">
        <v>79</v>
      </c>
      <c r="U163">
        <v>0.94666666666666666</v>
      </c>
      <c r="V163">
        <v>0.94074074074074077</v>
      </c>
      <c r="W163">
        <v>1</v>
      </c>
      <c r="X163">
        <v>4197.2</v>
      </c>
      <c r="Y163">
        <v>195572975.40000001</v>
      </c>
      <c r="Z163">
        <v>14323</v>
      </c>
      <c r="AA163">
        <v>2</v>
      </c>
      <c r="AB163">
        <v>80</v>
      </c>
      <c r="AD163">
        <f>Tabela5[[#This Row],[kan_params]]</f>
        <v>14186</v>
      </c>
      <c r="AE163">
        <f>Tabela5[[#This Row],[kan_train_acc]]</f>
        <v>0.52264150381088259</v>
      </c>
      <c r="AF163">
        <f>Tabela5[[#This Row],[kan_val_acc]]</f>
        <v>0.68888889551162724</v>
      </c>
      <c r="AG163">
        <f>Tabela5[[#This Row],[kan_test_acc]]</f>
        <v>0.52888890504837038</v>
      </c>
      <c r="AH163">
        <f>Tabela5[[#This Row],[mlp_test_acc]]</f>
        <v>0.9555555555555556</v>
      </c>
      <c r="AI163">
        <f>Tabela5[[#This Row],[mlp_val_acc]]</f>
        <v>0.95555555555555549</v>
      </c>
      <c r="AJ163">
        <f>Tabela5[[#This Row],[mlp_train_acc]]</f>
        <v>1</v>
      </c>
    </row>
    <row r="164" spans="1:36" hidden="1" x14ac:dyDescent="0.25">
      <c r="A164" t="s">
        <v>209</v>
      </c>
      <c r="B164">
        <v>16</v>
      </c>
      <c r="C164">
        <v>9</v>
      </c>
      <c r="D164">
        <v>3</v>
      </c>
      <c r="E164">
        <v>0</v>
      </c>
      <c r="F164" t="s">
        <v>221</v>
      </c>
      <c r="G164">
        <v>14186</v>
      </c>
      <c r="H164">
        <v>421385566.60000002</v>
      </c>
      <c r="I164">
        <v>10000</v>
      </c>
      <c r="J164">
        <v>0.92075473070144653</v>
      </c>
      <c r="K164">
        <v>0.99259259700775149</v>
      </c>
      <c r="L164">
        <v>0.85777778625488277</v>
      </c>
      <c r="M164">
        <v>0.98666666666666669</v>
      </c>
      <c r="N164">
        <v>1</v>
      </c>
      <c r="O164">
        <v>0.91698113207547172</v>
      </c>
      <c r="P164">
        <v>800.2</v>
      </c>
      <c r="Q164">
        <v>33519900.800000001</v>
      </c>
      <c r="R164">
        <v>13986</v>
      </c>
      <c r="S164">
        <v>2</v>
      </c>
      <c r="T164">
        <v>79</v>
      </c>
      <c r="U164">
        <v>0.98666666666666669</v>
      </c>
      <c r="V164">
        <v>1</v>
      </c>
      <c r="W164">
        <v>0.9188679245283019</v>
      </c>
      <c r="X164">
        <v>786</v>
      </c>
      <c r="Y164">
        <v>35744849</v>
      </c>
      <c r="Z164">
        <v>14323</v>
      </c>
      <c r="AA164">
        <v>2</v>
      </c>
      <c r="AB164">
        <v>80</v>
      </c>
      <c r="AD164">
        <f>Tabela5[[#This Row],[kan_params]]</f>
        <v>14186</v>
      </c>
      <c r="AE164">
        <f>Tabela5[[#This Row],[kan_train_acc]]</f>
        <v>0.92075473070144653</v>
      </c>
      <c r="AF164">
        <f>Tabela5[[#This Row],[kan_val_acc]]</f>
        <v>0.99259259700775149</v>
      </c>
      <c r="AG164">
        <f>Tabela5[[#This Row],[kan_test_acc]]</f>
        <v>0.85777778625488277</v>
      </c>
      <c r="AH164">
        <f>Tabela5[[#This Row],[mlp_test_acc]]</f>
        <v>0.98666666666666669</v>
      </c>
      <c r="AI164">
        <f>Tabela5[[#This Row],[mlp_val_acc]]</f>
        <v>1</v>
      </c>
      <c r="AJ164">
        <f>Tabela5[[#This Row],[mlp_train_acc]]</f>
        <v>0.91698113207547172</v>
      </c>
    </row>
    <row r="165" spans="1:36" hidden="1" x14ac:dyDescent="0.25">
      <c r="A165" t="s">
        <v>209</v>
      </c>
      <c r="B165">
        <v>14</v>
      </c>
      <c r="C165">
        <v>5</v>
      </c>
      <c r="D165">
        <v>4</v>
      </c>
      <c r="E165">
        <v>0</v>
      </c>
      <c r="F165" t="s">
        <v>219</v>
      </c>
      <c r="G165">
        <v>14344</v>
      </c>
      <c r="H165">
        <v>200383713.80000001</v>
      </c>
      <c r="I165">
        <v>1087.2</v>
      </c>
      <c r="J165">
        <v>0.35094340145587921</v>
      </c>
      <c r="K165">
        <v>0.61481481790542603</v>
      </c>
      <c r="L165">
        <v>0.34666667282581332</v>
      </c>
      <c r="M165">
        <v>0.92888888888888888</v>
      </c>
      <c r="N165">
        <v>0.96296296296296291</v>
      </c>
      <c r="O165">
        <v>0.98490566037735849</v>
      </c>
      <c r="P165">
        <v>3320.8</v>
      </c>
      <c r="Q165">
        <v>147080157.40000001</v>
      </c>
      <c r="R165">
        <v>14323</v>
      </c>
      <c r="S165">
        <v>2</v>
      </c>
      <c r="T165">
        <v>80</v>
      </c>
      <c r="U165">
        <v>0.92888888888888888</v>
      </c>
      <c r="V165">
        <v>0.96296296296296291</v>
      </c>
      <c r="W165">
        <v>0.98490566037735849</v>
      </c>
      <c r="X165">
        <v>2784.6</v>
      </c>
      <c r="Y165">
        <v>121630699.59999999</v>
      </c>
      <c r="Z165">
        <v>14664</v>
      </c>
      <c r="AA165">
        <v>2</v>
      </c>
      <c r="AB165">
        <v>81</v>
      </c>
      <c r="AD165">
        <f>Tabela5[[#This Row],[kan_params]]</f>
        <v>14344</v>
      </c>
      <c r="AE165">
        <f>Tabela5[[#This Row],[kan_train_acc]]</f>
        <v>0.35094340145587921</v>
      </c>
      <c r="AF165">
        <f>Tabela5[[#This Row],[kan_val_acc]]</f>
        <v>0.61481481790542603</v>
      </c>
      <c r="AG165">
        <f>Tabela5[[#This Row],[kan_test_acc]]</f>
        <v>0.34666667282581332</v>
      </c>
      <c r="AH165">
        <f>Tabela5[[#This Row],[mlp_test_acc]]</f>
        <v>0.92888888888888888</v>
      </c>
      <c r="AI165">
        <f>Tabela5[[#This Row],[mlp_val_acc]]</f>
        <v>0.96296296296296291</v>
      </c>
      <c r="AJ165">
        <f>Tabela5[[#This Row],[mlp_train_acc]]</f>
        <v>0.98490566037735849</v>
      </c>
    </row>
    <row r="166" spans="1:36" x14ac:dyDescent="0.25">
      <c r="A166" t="s">
        <v>209</v>
      </c>
      <c r="B166">
        <v>12</v>
      </c>
      <c r="C166">
        <v>3</v>
      </c>
      <c r="D166">
        <v>4</v>
      </c>
      <c r="E166">
        <v>0</v>
      </c>
      <c r="F166" t="s">
        <v>222</v>
      </c>
      <c r="G166">
        <v>14352</v>
      </c>
      <c r="H166">
        <v>361026666.60000002</v>
      </c>
      <c r="I166">
        <v>1777.6</v>
      </c>
      <c r="J166">
        <v>0.36792453229427335</v>
      </c>
      <c r="K166">
        <v>0.69629629850387575</v>
      </c>
      <c r="L166">
        <v>0.38222223222255708</v>
      </c>
      <c r="M166">
        <v>0.93333333333333335</v>
      </c>
      <c r="N166">
        <v>0.95555555555555549</v>
      </c>
      <c r="O166">
        <v>1</v>
      </c>
      <c r="P166">
        <v>9298.2000000000007</v>
      </c>
      <c r="Q166">
        <v>406776709.80000001</v>
      </c>
      <c r="R166">
        <v>14323</v>
      </c>
      <c r="S166">
        <v>2</v>
      </c>
      <c r="T166">
        <v>80</v>
      </c>
      <c r="U166">
        <v>0.93333333333333335</v>
      </c>
      <c r="V166">
        <v>0.92592592592592593</v>
      </c>
      <c r="W166">
        <v>1</v>
      </c>
      <c r="X166">
        <v>9510</v>
      </c>
      <c r="Y166">
        <v>427560444.60000002</v>
      </c>
      <c r="Z166">
        <v>14664</v>
      </c>
      <c r="AA166">
        <v>2</v>
      </c>
      <c r="AB166">
        <v>81</v>
      </c>
      <c r="AD166">
        <f>Tabela5[[#This Row],[kan_params]]</f>
        <v>14352</v>
      </c>
      <c r="AE166">
        <f>Tabela5[[#This Row],[kan_train_acc]]</f>
        <v>0.36792453229427335</v>
      </c>
      <c r="AF166">
        <f>Tabela5[[#This Row],[kan_val_acc]]</f>
        <v>0.69629629850387575</v>
      </c>
      <c r="AG166">
        <f>Tabela5[[#This Row],[kan_test_acc]]</f>
        <v>0.38222223222255708</v>
      </c>
      <c r="AH166">
        <f>Tabela5[[#This Row],[mlp_test_acc]]</f>
        <v>0.93333333333333335</v>
      </c>
      <c r="AI166">
        <f>Tabela5[[#This Row],[mlp_val_acc]]</f>
        <v>0.95555555555555549</v>
      </c>
      <c r="AJ166">
        <f>Tabela5[[#This Row],[mlp_train_acc]]</f>
        <v>1</v>
      </c>
    </row>
    <row r="167" spans="1:36" hidden="1" x14ac:dyDescent="0.25">
      <c r="A167" t="s">
        <v>209</v>
      </c>
      <c r="B167">
        <v>14</v>
      </c>
      <c r="C167">
        <v>9</v>
      </c>
      <c r="D167">
        <v>2</v>
      </c>
      <c r="E167">
        <v>0</v>
      </c>
      <c r="F167" t="s">
        <v>222</v>
      </c>
      <c r="G167">
        <v>14352</v>
      </c>
      <c r="H167">
        <v>48332340.399999999</v>
      </c>
      <c r="I167">
        <v>8215.6</v>
      </c>
      <c r="J167">
        <v>0.9471698045730591</v>
      </c>
      <c r="K167">
        <v>0.99259259700775149</v>
      </c>
      <c r="L167">
        <v>0.84000000953674314</v>
      </c>
      <c r="M167">
        <v>0.97333333333333327</v>
      </c>
      <c r="N167">
        <v>1</v>
      </c>
      <c r="O167">
        <v>0.91132075471698115</v>
      </c>
      <c r="P167">
        <v>649.4</v>
      </c>
      <c r="Q167">
        <v>30503996.199999999</v>
      </c>
      <c r="R167">
        <v>14323</v>
      </c>
      <c r="S167">
        <v>2</v>
      </c>
      <c r="T167">
        <v>80</v>
      </c>
      <c r="U167">
        <v>0.98666666666666669</v>
      </c>
      <c r="V167">
        <v>1</v>
      </c>
      <c r="W167">
        <v>0.92264150943396228</v>
      </c>
      <c r="X167">
        <v>752.6</v>
      </c>
      <c r="Y167">
        <v>30524404.399999999</v>
      </c>
      <c r="Z167">
        <v>14664</v>
      </c>
      <c r="AA167">
        <v>2</v>
      </c>
      <c r="AB167">
        <v>81</v>
      </c>
      <c r="AD167">
        <f>Tabela5[[#This Row],[kan_params]]</f>
        <v>14352</v>
      </c>
      <c r="AE167">
        <f>Tabela5[[#This Row],[kan_train_acc]]</f>
        <v>0.9471698045730591</v>
      </c>
      <c r="AF167">
        <f>Tabela5[[#This Row],[kan_val_acc]]</f>
        <v>0.99259259700775149</v>
      </c>
      <c r="AG167">
        <f>Tabela5[[#This Row],[kan_test_acc]]</f>
        <v>0.84000000953674314</v>
      </c>
      <c r="AH167">
        <f>Tabela5[[#This Row],[mlp_test_acc]]</f>
        <v>0.97333333333333327</v>
      </c>
      <c r="AI167">
        <f>Tabela5[[#This Row],[mlp_val_acc]]</f>
        <v>1</v>
      </c>
      <c r="AJ167">
        <f>Tabela5[[#This Row],[mlp_train_acc]]</f>
        <v>0.91132075471698115</v>
      </c>
    </row>
    <row r="168" spans="1:36" hidden="1" x14ac:dyDescent="0.25">
      <c r="A168" t="s">
        <v>209</v>
      </c>
      <c r="B168">
        <v>18</v>
      </c>
      <c r="C168">
        <v>9</v>
      </c>
      <c r="D168">
        <v>4</v>
      </c>
      <c r="E168">
        <v>0</v>
      </c>
      <c r="F168" t="s">
        <v>218</v>
      </c>
      <c r="G168">
        <v>14563</v>
      </c>
      <c r="H168">
        <v>256410588.19999999</v>
      </c>
      <c r="I168">
        <v>1230.3</v>
      </c>
      <c r="J168">
        <v>0.40094339847564697</v>
      </c>
      <c r="K168">
        <v>0.7</v>
      </c>
      <c r="L168">
        <v>0.36222223490476607</v>
      </c>
      <c r="M168">
        <v>0.92888888888888888</v>
      </c>
      <c r="N168">
        <v>0.9814814814814814</v>
      </c>
      <c r="O168">
        <v>0.98773584905660372</v>
      </c>
      <c r="P168">
        <v>2377.5</v>
      </c>
      <c r="Q168">
        <v>113580300.7</v>
      </c>
      <c r="R168">
        <v>14323</v>
      </c>
      <c r="S168">
        <v>2</v>
      </c>
      <c r="T168">
        <v>80</v>
      </c>
      <c r="U168">
        <v>0.92888888888888888</v>
      </c>
      <c r="V168">
        <v>0.9814814814814814</v>
      </c>
      <c r="W168">
        <v>0.98018867924528297</v>
      </c>
      <c r="X168">
        <v>2253.8000000000002</v>
      </c>
      <c r="Y168">
        <v>111549594.59999999</v>
      </c>
      <c r="Z168">
        <v>14664</v>
      </c>
      <c r="AA168">
        <v>2</v>
      </c>
      <c r="AB168">
        <v>81</v>
      </c>
      <c r="AD168">
        <f>Tabela5[[#This Row],[kan_params]]</f>
        <v>14563</v>
      </c>
      <c r="AE168">
        <f>Tabela5[[#This Row],[kan_train_acc]]</f>
        <v>0.40094339847564697</v>
      </c>
      <c r="AF168">
        <f>Tabela5[[#This Row],[kan_val_acc]]</f>
        <v>0.7</v>
      </c>
      <c r="AG168">
        <f>Tabela5[[#This Row],[kan_test_acc]]</f>
        <v>0.36222223490476607</v>
      </c>
      <c r="AH168">
        <f>Tabela5[[#This Row],[mlp_test_acc]]</f>
        <v>0.92888888888888888</v>
      </c>
      <c r="AI168">
        <f>Tabela5[[#This Row],[mlp_val_acc]]</f>
        <v>0.9814814814814814</v>
      </c>
      <c r="AJ168">
        <f>Tabela5[[#This Row],[mlp_train_acc]]</f>
        <v>0.98773584905660372</v>
      </c>
    </row>
    <row r="169" spans="1:36" hidden="1" x14ac:dyDescent="0.25">
      <c r="A169" t="s">
        <v>209</v>
      </c>
      <c r="B169">
        <v>20</v>
      </c>
      <c r="C169">
        <v>9</v>
      </c>
      <c r="D169">
        <v>5</v>
      </c>
      <c r="E169">
        <v>0</v>
      </c>
      <c r="F169" t="s">
        <v>215</v>
      </c>
      <c r="G169">
        <v>14568</v>
      </c>
      <c r="H169">
        <v>269135693.80000001</v>
      </c>
      <c r="I169">
        <v>1135.8</v>
      </c>
      <c r="J169">
        <v>0.32264151275157926</v>
      </c>
      <c r="K169">
        <v>0.63703703880310059</v>
      </c>
      <c r="L169">
        <v>0.38222223520278931</v>
      </c>
      <c r="M169">
        <v>0.97777777777777775</v>
      </c>
      <c r="N169">
        <v>1</v>
      </c>
      <c r="O169">
        <v>0.97358490566037736</v>
      </c>
      <c r="P169">
        <v>1461.2</v>
      </c>
      <c r="Q169">
        <v>68701343</v>
      </c>
      <c r="R169">
        <v>14323</v>
      </c>
      <c r="S169">
        <v>2</v>
      </c>
      <c r="T169">
        <v>80</v>
      </c>
      <c r="U169">
        <v>0.97777777777777775</v>
      </c>
      <c r="V169">
        <v>1</v>
      </c>
      <c r="W169">
        <v>0.96981132075471699</v>
      </c>
      <c r="X169">
        <v>1301.5999999999999</v>
      </c>
      <c r="Y169">
        <v>61331964.600000001</v>
      </c>
      <c r="Z169">
        <v>14664</v>
      </c>
      <c r="AA169">
        <v>2</v>
      </c>
      <c r="AB169">
        <v>81</v>
      </c>
      <c r="AD169">
        <f>Tabela5[[#This Row],[kan_params]]</f>
        <v>14568</v>
      </c>
      <c r="AE169">
        <f>Tabela5[[#This Row],[kan_train_acc]]</f>
        <v>0.32264151275157926</v>
      </c>
      <c r="AF169">
        <f>Tabela5[[#This Row],[kan_val_acc]]</f>
        <v>0.63703703880310059</v>
      </c>
      <c r="AG169">
        <f>Tabela5[[#This Row],[kan_test_acc]]</f>
        <v>0.38222223520278931</v>
      </c>
      <c r="AH169">
        <f>Tabela5[[#This Row],[mlp_test_acc]]</f>
        <v>0.97777777777777775</v>
      </c>
      <c r="AI169">
        <f>Tabela5[[#This Row],[mlp_val_acc]]</f>
        <v>1</v>
      </c>
      <c r="AJ169">
        <f>Tabela5[[#This Row],[mlp_train_acc]]</f>
        <v>0.97358490566037736</v>
      </c>
    </row>
    <row r="170" spans="1:36" hidden="1" x14ac:dyDescent="0.25">
      <c r="A170" t="s">
        <v>209</v>
      </c>
      <c r="B170">
        <v>16</v>
      </c>
      <c r="C170">
        <v>5</v>
      </c>
      <c r="D170">
        <v>5</v>
      </c>
      <c r="E170">
        <v>0</v>
      </c>
      <c r="F170" t="s">
        <v>216</v>
      </c>
      <c r="G170">
        <v>14657</v>
      </c>
      <c r="H170">
        <v>359815289.60000002</v>
      </c>
      <c r="I170">
        <v>1605.8</v>
      </c>
      <c r="J170">
        <v>0.43773585557937622</v>
      </c>
      <c r="K170">
        <v>0.7481481552124023</v>
      </c>
      <c r="L170">
        <v>0.44888889789581299</v>
      </c>
      <c r="M170">
        <v>0.98222222222222222</v>
      </c>
      <c r="N170">
        <v>1</v>
      </c>
      <c r="O170">
        <v>0.90943396226415096</v>
      </c>
      <c r="P170">
        <v>693.4</v>
      </c>
      <c r="Q170">
        <v>30198248.199999999</v>
      </c>
      <c r="R170">
        <v>14323</v>
      </c>
      <c r="S170">
        <v>2</v>
      </c>
      <c r="T170">
        <v>80</v>
      </c>
      <c r="U170">
        <v>0.99555555555555553</v>
      </c>
      <c r="V170">
        <v>1</v>
      </c>
      <c r="W170">
        <v>0.92452830188679247</v>
      </c>
      <c r="X170">
        <v>803.4</v>
      </c>
      <c r="Y170">
        <v>34608667.200000003</v>
      </c>
      <c r="Z170">
        <v>14664</v>
      </c>
      <c r="AA170">
        <v>2</v>
      </c>
      <c r="AB170">
        <v>81</v>
      </c>
      <c r="AD170">
        <f>Tabela5[[#This Row],[kan_params]]</f>
        <v>14657</v>
      </c>
      <c r="AE170">
        <f>Tabela5[[#This Row],[kan_train_acc]]</f>
        <v>0.43773585557937622</v>
      </c>
      <c r="AF170">
        <f>Tabela5[[#This Row],[kan_val_acc]]</f>
        <v>0.7481481552124023</v>
      </c>
      <c r="AG170">
        <f>Tabela5[[#This Row],[kan_test_acc]]</f>
        <v>0.44888889789581299</v>
      </c>
      <c r="AH170">
        <f>Tabela5[[#This Row],[mlp_test_acc]]</f>
        <v>0.98222222222222222</v>
      </c>
      <c r="AI170">
        <f>Tabela5[[#This Row],[mlp_val_acc]]</f>
        <v>1</v>
      </c>
      <c r="AJ170">
        <f>Tabela5[[#This Row],[mlp_train_acc]]</f>
        <v>0.90943396226415096</v>
      </c>
    </row>
    <row r="171" spans="1:36" hidden="1" x14ac:dyDescent="0.25">
      <c r="A171" t="s">
        <v>209</v>
      </c>
      <c r="B171">
        <v>18</v>
      </c>
      <c r="C171">
        <v>9</v>
      </c>
      <c r="D171">
        <v>4</v>
      </c>
      <c r="E171">
        <v>0</v>
      </c>
      <c r="F171" t="s">
        <v>224</v>
      </c>
      <c r="G171">
        <v>14662</v>
      </c>
      <c r="H171">
        <v>229615406.30000001</v>
      </c>
      <c r="I171">
        <v>1086.2</v>
      </c>
      <c r="J171">
        <v>0.34339623153209686</v>
      </c>
      <c r="K171">
        <v>0.64444444775581355</v>
      </c>
      <c r="L171">
        <v>0.34000000953674314</v>
      </c>
      <c r="M171">
        <v>0.9244444444444444</v>
      </c>
      <c r="N171">
        <v>0.98888888888888893</v>
      </c>
      <c r="O171">
        <v>0.95943396226415101</v>
      </c>
      <c r="P171">
        <v>1647.6</v>
      </c>
      <c r="Q171">
        <v>79740813</v>
      </c>
      <c r="R171">
        <v>14323</v>
      </c>
      <c r="S171">
        <v>2</v>
      </c>
      <c r="T171">
        <v>80</v>
      </c>
      <c r="U171">
        <v>0.9244444444444444</v>
      </c>
      <c r="V171">
        <v>0.98888888888888893</v>
      </c>
      <c r="W171">
        <v>0.9679245283018868</v>
      </c>
      <c r="X171">
        <v>1837</v>
      </c>
      <c r="Y171">
        <v>85847825.599999994</v>
      </c>
      <c r="Z171">
        <v>14664</v>
      </c>
      <c r="AA171">
        <v>2</v>
      </c>
      <c r="AB171">
        <v>81</v>
      </c>
      <c r="AD171">
        <f>Tabela5[[#This Row],[kan_params]]</f>
        <v>14662</v>
      </c>
      <c r="AE171">
        <f>Tabela5[[#This Row],[kan_train_acc]]</f>
        <v>0.34339623153209686</v>
      </c>
      <c r="AF171">
        <f>Tabela5[[#This Row],[kan_val_acc]]</f>
        <v>0.64444444775581355</v>
      </c>
      <c r="AG171">
        <f>Tabela5[[#This Row],[kan_test_acc]]</f>
        <v>0.34000000953674314</v>
      </c>
      <c r="AH171">
        <f>Tabela5[[#This Row],[mlp_test_acc]]</f>
        <v>0.9244444444444444</v>
      </c>
      <c r="AI171">
        <f>Tabela5[[#This Row],[mlp_val_acc]]</f>
        <v>0.98888888888888893</v>
      </c>
      <c r="AJ171">
        <f>Tabela5[[#This Row],[mlp_train_acc]]</f>
        <v>0.95943396226415101</v>
      </c>
    </row>
    <row r="172" spans="1:36" hidden="1" x14ac:dyDescent="0.25">
      <c r="A172" t="s">
        <v>209</v>
      </c>
      <c r="B172">
        <v>14</v>
      </c>
      <c r="C172">
        <v>5</v>
      </c>
      <c r="D172">
        <v>4</v>
      </c>
      <c r="E172">
        <v>0</v>
      </c>
      <c r="F172" t="s">
        <v>225</v>
      </c>
      <c r="G172">
        <v>14847</v>
      </c>
      <c r="H172">
        <v>254927777</v>
      </c>
      <c r="I172">
        <v>1409</v>
      </c>
      <c r="J172">
        <v>0.51320755481719971</v>
      </c>
      <c r="K172">
        <v>0.59259259700775146</v>
      </c>
      <c r="L172">
        <v>0.45333334803581238</v>
      </c>
      <c r="M172">
        <v>0.92888888888888888</v>
      </c>
      <c r="N172">
        <v>0.96296296296296291</v>
      </c>
      <c r="O172">
        <v>0.98679245283018868</v>
      </c>
      <c r="P172">
        <v>3349.8</v>
      </c>
      <c r="Q172">
        <v>133340688.59999999</v>
      </c>
      <c r="R172">
        <v>14664</v>
      </c>
      <c r="S172">
        <v>2</v>
      </c>
      <c r="T172">
        <v>81</v>
      </c>
      <c r="U172">
        <v>0.93333333333333335</v>
      </c>
      <c r="V172">
        <v>0.96296296296296291</v>
      </c>
      <c r="W172">
        <v>0.98113207547169812</v>
      </c>
      <c r="X172">
        <v>1748</v>
      </c>
      <c r="Y172">
        <v>71408892.599999994</v>
      </c>
      <c r="Z172">
        <v>15009</v>
      </c>
      <c r="AA172">
        <v>2</v>
      </c>
      <c r="AB172">
        <v>82</v>
      </c>
      <c r="AD172">
        <f>Tabela5[[#This Row],[kan_params]]</f>
        <v>14847</v>
      </c>
      <c r="AE172">
        <f>Tabela5[[#This Row],[kan_train_acc]]</f>
        <v>0.51320755481719971</v>
      </c>
      <c r="AF172">
        <f>Tabela5[[#This Row],[kan_val_acc]]</f>
        <v>0.59259259700775146</v>
      </c>
      <c r="AG172">
        <f>Tabela5[[#This Row],[kan_test_acc]]</f>
        <v>0.45333334803581238</v>
      </c>
      <c r="AH172">
        <f>Tabela5[[#This Row],[mlp_test_acc]]</f>
        <v>0.92888888888888888</v>
      </c>
      <c r="AI172">
        <f>Tabela5[[#This Row],[mlp_val_acc]]</f>
        <v>0.96296296296296291</v>
      </c>
      <c r="AJ172">
        <f>Tabela5[[#This Row],[mlp_train_acc]]</f>
        <v>0.98679245283018868</v>
      </c>
    </row>
    <row r="173" spans="1:36" hidden="1" x14ac:dyDescent="0.25">
      <c r="A173" t="s">
        <v>209</v>
      </c>
      <c r="B173">
        <v>20</v>
      </c>
      <c r="C173">
        <v>9</v>
      </c>
      <c r="D173">
        <v>5</v>
      </c>
      <c r="E173">
        <v>0</v>
      </c>
      <c r="F173" t="s">
        <v>220</v>
      </c>
      <c r="G173">
        <v>14959</v>
      </c>
      <c r="H173">
        <v>137801993.40000001</v>
      </c>
      <c r="I173">
        <v>1010.2</v>
      </c>
      <c r="J173">
        <v>0.3000000059604645</v>
      </c>
      <c r="K173">
        <v>0.68148148059844971</v>
      </c>
      <c r="L173">
        <v>0.35555556416511536</v>
      </c>
      <c r="M173">
        <v>0.88444444444444437</v>
      </c>
      <c r="N173">
        <v>1</v>
      </c>
      <c r="O173">
        <v>0.95849056603773586</v>
      </c>
      <c r="P173">
        <v>834.6</v>
      </c>
      <c r="Q173">
        <v>32134749.399999999</v>
      </c>
      <c r="R173">
        <v>14664</v>
      </c>
      <c r="S173">
        <v>2</v>
      </c>
      <c r="T173">
        <v>81</v>
      </c>
      <c r="U173">
        <v>0.88444444444444437</v>
      </c>
      <c r="V173">
        <v>1</v>
      </c>
      <c r="W173">
        <v>0.96603773584905661</v>
      </c>
      <c r="X173">
        <v>771</v>
      </c>
      <c r="Y173">
        <v>33853852.399999999</v>
      </c>
      <c r="Z173">
        <v>15009</v>
      </c>
      <c r="AA173">
        <v>2</v>
      </c>
      <c r="AB173">
        <v>82</v>
      </c>
      <c r="AD173">
        <f>Tabela5[[#This Row],[kan_params]]</f>
        <v>14959</v>
      </c>
      <c r="AE173">
        <f>Tabela5[[#This Row],[kan_train_acc]]</f>
        <v>0.3000000059604645</v>
      </c>
      <c r="AF173">
        <f>Tabela5[[#This Row],[kan_val_acc]]</f>
        <v>0.68148148059844971</v>
      </c>
      <c r="AG173">
        <f>Tabela5[[#This Row],[kan_test_acc]]</f>
        <v>0.35555556416511536</v>
      </c>
      <c r="AH173">
        <f>Tabela5[[#This Row],[mlp_test_acc]]</f>
        <v>0.88444444444444437</v>
      </c>
      <c r="AI173">
        <f>Tabela5[[#This Row],[mlp_val_acc]]</f>
        <v>1</v>
      </c>
      <c r="AJ173">
        <f>Tabela5[[#This Row],[mlp_train_acc]]</f>
        <v>0.95849056603773586</v>
      </c>
    </row>
    <row r="174" spans="1:36" x14ac:dyDescent="0.25">
      <c r="A174" t="s">
        <v>209</v>
      </c>
      <c r="B174">
        <v>14</v>
      </c>
      <c r="C174">
        <v>3</v>
      </c>
      <c r="D174">
        <v>5</v>
      </c>
      <c r="E174">
        <v>0</v>
      </c>
      <c r="F174" t="s">
        <v>219</v>
      </c>
      <c r="G174">
        <v>15025</v>
      </c>
      <c r="H174">
        <v>272639923.80000001</v>
      </c>
      <c r="I174">
        <v>1167.4000000000001</v>
      </c>
      <c r="J174">
        <v>0.48490566313266753</v>
      </c>
      <c r="K174">
        <v>0.76296297311782835</v>
      </c>
      <c r="L174">
        <v>0.47555556595325471</v>
      </c>
      <c r="M174">
        <v>0.95111111111111113</v>
      </c>
      <c r="N174">
        <v>0.94074074074074077</v>
      </c>
      <c r="O174">
        <v>1</v>
      </c>
      <c r="P174">
        <v>3700</v>
      </c>
      <c r="Q174">
        <v>169578296.80000001</v>
      </c>
      <c r="R174">
        <v>15009</v>
      </c>
      <c r="S174">
        <v>2</v>
      </c>
      <c r="T174">
        <v>82</v>
      </c>
      <c r="U174">
        <v>0.95111111111111113</v>
      </c>
      <c r="V174">
        <v>0.94814814814814807</v>
      </c>
      <c r="W174">
        <v>1</v>
      </c>
      <c r="X174">
        <v>3027.6</v>
      </c>
      <c r="Y174">
        <v>150129598.40000001</v>
      </c>
      <c r="Z174">
        <v>15358</v>
      </c>
      <c r="AA174">
        <v>2</v>
      </c>
      <c r="AB174">
        <v>83</v>
      </c>
      <c r="AD174">
        <f>Tabela5[[#This Row],[kan_params]]</f>
        <v>15025</v>
      </c>
      <c r="AE174">
        <f>Tabela5[[#This Row],[kan_train_acc]]</f>
        <v>0.48490566313266753</v>
      </c>
      <c r="AF174">
        <f>Tabela5[[#This Row],[kan_val_acc]]</f>
        <v>0.76296297311782835</v>
      </c>
      <c r="AG174">
        <f>Tabela5[[#This Row],[kan_test_acc]]</f>
        <v>0.47555556595325471</v>
      </c>
      <c r="AH174">
        <f>Tabela5[[#This Row],[mlp_test_acc]]</f>
        <v>0.95111111111111113</v>
      </c>
      <c r="AI174">
        <f>Tabela5[[#This Row],[mlp_val_acc]]</f>
        <v>0.94074074074074077</v>
      </c>
      <c r="AJ174">
        <f>Tabela5[[#This Row],[mlp_train_acc]]</f>
        <v>1</v>
      </c>
    </row>
    <row r="175" spans="1:36" hidden="1" x14ac:dyDescent="0.25">
      <c r="A175" t="s">
        <v>209</v>
      </c>
      <c r="B175">
        <v>16</v>
      </c>
      <c r="C175">
        <v>9</v>
      </c>
      <c r="D175">
        <v>3</v>
      </c>
      <c r="E175">
        <v>0</v>
      </c>
      <c r="F175" t="s">
        <v>219</v>
      </c>
      <c r="G175">
        <v>15025</v>
      </c>
      <c r="H175">
        <v>18484345.199999999</v>
      </c>
      <c r="I175">
        <v>10000</v>
      </c>
      <c r="J175">
        <v>0.9283018827438354</v>
      </c>
      <c r="K175">
        <v>1</v>
      </c>
      <c r="L175">
        <v>0.87111111879348757</v>
      </c>
      <c r="M175">
        <v>0.97333333333333338</v>
      </c>
      <c r="N175">
        <v>1</v>
      </c>
      <c r="O175">
        <v>0.92075471698113209</v>
      </c>
      <c r="P175">
        <v>750.6</v>
      </c>
      <c r="Q175">
        <v>32524966</v>
      </c>
      <c r="R175">
        <v>15009</v>
      </c>
      <c r="S175">
        <v>2</v>
      </c>
      <c r="T175">
        <v>82</v>
      </c>
      <c r="U175">
        <v>0.97777777777777775</v>
      </c>
      <c r="V175">
        <v>1</v>
      </c>
      <c r="W175">
        <v>0.91698113207547172</v>
      </c>
      <c r="X175">
        <v>728.6</v>
      </c>
      <c r="Y175">
        <v>30779868.800000001</v>
      </c>
      <c r="Z175">
        <v>15358</v>
      </c>
      <c r="AA175">
        <v>2</v>
      </c>
      <c r="AB175">
        <v>83</v>
      </c>
      <c r="AD175">
        <f>Tabela5[[#This Row],[kan_params]]</f>
        <v>15025</v>
      </c>
      <c r="AE175">
        <f>Tabela5[[#This Row],[kan_train_acc]]</f>
        <v>0.9283018827438354</v>
      </c>
      <c r="AF175">
        <f>Tabela5[[#This Row],[kan_val_acc]]</f>
        <v>1</v>
      </c>
      <c r="AG175">
        <f>Tabela5[[#This Row],[kan_test_acc]]</f>
        <v>0.87111111879348757</v>
      </c>
      <c r="AH175">
        <f>Tabela5[[#This Row],[mlp_test_acc]]</f>
        <v>0.97333333333333338</v>
      </c>
      <c r="AI175">
        <f>Tabela5[[#This Row],[mlp_val_acc]]</f>
        <v>1</v>
      </c>
      <c r="AJ175">
        <f>Tabela5[[#This Row],[mlp_train_acc]]</f>
        <v>0.92075471698113209</v>
      </c>
    </row>
    <row r="176" spans="1:36" hidden="1" x14ac:dyDescent="0.25">
      <c r="A176" t="s">
        <v>209</v>
      </c>
      <c r="B176">
        <v>20</v>
      </c>
      <c r="C176">
        <v>9</v>
      </c>
      <c r="D176">
        <v>5</v>
      </c>
      <c r="E176">
        <v>0</v>
      </c>
      <c r="F176" t="s">
        <v>212</v>
      </c>
      <c r="G176">
        <v>15075</v>
      </c>
      <c r="H176">
        <v>271343820.14285713</v>
      </c>
      <c r="I176">
        <v>1225.5714285714287</v>
      </c>
      <c r="J176">
        <v>0.32075471963201252</v>
      </c>
      <c r="K176">
        <v>0.67724866526467464</v>
      </c>
      <c r="L176">
        <v>0.37142857909202576</v>
      </c>
      <c r="M176">
        <v>0.946031746031746</v>
      </c>
      <c r="N176">
        <v>0.98941798941798942</v>
      </c>
      <c r="O176">
        <v>0.98113207547169812</v>
      </c>
      <c r="P176">
        <v>1956.1428571428571</v>
      </c>
      <c r="Q176">
        <v>91337404.714285716</v>
      </c>
      <c r="R176">
        <v>15009</v>
      </c>
      <c r="S176">
        <v>2</v>
      </c>
      <c r="T176">
        <v>82</v>
      </c>
      <c r="U176">
        <v>0.946031746031746</v>
      </c>
      <c r="V176">
        <v>0.98941798941798942</v>
      </c>
      <c r="W176">
        <v>0.97978436657681944</v>
      </c>
      <c r="X176">
        <v>1893.8571428571429</v>
      </c>
      <c r="Y176">
        <v>87169794.571428567</v>
      </c>
      <c r="Z176">
        <v>15358</v>
      </c>
      <c r="AA176">
        <v>2</v>
      </c>
      <c r="AB176">
        <v>83</v>
      </c>
      <c r="AD176">
        <f>Tabela5[[#This Row],[kan_params]]</f>
        <v>15075</v>
      </c>
      <c r="AE176">
        <f>Tabela5[[#This Row],[kan_train_acc]]</f>
        <v>0.32075471963201252</v>
      </c>
      <c r="AF176">
        <f>Tabela5[[#This Row],[kan_val_acc]]</f>
        <v>0.67724866526467464</v>
      </c>
      <c r="AG176">
        <f>Tabela5[[#This Row],[kan_test_acc]]</f>
        <v>0.37142857909202576</v>
      </c>
      <c r="AH176">
        <f>Tabela5[[#This Row],[mlp_test_acc]]</f>
        <v>0.946031746031746</v>
      </c>
      <c r="AI176">
        <f>Tabela5[[#This Row],[mlp_val_acc]]</f>
        <v>0.98941798941798942</v>
      </c>
      <c r="AJ176">
        <f>Tabela5[[#This Row],[mlp_train_acc]]</f>
        <v>0.98113207547169812</v>
      </c>
    </row>
    <row r="177" spans="1:36" hidden="1" x14ac:dyDescent="0.25">
      <c r="A177" t="s">
        <v>209</v>
      </c>
      <c r="B177">
        <v>18</v>
      </c>
      <c r="C177">
        <v>9</v>
      </c>
      <c r="D177">
        <v>4</v>
      </c>
      <c r="E177">
        <v>0</v>
      </c>
      <c r="F177" t="s">
        <v>216</v>
      </c>
      <c r="G177">
        <v>15266</v>
      </c>
      <c r="H177">
        <v>247316719.40000001</v>
      </c>
      <c r="I177">
        <v>1137.5999999999999</v>
      </c>
      <c r="J177">
        <v>0.43962265253067018</v>
      </c>
      <c r="K177">
        <v>0.73333333730697636</v>
      </c>
      <c r="L177">
        <v>0.43111111521720885</v>
      </c>
      <c r="M177">
        <v>0.88</v>
      </c>
      <c r="N177">
        <v>0.97037037037037033</v>
      </c>
      <c r="O177">
        <v>0.97924528301886793</v>
      </c>
      <c r="P177">
        <v>2613.1999999999998</v>
      </c>
      <c r="Q177">
        <v>123205174.2</v>
      </c>
      <c r="R177">
        <v>15009</v>
      </c>
      <c r="S177">
        <v>2</v>
      </c>
      <c r="T177">
        <v>82</v>
      </c>
      <c r="U177">
        <v>0.8666666666666667</v>
      </c>
      <c r="V177">
        <v>0.97777777777777775</v>
      </c>
      <c r="W177">
        <v>0.96226415094339623</v>
      </c>
      <c r="X177">
        <v>1980.2</v>
      </c>
      <c r="Y177">
        <v>93625577.400000006</v>
      </c>
      <c r="Z177">
        <v>15358</v>
      </c>
      <c r="AA177">
        <v>2</v>
      </c>
      <c r="AB177">
        <v>83</v>
      </c>
      <c r="AD177">
        <f>Tabela5[[#This Row],[kan_params]]</f>
        <v>15266</v>
      </c>
      <c r="AE177">
        <f>Tabela5[[#This Row],[kan_train_acc]]</f>
        <v>0.43962265253067018</v>
      </c>
      <c r="AF177">
        <f>Tabela5[[#This Row],[kan_val_acc]]</f>
        <v>0.73333333730697636</v>
      </c>
      <c r="AG177">
        <f>Tabela5[[#This Row],[kan_test_acc]]</f>
        <v>0.43111111521720885</v>
      </c>
      <c r="AH177">
        <f>Tabela5[[#This Row],[mlp_test_acc]]</f>
        <v>0.88</v>
      </c>
      <c r="AI177">
        <f>Tabela5[[#This Row],[mlp_val_acc]]</f>
        <v>0.97037037037037033</v>
      </c>
      <c r="AJ177">
        <f>Tabela5[[#This Row],[mlp_train_acc]]</f>
        <v>0.97924528301886793</v>
      </c>
    </row>
    <row r="178" spans="1:36" hidden="1" x14ac:dyDescent="0.25">
      <c r="A178" t="s">
        <v>209</v>
      </c>
      <c r="B178">
        <v>16</v>
      </c>
      <c r="C178">
        <v>5</v>
      </c>
      <c r="D178">
        <v>5</v>
      </c>
      <c r="E178">
        <v>0</v>
      </c>
      <c r="F178" t="s">
        <v>221</v>
      </c>
      <c r="G178">
        <v>15472</v>
      </c>
      <c r="H178">
        <v>284166978</v>
      </c>
      <c r="I178">
        <v>1246.2</v>
      </c>
      <c r="J178">
        <v>0.40754716992378237</v>
      </c>
      <c r="K178">
        <v>0.71851851940155032</v>
      </c>
      <c r="L178">
        <v>0.38666667938232424</v>
      </c>
      <c r="M178">
        <v>0.96888888888888891</v>
      </c>
      <c r="N178">
        <v>1</v>
      </c>
      <c r="O178">
        <v>0.91509433962264153</v>
      </c>
      <c r="P178">
        <v>692.6</v>
      </c>
      <c r="Q178">
        <v>30905754.800000001</v>
      </c>
      <c r="R178">
        <v>15358</v>
      </c>
      <c r="S178">
        <v>2</v>
      </c>
      <c r="T178">
        <v>83</v>
      </c>
      <c r="U178">
        <v>0.97777777777777775</v>
      </c>
      <c r="V178">
        <v>1</v>
      </c>
      <c r="W178">
        <v>0.91320754716981134</v>
      </c>
      <c r="X178">
        <v>691.4</v>
      </c>
      <c r="Y178">
        <v>32933895.399999999</v>
      </c>
      <c r="Z178">
        <v>15711</v>
      </c>
      <c r="AA178">
        <v>2</v>
      </c>
      <c r="AB178">
        <v>84</v>
      </c>
      <c r="AD178">
        <f>Tabela5[[#This Row],[kan_params]]</f>
        <v>15472</v>
      </c>
      <c r="AE178">
        <f>Tabela5[[#This Row],[kan_train_acc]]</f>
        <v>0.40754716992378237</v>
      </c>
      <c r="AF178">
        <f>Tabela5[[#This Row],[kan_val_acc]]</f>
        <v>0.71851851940155032</v>
      </c>
      <c r="AG178">
        <f>Tabela5[[#This Row],[kan_test_acc]]</f>
        <v>0.38666667938232424</v>
      </c>
      <c r="AH178">
        <f>Tabela5[[#This Row],[mlp_test_acc]]</f>
        <v>0.96888888888888891</v>
      </c>
      <c r="AI178">
        <f>Tabela5[[#This Row],[mlp_val_acc]]</f>
        <v>1</v>
      </c>
      <c r="AJ178">
        <f>Tabela5[[#This Row],[mlp_train_acc]]</f>
        <v>0.91509433962264153</v>
      </c>
    </row>
    <row r="179" spans="1:36" x14ac:dyDescent="0.25">
      <c r="A179" t="s">
        <v>209</v>
      </c>
      <c r="B179">
        <v>14</v>
      </c>
      <c r="C179">
        <v>3</v>
      </c>
      <c r="D179">
        <v>5</v>
      </c>
      <c r="E179">
        <v>0</v>
      </c>
      <c r="F179" t="s">
        <v>225</v>
      </c>
      <c r="G179">
        <v>15552</v>
      </c>
      <c r="H179">
        <v>249259976.80000001</v>
      </c>
      <c r="I179">
        <v>1153.2</v>
      </c>
      <c r="J179">
        <v>0.34528301358222963</v>
      </c>
      <c r="K179">
        <v>0.60740740299224849</v>
      </c>
      <c r="L179">
        <v>0.34222222864627838</v>
      </c>
      <c r="M179">
        <v>0.96888888888888891</v>
      </c>
      <c r="N179">
        <v>0.94814814814814807</v>
      </c>
      <c r="O179">
        <v>0.99433962264150944</v>
      </c>
      <c r="P179">
        <v>2759.4</v>
      </c>
      <c r="Q179">
        <v>95858406.400000006</v>
      </c>
      <c r="R179">
        <v>15358</v>
      </c>
      <c r="S179">
        <v>2</v>
      </c>
      <c r="T179">
        <v>83</v>
      </c>
      <c r="U179">
        <v>0.97333333333333327</v>
      </c>
      <c r="V179">
        <v>0.96296296296296291</v>
      </c>
      <c r="W179">
        <v>0.98301886792452831</v>
      </c>
      <c r="X179">
        <v>2212</v>
      </c>
      <c r="Y179">
        <v>66638990.200000003</v>
      </c>
      <c r="Z179">
        <v>15711</v>
      </c>
      <c r="AA179">
        <v>2</v>
      </c>
      <c r="AB179">
        <v>84</v>
      </c>
      <c r="AD179">
        <f>Tabela5[[#This Row],[kan_params]]</f>
        <v>15552</v>
      </c>
      <c r="AE179">
        <f>Tabela5[[#This Row],[kan_train_acc]]</f>
        <v>0.34528301358222963</v>
      </c>
      <c r="AF179">
        <f>Tabela5[[#This Row],[kan_val_acc]]</f>
        <v>0.60740740299224849</v>
      </c>
      <c r="AG179">
        <f>Tabela5[[#This Row],[kan_test_acc]]</f>
        <v>0.34222222864627838</v>
      </c>
      <c r="AH179">
        <f>Tabela5[[#This Row],[mlp_test_acc]]</f>
        <v>0.96888888888888891</v>
      </c>
      <c r="AI179">
        <f>Tabela5[[#This Row],[mlp_val_acc]]</f>
        <v>0.94814814814814807</v>
      </c>
      <c r="AJ179">
        <f>Tabela5[[#This Row],[mlp_train_acc]]</f>
        <v>0.99433962264150944</v>
      </c>
    </row>
    <row r="180" spans="1:36" hidden="1" x14ac:dyDescent="0.25">
      <c r="A180" t="s">
        <v>209</v>
      </c>
      <c r="B180">
        <v>16</v>
      </c>
      <c r="C180">
        <v>9</v>
      </c>
      <c r="D180">
        <v>3</v>
      </c>
      <c r="E180">
        <v>0</v>
      </c>
      <c r="F180" t="s">
        <v>225</v>
      </c>
      <c r="G180">
        <v>15552</v>
      </c>
      <c r="H180">
        <v>21013370</v>
      </c>
      <c r="I180">
        <v>10000</v>
      </c>
      <c r="J180">
        <v>0.9283018827438354</v>
      </c>
      <c r="K180">
        <v>1</v>
      </c>
      <c r="L180">
        <v>0.87111111879348757</v>
      </c>
      <c r="M180">
        <v>0.97333333333333338</v>
      </c>
      <c r="N180">
        <v>1</v>
      </c>
      <c r="O180">
        <v>0.9188679245283019</v>
      </c>
      <c r="P180">
        <v>706.2</v>
      </c>
      <c r="Q180">
        <v>34419887</v>
      </c>
      <c r="R180">
        <v>15358</v>
      </c>
      <c r="S180">
        <v>2</v>
      </c>
      <c r="T180">
        <v>83</v>
      </c>
      <c r="U180">
        <v>0.98666666666666669</v>
      </c>
      <c r="V180">
        <v>1</v>
      </c>
      <c r="W180">
        <v>0.91698113207547172</v>
      </c>
      <c r="X180">
        <v>740.2</v>
      </c>
      <c r="Y180">
        <v>32630565.800000001</v>
      </c>
      <c r="Z180">
        <v>15711</v>
      </c>
      <c r="AA180">
        <v>2</v>
      </c>
      <c r="AB180">
        <v>84</v>
      </c>
      <c r="AD180">
        <f>Tabela5[[#This Row],[kan_params]]</f>
        <v>15552</v>
      </c>
      <c r="AE180">
        <f>Tabela5[[#This Row],[kan_train_acc]]</f>
        <v>0.9283018827438354</v>
      </c>
      <c r="AF180">
        <f>Tabela5[[#This Row],[kan_val_acc]]</f>
        <v>1</v>
      </c>
      <c r="AG180">
        <f>Tabela5[[#This Row],[kan_test_acc]]</f>
        <v>0.87111111879348757</v>
      </c>
      <c r="AH180">
        <f>Tabela5[[#This Row],[mlp_test_acc]]</f>
        <v>0.97333333333333338</v>
      </c>
      <c r="AI180">
        <f>Tabela5[[#This Row],[mlp_val_acc]]</f>
        <v>1</v>
      </c>
      <c r="AJ180">
        <f>Tabela5[[#This Row],[mlp_train_acc]]</f>
        <v>0.9188679245283019</v>
      </c>
    </row>
    <row r="181" spans="1:36" x14ac:dyDescent="0.25">
      <c r="A181" t="s">
        <v>209</v>
      </c>
      <c r="B181">
        <v>12</v>
      </c>
      <c r="C181">
        <v>3</v>
      </c>
      <c r="D181">
        <v>4</v>
      </c>
      <c r="E181">
        <v>0</v>
      </c>
      <c r="F181" t="s">
        <v>226</v>
      </c>
      <c r="G181">
        <v>15722</v>
      </c>
      <c r="H181">
        <v>311044910.39999998</v>
      </c>
      <c r="I181">
        <v>1388.6</v>
      </c>
      <c r="J181">
        <v>0.50377358794212346</v>
      </c>
      <c r="K181">
        <v>0.74074075222015379</v>
      </c>
      <c r="L181">
        <v>0.4977777898311615</v>
      </c>
      <c r="M181">
        <v>0.9555555555555556</v>
      </c>
      <c r="N181">
        <v>0.96296296296296291</v>
      </c>
      <c r="O181">
        <v>1</v>
      </c>
      <c r="P181">
        <v>2638</v>
      </c>
      <c r="Q181">
        <v>122608674.40000001</v>
      </c>
      <c r="R181">
        <v>15711</v>
      </c>
      <c r="S181">
        <v>2</v>
      </c>
      <c r="T181">
        <v>84</v>
      </c>
      <c r="U181">
        <v>0.94666666666666666</v>
      </c>
      <c r="V181">
        <v>0.94074074074074077</v>
      </c>
      <c r="W181">
        <v>1</v>
      </c>
      <c r="X181">
        <v>3512.6</v>
      </c>
      <c r="Y181">
        <v>157273283.80000001</v>
      </c>
      <c r="Z181">
        <v>16068</v>
      </c>
      <c r="AA181">
        <v>2</v>
      </c>
      <c r="AB181">
        <v>85</v>
      </c>
      <c r="AD181">
        <f>Tabela5[[#This Row],[kan_params]]</f>
        <v>15722</v>
      </c>
      <c r="AE181">
        <f>Tabela5[[#This Row],[kan_train_acc]]</f>
        <v>0.50377358794212346</v>
      </c>
      <c r="AF181">
        <f>Tabela5[[#This Row],[kan_val_acc]]</f>
        <v>0.74074075222015379</v>
      </c>
      <c r="AG181">
        <f>Tabela5[[#This Row],[kan_test_acc]]</f>
        <v>0.4977777898311615</v>
      </c>
      <c r="AH181">
        <f>Tabela5[[#This Row],[mlp_test_acc]]</f>
        <v>0.9555555555555556</v>
      </c>
      <c r="AI181">
        <f>Tabela5[[#This Row],[mlp_val_acc]]</f>
        <v>0.96296296296296291</v>
      </c>
      <c r="AJ181">
        <f>Tabela5[[#This Row],[mlp_train_acc]]</f>
        <v>1</v>
      </c>
    </row>
    <row r="182" spans="1:36" hidden="1" x14ac:dyDescent="0.25">
      <c r="A182" t="s">
        <v>209</v>
      </c>
      <c r="B182">
        <v>14</v>
      </c>
      <c r="C182">
        <v>9</v>
      </c>
      <c r="D182">
        <v>2</v>
      </c>
      <c r="E182">
        <v>0</v>
      </c>
      <c r="F182" t="s">
        <v>226</v>
      </c>
      <c r="G182">
        <v>15722</v>
      </c>
      <c r="H182">
        <v>94330352.599999994</v>
      </c>
      <c r="I182">
        <v>6441</v>
      </c>
      <c r="J182">
        <v>0.9792452812194824</v>
      </c>
      <c r="K182">
        <v>0.98518519401550297</v>
      </c>
      <c r="L182">
        <v>0.8622222304344177</v>
      </c>
      <c r="M182">
        <v>0.98666666666666669</v>
      </c>
      <c r="N182">
        <v>1</v>
      </c>
      <c r="O182">
        <v>0.9188679245283019</v>
      </c>
      <c r="P182">
        <v>731</v>
      </c>
      <c r="Q182">
        <v>36851611.799999997</v>
      </c>
      <c r="R182">
        <v>15711</v>
      </c>
      <c r="S182">
        <v>2</v>
      </c>
      <c r="T182">
        <v>84</v>
      </c>
      <c r="U182">
        <v>0.98666666666666669</v>
      </c>
      <c r="V182">
        <v>1</v>
      </c>
      <c r="W182">
        <v>0.91509433962264153</v>
      </c>
      <c r="X182">
        <v>694.2</v>
      </c>
      <c r="Y182">
        <v>32541698.800000001</v>
      </c>
      <c r="Z182">
        <v>16068</v>
      </c>
      <c r="AA182">
        <v>2</v>
      </c>
      <c r="AB182">
        <v>85</v>
      </c>
      <c r="AD182">
        <f>Tabela5[[#This Row],[kan_params]]</f>
        <v>15722</v>
      </c>
      <c r="AE182">
        <f>Tabela5[[#This Row],[kan_train_acc]]</f>
        <v>0.9792452812194824</v>
      </c>
      <c r="AF182">
        <f>Tabela5[[#This Row],[kan_val_acc]]</f>
        <v>0.98518519401550297</v>
      </c>
      <c r="AG182">
        <f>Tabela5[[#This Row],[kan_test_acc]]</f>
        <v>0.8622222304344177</v>
      </c>
      <c r="AH182">
        <f>Tabela5[[#This Row],[mlp_test_acc]]</f>
        <v>0.98666666666666669</v>
      </c>
      <c r="AI182">
        <f>Tabela5[[#This Row],[mlp_val_acc]]</f>
        <v>1</v>
      </c>
      <c r="AJ182">
        <f>Tabela5[[#This Row],[mlp_train_acc]]</f>
        <v>0.9188679245283019</v>
      </c>
    </row>
    <row r="183" spans="1:36" hidden="1" x14ac:dyDescent="0.25">
      <c r="A183" t="s">
        <v>209</v>
      </c>
      <c r="B183">
        <v>14</v>
      </c>
      <c r="C183">
        <v>5</v>
      </c>
      <c r="D183">
        <v>4</v>
      </c>
      <c r="E183">
        <v>0</v>
      </c>
      <c r="F183" t="s">
        <v>222</v>
      </c>
      <c r="G183">
        <v>15858</v>
      </c>
      <c r="H183">
        <v>208482570.80000001</v>
      </c>
      <c r="I183">
        <v>1124.4000000000001</v>
      </c>
      <c r="J183">
        <v>0.50188678503036499</v>
      </c>
      <c r="K183">
        <v>0.68148148059844971</v>
      </c>
      <c r="L183">
        <v>0.4844444513320923</v>
      </c>
      <c r="M183">
        <v>0.92888888888888888</v>
      </c>
      <c r="N183">
        <v>0.96296296296296291</v>
      </c>
      <c r="O183">
        <v>0.98867924528301887</v>
      </c>
      <c r="P183">
        <v>2830.4</v>
      </c>
      <c r="Q183">
        <v>118472436.2</v>
      </c>
      <c r="R183">
        <v>15711</v>
      </c>
      <c r="S183">
        <v>2</v>
      </c>
      <c r="T183">
        <v>84</v>
      </c>
      <c r="U183">
        <v>0.93333333333333335</v>
      </c>
      <c r="V183">
        <v>0.96296296296296291</v>
      </c>
      <c r="W183">
        <v>0.98301886792452831</v>
      </c>
      <c r="X183">
        <v>1653.6</v>
      </c>
      <c r="Y183">
        <v>70351700.400000006</v>
      </c>
      <c r="Z183">
        <v>16068</v>
      </c>
      <c r="AA183">
        <v>2</v>
      </c>
      <c r="AB183">
        <v>85</v>
      </c>
      <c r="AD183">
        <f>Tabela5[[#This Row],[kan_params]]</f>
        <v>15858</v>
      </c>
      <c r="AE183">
        <f>Tabela5[[#This Row],[kan_train_acc]]</f>
        <v>0.50188678503036499</v>
      </c>
      <c r="AF183">
        <f>Tabela5[[#This Row],[kan_val_acc]]</f>
        <v>0.68148148059844971</v>
      </c>
      <c r="AG183">
        <f>Tabela5[[#This Row],[kan_test_acc]]</f>
        <v>0.4844444513320923</v>
      </c>
      <c r="AH183">
        <f>Tabela5[[#This Row],[mlp_test_acc]]</f>
        <v>0.92888888888888888</v>
      </c>
      <c r="AI183">
        <f>Tabela5[[#This Row],[mlp_val_acc]]</f>
        <v>0.96296296296296291</v>
      </c>
      <c r="AJ183">
        <f>Tabela5[[#This Row],[mlp_train_acc]]</f>
        <v>0.98867924528301887</v>
      </c>
    </row>
    <row r="184" spans="1:36" hidden="1" x14ac:dyDescent="0.25">
      <c r="A184" t="s">
        <v>209</v>
      </c>
      <c r="B184">
        <v>18</v>
      </c>
      <c r="C184">
        <v>9</v>
      </c>
      <c r="D184">
        <v>4</v>
      </c>
      <c r="E184">
        <v>0</v>
      </c>
      <c r="F184" t="s">
        <v>221</v>
      </c>
      <c r="G184">
        <v>16115</v>
      </c>
      <c r="H184">
        <v>285189016.60000002</v>
      </c>
      <c r="I184">
        <v>1296.3</v>
      </c>
      <c r="J184">
        <v>0.42452830672264097</v>
      </c>
      <c r="K184">
        <v>0.70370370745658872</v>
      </c>
      <c r="L184">
        <v>0.38888889700174334</v>
      </c>
      <c r="M184">
        <v>0.92222222222222228</v>
      </c>
      <c r="N184">
        <v>0.98888888888888893</v>
      </c>
      <c r="O184">
        <v>0.96886792452830184</v>
      </c>
      <c r="P184">
        <v>1804.8</v>
      </c>
      <c r="Q184">
        <v>85918347.299999997</v>
      </c>
      <c r="R184">
        <v>16068</v>
      </c>
      <c r="S184">
        <v>2</v>
      </c>
      <c r="T184">
        <v>85</v>
      </c>
      <c r="U184">
        <v>0.92888888888888888</v>
      </c>
      <c r="V184">
        <v>0.98518518518518516</v>
      </c>
      <c r="W184">
        <v>0.97547169811320755</v>
      </c>
      <c r="X184">
        <v>2100.3000000000002</v>
      </c>
      <c r="Y184">
        <v>107076422.2</v>
      </c>
      <c r="Z184">
        <v>16429</v>
      </c>
      <c r="AA184">
        <v>2</v>
      </c>
      <c r="AB184">
        <v>86</v>
      </c>
      <c r="AD184">
        <f>Tabela5[[#This Row],[kan_params]]</f>
        <v>16115</v>
      </c>
      <c r="AE184">
        <f>Tabela5[[#This Row],[kan_train_acc]]</f>
        <v>0.42452830672264097</v>
      </c>
      <c r="AF184">
        <f>Tabela5[[#This Row],[kan_val_acc]]</f>
        <v>0.70370370745658872</v>
      </c>
      <c r="AG184">
        <f>Tabela5[[#This Row],[kan_test_acc]]</f>
        <v>0.38888889700174334</v>
      </c>
      <c r="AH184">
        <f>Tabela5[[#This Row],[mlp_test_acc]]</f>
        <v>0.92222222222222228</v>
      </c>
      <c r="AI184">
        <f>Tabela5[[#This Row],[mlp_val_acc]]</f>
        <v>0.98888888888888893</v>
      </c>
      <c r="AJ184">
        <f>Tabela5[[#This Row],[mlp_train_acc]]</f>
        <v>0.96886792452830184</v>
      </c>
    </row>
    <row r="185" spans="1:36" hidden="1" x14ac:dyDescent="0.25">
      <c r="A185" t="s">
        <v>209</v>
      </c>
      <c r="B185">
        <v>20</v>
      </c>
      <c r="C185">
        <v>9</v>
      </c>
      <c r="D185">
        <v>5</v>
      </c>
      <c r="E185">
        <v>0</v>
      </c>
      <c r="F185" t="s">
        <v>218</v>
      </c>
      <c r="G185">
        <v>16306</v>
      </c>
      <c r="H185">
        <v>150884192.80000001</v>
      </c>
      <c r="I185">
        <v>1097.5999999999999</v>
      </c>
      <c r="J185">
        <v>0.38490566015243532</v>
      </c>
      <c r="K185">
        <v>0.75555557012557983</v>
      </c>
      <c r="L185">
        <v>0.36000000834465029</v>
      </c>
      <c r="M185">
        <v>0.88</v>
      </c>
      <c r="N185">
        <v>1</v>
      </c>
      <c r="O185">
        <v>0.95660377358490567</v>
      </c>
      <c r="P185">
        <v>798.2</v>
      </c>
      <c r="Q185">
        <v>34283221.399999999</v>
      </c>
      <c r="R185">
        <v>16068</v>
      </c>
      <c r="S185">
        <v>2</v>
      </c>
      <c r="T185">
        <v>85</v>
      </c>
      <c r="U185">
        <v>0.88</v>
      </c>
      <c r="V185">
        <v>1</v>
      </c>
      <c r="W185">
        <v>0.96037735849056605</v>
      </c>
      <c r="X185">
        <v>871.6</v>
      </c>
      <c r="Y185">
        <v>33789241.799999997</v>
      </c>
      <c r="Z185">
        <v>16429</v>
      </c>
      <c r="AA185">
        <v>2</v>
      </c>
      <c r="AB185">
        <v>86</v>
      </c>
      <c r="AD185">
        <f>Tabela5[[#This Row],[kan_params]]</f>
        <v>16306</v>
      </c>
      <c r="AE185">
        <f>Tabela5[[#This Row],[kan_train_acc]]</f>
        <v>0.38490566015243532</v>
      </c>
      <c r="AF185">
        <f>Tabela5[[#This Row],[kan_val_acc]]</f>
        <v>0.75555557012557983</v>
      </c>
      <c r="AG185">
        <f>Tabela5[[#This Row],[kan_test_acc]]</f>
        <v>0.36000000834465029</v>
      </c>
      <c r="AH185">
        <f>Tabela5[[#This Row],[mlp_test_acc]]</f>
        <v>0.88</v>
      </c>
      <c r="AI185">
        <f>Tabela5[[#This Row],[mlp_val_acc]]</f>
        <v>1</v>
      </c>
      <c r="AJ185">
        <f>Tabela5[[#This Row],[mlp_train_acc]]</f>
        <v>0.95660377358490567</v>
      </c>
    </row>
    <row r="186" spans="1:36" hidden="1" x14ac:dyDescent="0.25">
      <c r="A186" t="s">
        <v>209</v>
      </c>
      <c r="B186">
        <v>16</v>
      </c>
      <c r="C186">
        <v>5</v>
      </c>
      <c r="D186">
        <v>5</v>
      </c>
      <c r="E186">
        <v>0</v>
      </c>
      <c r="F186" t="s">
        <v>219</v>
      </c>
      <c r="G186">
        <v>16387</v>
      </c>
      <c r="H186">
        <v>245766390.40000001</v>
      </c>
      <c r="I186">
        <v>1052.5999999999999</v>
      </c>
      <c r="J186">
        <v>0.38113208413124083</v>
      </c>
      <c r="K186">
        <v>0.74814814329147339</v>
      </c>
      <c r="L186">
        <v>0.32444445192813876</v>
      </c>
      <c r="M186">
        <v>0.97333333333333338</v>
      </c>
      <c r="N186">
        <v>1</v>
      </c>
      <c r="O186">
        <v>0.91132075471698115</v>
      </c>
      <c r="P186">
        <v>650.6</v>
      </c>
      <c r="Q186">
        <v>30342298.399999999</v>
      </c>
      <c r="R186">
        <v>16068</v>
      </c>
      <c r="S186">
        <v>2</v>
      </c>
      <c r="T186">
        <v>85</v>
      </c>
      <c r="U186">
        <v>0.97777777777777775</v>
      </c>
      <c r="V186">
        <v>1</v>
      </c>
      <c r="W186">
        <v>0.92075471698113209</v>
      </c>
      <c r="X186">
        <v>765</v>
      </c>
      <c r="Y186">
        <v>34000374.799999997</v>
      </c>
      <c r="Z186">
        <v>16429</v>
      </c>
      <c r="AA186">
        <v>2</v>
      </c>
      <c r="AB186">
        <v>86</v>
      </c>
      <c r="AD186">
        <f>Tabela5[[#This Row],[kan_params]]</f>
        <v>16387</v>
      </c>
      <c r="AE186">
        <f>Tabela5[[#This Row],[kan_train_acc]]</f>
        <v>0.38113208413124083</v>
      </c>
      <c r="AF186">
        <f>Tabela5[[#This Row],[kan_val_acc]]</f>
        <v>0.74814814329147339</v>
      </c>
      <c r="AG186">
        <f>Tabela5[[#This Row],[kan_test_acc]]</f>
        <v>0.32444445192813876</v>
      </c>
      <c r="AH186">
        <f>Tabela5[[#This Row],[mlp_test_acc]]</f>
        <v>0.97333333333333338</v>
      </c>
      <c r="AI186">
        <f>Tabela5[[#This Row],[mlp_val_acc]]</f>
        <v>1</v>
      </c>
      <c r="AJ186">
        <f>Tabela5[[#This Row],[mlp_train_acc]]</f>
        <v>0.91132075471698115</v>
      </c>
    </row>
    <row r="187" spans="1:36" hidden="1" x14ac:dyDescent="0.25">
      <c r="A187" t="s">
        <v>209</v>
      </c>
      <c r="B187">
        <v>20</v>
      </c>
      <c r="C187">
        <v>9</v>
      </c>
      <c r="D187">
        <v>5</v>
      </c>
      <c r="E187">
        <v>0</v>
      </c>
      <c r="F187" t="s">
        <v>224</v>
      </c>
      <c r="G187">
        <v>16417</v>
      </c>
      <c r="H187">
        <v>142875040.19999999</v>
      </c>
      <c r="I187">
        <v>1013.6</v>
      </c>
      <c r="J187">
        <v>0.35094339251518247</v>
      </c>
      <c r="K187">
        <v>0.73333331346511843</v>
      </c>
      <c r="L187">
        <v>0.37777778506278992</v>
      </c>
      <c r="M187">
        <v>0.87111111111111117</v>
      </c>
      <c r="N187">
        <v>1</v>
      </c>
      <c r="O187">
        <v>0.95283018867924529</v>
      </c>
      <c r="P187">
        <v>736.6</v>
      </c>
      <c r="Q187">
        <v>32728554</v>
      </c>
      <c r="R187">
        <v>16068</v>
      </c>
      <c r="S187">
        <v>2</v>
      </c>
      <c r="T187">
        <v>85</v>
      </c>
      <c r="U187">
        <v>0.88444444444444437</v>
      </c>
      <c r="V187">
        <v>1</v>
      </c>
      <c r="W187">
        <v>0.9679245283018868</v>
      </c>
      <c r="X187">
        <v>978.2</v>
      </c>
      <c r="Y187">
        <v>44645717.799999997</v>
      </c>
      <c r="Z187">
        <v>16429</v>
      </c>
      <c r="AA187">
        <v>2</v>
      </c>
      <c r="AB187">
        <v>86</v>
      </c>
      <c r="AD187">
        <f>Tabela5[[#This Row],[kan_params]]</f>
        <v>16417</v>
      </c>
      <c r="AE187">
        <f>Tabela5[[#This Row],[kan_train_acc]]</f>
        <v>0.35094339251518247</v>
      </c>
      <c r="AF187">
        <f>Tabela5[[#This Row],[kan_val_acc]]</f>
        <v>0.73333331346511843</v>
      </c>
      <c r="AG187">
        <f>Tabela5[[#This Row],[kan_test_acc]]</f>
        <v>0.37777778506278992</v>
      </c>
      <c r="AH187">
        <f>Tabela5[[#This Row],[mlp_test_acc]]</f>
        <v>0.87111111111111117</v>
      </c>
      <c r="AI187">
        <f>Tabela5[[#This Row],[mlp_val_acc]]</f>
        <v>1</v>
      </c>
      <c r="AJ187">
        <f>Tabela5[[#This Row],[mlp_train_acc]]</f>
        <v>0.95283018867924529</v>
      </c>
    </row>
    <row r="188" spans="1:36" x14ac:dyDescent="0.25">
      <c r="A188" t="s">
        <v>209</v>
      </c>
      <c r="B188">
        <v>14</v>
      </c>
      <c r="C188">
        <v>3</v>
      </c>
      <c r="D188">
        <v>5</v>
      </c>
      <c r="E188">
        <v>0</v>
      </c>
      <c r="F188" t="s">
        <v>222</v>
      </c>
      <c r="G188">
        <v>16611</v>
      </c>
      <c r="H188">
        <v>263273695.40000001</v>
      </c>
      <c r="I188">
        <v>1105</v>
      </c>
      <c r="J188">
        <v>0.47735849320888518</v>
      </c>
      <c r="K188">
        <v>0.68148148059844971</v>
      </c>
      <c r="L188">
        <v>0.53777779042720797</v>
      </c>
      <c r="M188">
        <v>0.9555555555555556</v>
      </c>
      <c r="N188">
        <v>0.94074074074074077</v>
      </c>
      <c r="O188">
        <v>1</v>
      </c>
      <c r="P188">
        <v>3729.6</v>
      </c>
      <c r="Q188">
        <v>177963085.80000001</v>
      </c>
      <c r="R188">
        <v>16429</v>
      </c>
      <c r="S188">
        <v>2</v>
      </c>
      <c r="T188">
        <v>86</v>
      </c>
      <c r="U188">
        <v>0.9555555555555556</v>
      </c>
      <c r="V188">
        <v>0.95555555555555549</v>
      </c>
      <c r="W188">
        <v>1</v>
      </c>
      <c r="X188">
        <v>2978.8</v>
      </c>
      <c r="Y188">
        <v>144451649</v>
      </c>
      <c r="Z188">
        <v>16794</v>
      </c>
      <c r="AA188">
        <v>2</v>
      </c>
      <c r="AB188">
        <v>87</v>
      </c>
      <c r="AD188">
        <f>Tabela5[[#This Row],[kan_params]]</f>
        <v>16611</v>
      </c>
      <c r="AE188">
        <f>Tabela5[[#This Row],[kan_train_acc]]</f>
        <v>0.47735849320888518</v>
      </c>
      <c r="AF188">
        <f>Tabela5[[#This Row],[kan_val_acc]]</f>
        <v>0.68148148059844971</v>
      </c>
      <c r="AG188">
        <f>Tabela5[[#This Row],[kan_test_acc]]</f>
        <v>0.53777779042720797</v>
      </c>
      <c r="AH188">
        <f>Tabela5[[#This Row],[mlp_test_acc]]</f>
        <v>0.9555555555555556</v>
      </c>
      <c r="AI188">
        <f>Tabela5[[#This Row],[mlp_val_acc]]</f>
        <v>0.94074074074074077</v>
      </c>
      <c r="AJ188">
        <f>Tabela5[[#This Row],[mlp_train_acc]]</f>
        <v>1</v>
      </c>
    </row>
    <row r="189" spans="1:36" hidden="1" x14ac:dyDescent="0.25">
      <c r="A189" t="s">
        <v>209</v>
      </c>
      <c r="B189">
        <v>16</v>
      </c>
      <c r="C189">
        <v>9</v>
      </c>
      <c r="D189">
        <v>3</v>
      </c>
      <c r="E189">
        <v>0</v>
      </c>
      <c r="F189" t="s">
        <v>222</v>
      </c>
      <c r="G189">
        <v>16611</v>
      </c>
      <c r="H189">
        <v>14163991</v>
      </c>
      <c r="I189">
        <v>10000</v>
      </c>
      <c r="J189">
        <v>0.94716981649398801</v>
      </c>
      <c r="K189">
        <v>1</v>
      </c>
      <c r="L189">
        <v>0.85333334207534794</v>
      </c>
      <c r="M189">
        <v>0.98666666666666669</v>
      </c>
      <c r="N189">
        <v>1</v>
      </c>
      <c r="O189">
        <v>0.92075471698113209</v>
      </c>
      <c r="P189">
        <v>673.2</v>
      </c>
      <c r="Q189">
        <v>33163411.199999999</v>
      </c>
      <c r="R189">
        <v>16429</v>
      </c>
      <c r="S189">
        <v>2</v>
      </c>
      <c r="T189">
        <v>86</v>
      </c>
      <c r="U189">
        <v>0.99111111111111105</v>
      </c>
      <c r="V189">
        <v>1</v>
      </c>
      <c r="W189">
        <v>0.92452830188679247</v>
      </c>
      <c r="X189">
        <v>727.4</v>
      </c>
      <c r="Y189">
        <v>30298146</v>
      </c>
      <c r="Z189">
        <v>16794</v>
      </c>
      <c r="AA189">
        <v>2</v>
      </c>
      <c r="AB189">
        <v>87</v>
      </c>
      <c r="AD189">
        <f>Tabela5[[#This Row],[kan_params]]</f>
        <v>16611</v>
      </c>
      <c r="AE189">
        <f>Tabela5[[#This Row],[kan_train_acc]]</f>
        <v>0.94716981649398801</v>
      </c>
      <c r="AF189">
        <f>Tabela5[[#This Row],[kan_val_acc]]</f>
        <v>1</v>
      </c>
      <c r="AG189">
        <f>Tabela5[[#This Row],[kan_test_acc]]</f>
        <v>0.85333334207534794</v>
      </c>
      <c r="AH189">
        <f>Tabela5[[#This Row],[mlp_test_acc]]</f>
        <v>0.98666666666666669</v>
      </c>
      <c r="AI189">
        <f>Tabela5[[#This Row],[mlp_val_acc]]</f>
        <v>1</v>
      </c>
      <c r="AJ189">
        <f>Tabela5[[#This Row],[mlp_train_acc]]</f>
        <v>0.92075471698113209</v>
      </c>
    </row>
    <row r="190" spans="1:36" hidden="1" x14ac:dyDescent="0.25">
      <c r="A190" t="s">
        <v>209</v>
      </c>
      <c r="B190">
        <v>16</v>
      </c>
      <c r="C190">
        <v>5</v>
      </c>
      <c r="D190">
        <v>5</v>
      </c>
      <c r="E190">
        <v>0</v>
      </c>
      <c r="F190" t="s">
        <v>225</v>
      </c>
      <c r="G190">
        <v>16962</v>
      </c>
      <c r="H190">
        <v>277242495.80000001</v>
      </c>
      <c r="I190">
        <v>1152.4000000000001</v>
      </c>
      <c r="J190">
        <v>0.38113207221031187</v>
      </c>
      <c r="K190">
        <v>0.73333333730697636</v>
      </c>
      <c r="L190">
        <v>0.37777778506278992</v>
      </c>
      <c r="M190">
        <v>0.96888888888888891</v>
      </c>
      <c r="N190">
        <v>1</v>
      </c>
      <c r="O190">
        <v>0.91320754716981134</v>
      </c>
      <c r="P190">
        <v>704.4</v>
      </c>
      <c r="Q190">
        <v>33534086</v>
      </c>
      <c r="R190">
        <v>16794</v>
      </c>
      <c r="S190">
        <v>2</v>
      </c>
      <c r="T190">
        <v>87</v>
      </c>
      <c r="U190">
        <v>0.96000000000000008</v>
      </c>
      <c r="V190">
        <v>1</v>
      </c>
      <c r="W190">
        <v>0.91509433962264153</v>
      </c>
      <c r="X190">
        <v>667</v>
      </c>
      <c r="Y190">
        <v>35890019.399999999</v>
      </c>
      <c r="Z190">
        <v>17163</v>
      </c>
      <c r="AA190">
        <v>2</v>
      </c>
      <c r="AB190">
        <v>88</v>
      </c>
      <c r="AD190">
        <f>Tabela5[[#This Row],[kan_params]]</f>
        <v>16962</v>
      </c>
      <c r="AE190">
        <f>Tabela5[[#This Row],[kan_train_acc]]</f>
        <v>0.38113207221031187</v>
      </c>
      <c r="AF190">
        <f>Tabela5[[#This Row],[kan_val_acc]]</f>
        <v>0.73333333730697636</v>
      </c>
      <c r="AG190">
        <f>Tabela5[[#This Row],[kan_test_acc]]</f>
        <v>0.37777778506278992</v>
      </c>
      <c r="AH190">
        <f>Tabela5[[#This Row],[mlp_test_acc]]</f>
        <v>0.96888888888888891</v>
      </c>
      <c r="AI190">
        <f>Tabela5[[#This Row],[mlp_val_acc]]</f>
        <v>1</v>
      </c>
      <c r="AJ190">
        <f>Tabela5[[#This Row],[mlp_train_acc]]</f>
        <v>0.91320754716981134</v>
      </c>
    </row>
    <row r="191" spans="1:36" hidden="1" x14ac:dyDescent="0.25">
      <c r="A191" t="s">
        <v>209</v>
      </c>
      <c r="B191">
        <v>18</v>
      </c>
      <c r="C191">
        <v>9</v>
      </c>
      <c r="D191">
        <v>4</v>
      </c>
      <c r="E191">
        <v>0</v>
      </c>
      <c r="F191" t="s">
        <v>219</v>
      </c>
      <c r="G191">
        <v>17068</v>
      </c>
      <c r="H191">
        <v>259086419.59999999</v>
      </c>
      <c r="I191">
        <v>1128.3</v>
      </c>
      <c r="J191">
        <v>0.41320754885673522</v>
      </c>
      <c r="K191">
        <v>0.71481480598449709</v>
      </c>
      <c r="L191">
        <v>0.38444445431232455</v>
      </c>
      <c r="M191">
        <v>0.9244444444444444</v>
      </c>
      <c r="N191">
        <v>0.9814814814814814</v>
      </c>
      <c r="O191">
        <v>0.98584905660377364</v>
      </c>
      <c r="P191">
        <v>2271.5</v>
      </c>
      <c r="Q191">
        <v>109727212.7</v>
      </c>
      <c r="R191">
        <v>16794</v>
      </c>
      <c r="S191">
        <v>2</v>
      </c>
      <c r="T191">
        <v>87</v>
      </c>
      <c r="U191">
        <v>0.92222222222222228</v>
      </c>
      <c r="V191">
        <v>0.98518518518518516</v>
      </c>
      <c r="W191">
        <v>0.97358490566037736</v>
      </c>
      <c r="X191">
        <v>1995</v>
      </c>
      <c r="Y191">
        <v>94320036.900000006</v>
      </c>
      <c r="Z191">
        <v>17163</v>
      </c>
      <c r="AA191">
        <v>2</v>
      </c>
      <c r="AB191">
        <v>88</v>
      </c>
      <c r="AD191">
        <f>Tabela5[[#This Row],[kan_params]]</f>
        <v>17068</v>
      </c>
      <c r="AE191">
        <f>Tabela5[[#This Row],[kan_train_acc]]</f>
        <v>0.41320754885673522</v>
      </c>
      <c r="AF191">
        <f>Tabela5[[#This Row],[kan_val_acc]]</f>
        <v>0.71481480598449709</v>
      </c>
      <c r="AG191">
        <f>Tabela5[[#This Row],[kan_test_acc]]</f>
        <v>0.38444445431232455</v>
      </c>
      <c r="AH191">
        <f>Tabela5[[#This Row],[mlp_test_acc]]</f>
        <v>0.9244444444444444</v>
      </c>
      <c r="AI191">
        <f>Tabela5[[#This Row],[mlp_val_acc]]</f>
        <v>0.9814814814814814</v>
      </c>
      <c r="AJ191">
        <f>Tabela5[[#This Row],[mlp_train_acc]]</f>
        <v>0.98584905660377364</v>
      </c>
    </row>
    <row r="192" spans="1:36" hidden="1" x14ac:dyDescent="0.25">
      <c r="A192" t="s">
        <v>209</v>
      </c>
      <c r="B192">
        <v>20</v>
      </c>
      <c r="C192">
        <v>9</v>
      </c>
      <c r="D192">
        <v>5</v>
      </c>
      <c r="E192">
        <v>0</v>
      </c>
      <c r="F192" t="s">
        <v>216</v>
      </c>
      <c r="G192">
        <v>17093</v>
      </c>
      <c r="H192">
        <v>245638894.59999999</v>
      </c>
      <c r="I192">
        <v>1098.4000000000001</v>
      </c>
      <c r="J192">
        <v>0.34905660450458526</v>
      </c>
      <c r="K192">
        <v>0.6444444417953491</v>
      </c>
      <c r="L192">
        <v>0.3688888967037201</v>
      </c>
      <c r="M192">
        <v>0.95555555555555549</v>
      </c>
      <c r="N192">
        <v>1</v>
      </c>
      <c r="O192">
        <v>0.97169811320754718</v>
      </c>
      <c r="P192">
        <v>1335</v>
      </c>
      <c r="Q192">
        <v>55337126.399999999</v>
      </c>
      <c r="R192">
        <v>16794</v>
      </c>
      <c r="S192">
        <v>2</v>
      </c>
      <c r="T192">
        <v>87</v>
      </c>
      <c r="U192">
        <v>0.95555555555555549</v>
      </c>
      <c r="V192">
        <v>1</v>
      </c>
      <c r="W192">
        <v>0.97169811320754718</v>
      </c>
      <c r="X192">
        <v>1257.8</v>
      </c>
      <c r="Y192">
        <v>53108432.399999999</v>
      </c>
      <c r="Z192">
        <v>17163</v>
      </c>
      <c r="AA192">
        <v>2</v>
      </c>
      <c r="AB192">
        <v>88</v>
      </c>
      <c r="AD192">
        <f>Tabela5[[#This Row],[kan_params]]</f>
        <v>17093</v>
      </c>
      <c r="AE192">
        <f>Tabela5[[#This Row],[kan_train_acc]]</f>
        <v>0.34905660450458526</v>
      </c>
      <c r="AF192">
        <f>Tabela5[[#This Row],[kan_val_acc]]</f>
        <v>0.6444444417953491</v>
      </c>
      <c r="AG192">
        <f>Tabela5[[#This Row],[kan_test_acc]]</f>
        <v>0.3688888967037201</v>
      </c>
      <c r="AH192">
        <f>Tabela5[[#This Row],[mlp_test_acc]]</f>
        <v>0.95555555555555549</v>
      </c>
      <c r="AI192">
        <f>Tabela5[[#This Row],[mlp_val_acc]]</f>
        <v>1</v>
      </c>
      <c r="AJ192">
        <f>Tabela5[[#This Row],[mlp_train_acc]]</f>
        <v>0.97169811320754718</v>
      </c>
    </row>
    <row r="193" spans="1:36" hidden="1" x14ac:dyDescent="0.25">
      <c r="A193" t="s">
        <v>209</v>
      </c>
      <c r="B193">
        <v>14</v>
      </c>
      <c r="C193">
        <v>5</v>
      </c>
      <c r="D193">
        <v>4</v>
      </c>
      <c r="E193">
        <v>0</v>
      </c>
      <c r="F193" t="s">
        <v>226</v>
      </c>
      <c r="G193">
        <v>17372</v>
      </c>
      <c r="H193">
        <v>218197965.19999999</v>
      </c>
      <c r="I193">
        <v>1110</v>
      </c>
      <c r="J193">
        <v>0.46037737131118772</v>
      </c>
      <c r="K193">
        <v>0.71851850748062129</v>
      </c>
      <c r="L193">
        <v>0.44444445371627805</v>
      </c>
      <c r="M193">
        <v>0.93333333333333335</v>
      </c>
      <c r="N193">
        <v>0.96296296296296291</v>
      </c>
      <c r="O193">
        <v>0.98301886792452831</v>
      </c>
      <c r="P193">
        <v>1685.4</v>
      </c>
      <c r="Q193">
        <v>69160641.400000006</v>
      </c>
      <c r="R193">
        <v>17163</v>
      </c>
      <c r="S193">
        <v>2</v>
      </c>
      <c r="T193">
        <v>88</v>
      </c>
      <c r="U193">
        <v>0.93333333333333335</v>
      </c>
      <c r="V193">
        <v>0.96296296296296291</v>
      </c>
      <c r="W193">
        <v>0.98113207547169812</v>
      </c>
      <c r="X193">
        <v>1653</v>
      </c>
      <c r="Y193">
        <v>61296207.799999997</v>
      </c>
      <c r="Z193">
        <v>17536</v>
      </c>
      <c r="AA193">
        <v>2</v>
      </c>
      <c r="AB193">
        <v>89</v>
      </c>
      <c r="AD193">
        <f>Tabela5[[#This Row],[kan_params]]</f>
        <v>17372</v>
      </c>
      <c r="AE193">
        <f>Tabela5[[#This Row],[kan_train_acc]]</f>
        <v>0.46037737131118772</v>
      </c>
      <c r="AF193">
        <f>Tabela5[[#This Row],[kan_val_acc]]</f>
        <v>0.71851850748062129</v>
      </c>
      <c r="AG193">
        <f>Tabela5[[#This Row],[kan_test_acc]]</f>
        <v>0.44444445371627805</v>
      </c>
      <c r="AH193">
        <f>Tabela5[[#This Row],[mlp_test_acc]]</f>
        <v>0.93333333333333335</v>
      </c>
      <c r="AI193">
        <f>Tabela5[[#This Row],[mlp_val_acc]]</f>
        <v>0.96296296296296291</v>
      </c>
      <c r="AJ193">
        <f>Tabela5[[#This Row],[mlp_train_acc]]</f>
        <v>0.98301886792452831</v>
      </c>
    </row>
    <row r="194" spans="1:36" hidden="1" x14ac:dyDescent="0.25">
      <c r="A194" t="s">
        <v>209</v>
      </c>
      <c r="B194">
        <v>18</v>
      </c>
      <c r="C194">
        <v>9</v>
      </c>
      <c r="D194">
        <v>4</v>
      </c>
      <c r="E194">
        <v>0</v>
      </c>
      <c r="F194" t="s">
        <v>225</v>
      </c>
      <c r="G194">
        <v>17667</v>
      </c>
      <c r="H194">
        <v>279749885.5</v>
      </c>
      <c r="I194">
        <v>1256</v>
      </c>
      <c r="J194">
        <v>0.39622641950845716</v>
      </c>
      <c r="K194">
        <v>0.72222222089767452</v>
      </c>
      <c r="L194">
        <v>0.40222222954034803</v>
      </c>
      <c r="M194">
        <v>0.92888888888888888</v>
      </c>
      <c r="N194">
        <v>0.9814814814814814</v>
      </c>
      <c r="O194">
        <v>0.97924528301886793</v>
      </c>
      <c r="P194">
        <v>2193.3000000000002</v>
      </c>
      <c r="Q194">
        <v>108151575</v>
      </c>
      <c r="R194">
        <v>17536</v>
      </c>
      <c r="S194">
        <v>2</v>
      </c>
      <c r="T194">
        <v>89</v>
      </c>
      <c r="U194">
        <v>0.93111111111111111</v>
      </c>
      <c r="V194">
        <v>0.98888888888888893</v>
      </c>
      <c r="W194">
        <v>0.96698113207547176</v>
      </c>
      <c r="X194">
        <v>1780.3</v>
      </c>
      <c r="Y194">
        <v>83689316.599999994</v>
      </c>
      <c r="Z194">
        <v>17913</v>
      </c>
      <c r="AA194">
        <v>2</v>
      </c>
      <c r="AB194">
        <v>90</v>
      </c>
      <c r="AD194">
        <f>Tabela5[[#This Row],[kan_params]]</f>
        <v>17667</v>
      </c>
      <c r="AE194">
        <f>Tabela5[[#This Row],[kan_train_acc]]</f>
        <v>0.39622641950845716</v>
      </c>
      <c r="AF194">
        <f>Tabela5[[#This Row],[kan_val_acc]]</f>
        <v>0.72222222089767452</v>
      </c>
      <c r="AG194">
        <f>Tabela5[[#This Row],[kan_test_acc]]</f>
        <v>0.40222222954034803</v>
      </c>
      <c r="AH194">
        <f>Tabela5[[#This Row],[mlp_test_acc]]</f>
        <v>0.92888888888888888</v>
      </c>
      <c r="AI194">
        <f>Tabela5[[#This Row],[mlp_val_acc]]</f>
        <v>0.9814814814814814</v>
      </c>
      <c r="AJ194">
        <f>Tabela5[[#This Row],[mlp_train_acc]]</f>
        <v>0.97924528301886793</v>
      </c>
    </row>
    <row r="195" spans="1:36" hidden="1" x14ac:dyDescent="0.25">
      <c r="A195" t="s">
        <v>209</v>
      </c>
      <c r="B195">
        <v>20</v>
      </c>
      <c r="C195">
        <v>9</v>
      </c>
      <c r="D195">
        <v>5</v>
      </c>
      <c r="E195">
        <v>0</v>
      </c>
      <c r="F195" t="s">
        <v>221</v>
      </c>
      <c r="G195">
        <v>18044</v>
      </c>
      <c r="H195">
        <v>176293120.59999999</v>
      </c>
      <c r="I195">
        <v>1195.4000000000001</v>
      </c>
      <c r="J195">
        <v>0.38867924809455873</v>
      </c>
      <c r="K195">
        <v>0.67407407760620119</v>
      </c>
      <c r="L195">
        <v>0.38666667938232424</v>
      </c>
      <c r="M195">
        <v>0.88888888888888884</v>
      </c>
      <c r="N195">
        <v>1</v>
      </c>
      <c r="O195">
        <v>0.95660377358490567</v>
      </c>
      <c r="P195">
        <v>866.8</v>
      </c>
      <c r="Q195">
        <v>36053478.399999999</v>
      </c>
      <c r="R195">
        <v>17913</v>
      </c>
      <c r="S195">
        <v>2</v>
      </c>
      <c r="T195">
        <v>90</v>
      </c>
      <c r="U195">
        <v>0.88888888888888884</v>
      </c>
      <c r="V195">
        <v>1</v>
      </c>
      <c r="W195">
        <v>0.96226415094339623</v>
      </c>
      <c r="X195">
        <v>846.6</v>
      </c>
      <c r="Y195">
        <v>39158840.799999997</v>
      </c>
      <c r="Z195">
        <v>18294</v>
      </c>
      <c r="AA195">
        <v>2</v>
      </c>
      <c r="AB195">
        <v>91</v>
      </c>
      <c r="AD195">
        <f>Tabela5[[#This Row],[kan_params]]</f>
        <v>18044</v>
      </c>
      <c r="AE195">
        <f>Tabela5[[#This Row],[kan_train_acc]]</f>
        <v>0.38867924809455873</v>
      </c>
      <c r="AF195">
        <f>Tabela5[[#This Row],[kan_val_acc]]</f>
        <v>0.67407407760620119</v>
      </c>
      <c r="AG195">
        <f>Tabela5[[#This Row],[kan_test_acc]]</f>
        <v>0.38666667938232424</v>
      </c>
      <c r="AH195">
        <f>Tabela5[[#This Row],[mlp_test_acc]]</f>
        <v>0.88888888888888884</v>
      </c>
      <c r="AI195">
        <f>Tabela5[[#This Row],[mlp_val_acc]]</f>
        <v>1</v>
      </c>
      <c r="AJ195">
        <f>Tabela5[[#This Row],[mlp_train_acc]]</f>
        <v>0.95660377358490567</v>
      </c>
    </row>
    <row r="196" spans="1:36" hidden="1" x14ac:dyDescent="0.25">
      <c r="A196" t="s">
        <v>209</v>
      </c>
      <c r="B196">
        <v>16</v>
      </c>
      <c r="C196">
        <v>5</v>
      </c>
      <c r="D196">
        <v>5</v>
      </c>
      <c r="E196">
        <v>0</v>
      </c>
      <c r="F196" t="s">
        <v>222</v>
      </c>
      <c r="G196">
        <v>18117</v>
      </c>
      <c r="H196">
        <v>291810585.80000001</v>
      </c>
      <c r="I196">
        <v>1200</v>
      </c>
      <c r="J196">
        <v>0.34905660748481748</v>
      </c>
      <c r="K196">
        <v>0.74814814329147339</v>
      </c>
      <c r="L196">
        <v>0.39111112356185912</v>
      </c>
      <c r="M196">
        <v>0.97777777777777775</v>
      </c>
      <c r="N196">
        <v>1</v>
      </c>
      <c r="O196">
        <v>0.91698113207547172</v>
      </c>
      <c r="P196">
        <v>698</v>
      </c>
      <c r="Q196">
        <v>30615311.600000001</v>
      </c>
      <c r="R196">
        <v>17913</v>
      </c>
      <c r="S196">
        <v>2</v>
      </c>
      <c r="T196">
        <v>90</v>
      </c>
      <c r="U196">
        <v>0.97333333333333338</v>
      </c>
      <c r="V196">
        <v>1</v>
      </c>
      <c r="W196">
        <v>0.91509433962264153</v>
      </c>
      <c r="X196">
        <v>664.6</v>
      </c>
      <c r="Y196">
        <v>31248404</v>
      </c>
      <c r="Z196">
        <v>18294</v>
      </c>
      <c r="AA196">
        <v>2</v>
      </c>
      <c r="AB196">
        <v>91</v>
      </c>
      <c r="AD196">
        <f>Tabela5[[#This Row],[kan_params]]</f>
        <v>18117</v>
      </c>
      <c r="AE196">
        <f>Tabela5[[#This Row],[kan_train_acc]]</f>
        <v>0.34905660748481748</v>
      </c>
      <c r="AF196">
        <f>Tabela5[[#This Row],[kan_val_acc]]</f>
        <v>0.74814814329147339</v>
      </c>
      <c r="AG196">
        <f>Tabela5[[#This Row],[kan_test_acc]]</f>
        <v>0.39111112356185912</v>
      </c>
      <c r="AH196">
        <f>Tabela5[[#This Row],[mlp_test_acc]]</f>
        <v>0.97777777777777775</v>
      </c>
      <c r="AI196">
        <f>Tabela5[[#This Row],[mlp_val_acc]]</f>
        <v>1</v>
      </c>
      <c r="AJ196">
        <f>Tabela5[[#This Row],[mlp_train_acc]]</f>
        <v>0.91698113207547172</v>
      </c>
    </row>
    <row r="197" spans="1:36" x14ac:dyDescent="0.25">
      <c r="A197" t="s">
        <v>209</v>
      </c>
      <c r="B197">
        <v>14</v>
      </c>
      <c r="C197">
        <v>3</v>
      </c>
      <c r="D197">
        <v>5</v>
      </c>
      <c r="E197">
        <v>0</v>
      </c>
      <c r="F197" t="s">
        <v>226</v>
      </c>
      <c r="G197">
        <v>18197</v>
      </c>
      <c r="H197">
        <v>325092858.60000002</v>
      </c>
      <c r="I197">
        <v>1336</v>
      </c>
      <c r="J197">
        <v>0.4452830135822296</v>
      </c>
      <c r="K197">
        <v>0.69629629850387575</v>
      </c>
      <c r="L197">
        <v>0.45777779221534731</v>
      </c>
      <c r="M197">
        <v>0.98222222222222222</v>
      </c>
      <c r="N197">
        <v>0.95555555555555549</v>
      </c>
      <c r="O197">
        <v>0.98679245283018868</v>
      </c>
      <c r="P197">
        <v>2306.6</v>
      </c>
      <c r="Q197">
        <v>110487693.40000001</v>
      </c>
      <c r="R197">
        <v>17913</v>
      </c>
      <c r="S197">
        <v>2</v>
      </c>
      <c r="T197">
        <v>90</v>
      </c>
      <c r="U197">
        <v>0.97777777777777775</v>
      </c>
      <c r="V197">
        <v>0.94074074074074077</v>
      </c>
      <c r="W197">
        <v>0.99433962264150944</v>
      </c>
      <c r="X197">
        <v>2851</v>
      </c>
      <c r="Y197">
        <v>137715861.40000001</v>
      </c>
      <c r="Z197">
        <v>18294</v>
      </c>
      <c r="AA197">
        <v>2</v>
      </c>
      <c r="AB197">
        <v>91</v>
      </c>
      <c r="AD197">
        <f>Tabela5[[#This Row],[kan_params]]</f>
        <v>18197</v>
      </c>
      <c r="AE197">
        <f>Tabela5[[#This Row],[kan_train_acc]]</f>
        <v>0.4452830135822296</v>
      </c>
      <c r="AF197">
        <f>Tabela5[[#This Row],[kan_val_acc]]</f>
        <v>0.69629629850387575</v>
      </c>
      <c r="AG197">
        <f>Tabela5[[#This Row],[kan_test_acc]]</f>
        <v>0.45777779221534731</v>
      </c>
      <c r="AH197">
        <f>Tabela5[[#This Row],[mlp_test_acc]]</f>
        <v>0.98222222222222222</v>
      </c>
      <c r="AI197">
        <f>Tabela5[[#This Row],[mlp_val_acc]]</f>
        <v>0.95555555555555549</v>
      </c>
      <c r="AJ197">
        <f>Tabela5[[#This Row],[mlp_train_acc]]</f>
        <v>0.98679245283018868</v>
      </c>
    </row>
    <row r="198" spans="1:36" hidden="1" x14ac:dyDescent="0.25">
      <c r="A198" t="s">
        <v>209</v>
      </c>
      <c r="B198">
        <v>16</v>
      </c>
      <c r="C198">
        <v>9</v>
      </c>
      <c r="D198">
        <v>3</v>
      </c>
      <c r="E198">
        <v>0</v>
      </c>
      <c r="F198" t="s">
        <v>226</v>
      </c>
      <c r="G198">
        <v>18197</v>
      </c>
      <c r="H198">
        <v>11879849.6</v>
      </c>
      <c r="I198">
        <v>10000</v>
      </c>
      <c r="J198">
        <v>0.93396226167678831</v>
      </c>
      <c r="K198">
        <v>1</v>
      </c>
      <c r="L198">
        <v>0.85333334207534794</v>
      </c>
      <c r="M198">
        <v>0.98222222222222222</v>
      </c>
      <c r="N198">
        <v>1</v>
      </c>
      <c r="O198">
        <v>0.9188679245283019</v>
      </c>
      <c r="P198">
        <v>690.8</v>
      </c>
      <c r="Q198">
        <v>31113593.600000001</v>
      </c>
      <c r="R198">
        <v>17913</v>
      </c>
      <c r="S198">
        <v>2</v>
      </c>
      <c r="T198">
        <v>90</v>
      </c>
      <c r="U198">
        <v>0.96888888888888891</v>
      </c>
      <c r="V198">
        <v>1</v>
      </c>
      <c r="W198">
        <v>0.91132075471698115</v>
      </c>
      <c r="X198">
        <v>646.79999999999995</v>
      </c>
      <c r="Y198">
        <v>31213271.600000001</v>
      </c>
      <c r="Z198">
        <v>18294</v>
      </c>
      <c r="AA198">
        <v>2</v>
      </c>
      <c r="AB198">
        <v>91</v>
      </c>
      <c r="AD198">
        <f>Tabela5[[#This Row],[kan_params]]</f>
        <v>18197</v>
      </c>
      <c r="AE198">
        <f>Tabela5[[#This Row],[kan_train_acc]]</f>
        <v>0.93396226167678831</v>
      </c>
      <c r="AF198">
        <f>Tabela5[[#This Row],[kan_val_acc]]</f>
        <v>1</v>
      </c>
      <c r="AG198">
        <f>Tabela5[[#This Row],[kan_test_acc]]</f>
        <v>0.85333334207534794</v>
      </c>
      <c r="AH198">
        <f>Tabela5[[#This Row],[mlp_test_acc]]</f>
        <v>0.98222222222222222</v>
      </c>
      <c r="AI198">
        <f>Tabela5[[#This Row],[mlp_val_acc]]</f>
        <v>1</v>
      </c>
      <c r="AJ198">
        <f>Tabela5[[#This Row],[mlp_train_acc]]</f>
        <v>0.9188679245283019</v>
      </c>
    </row>
    <row r="199" spans="1:36" hidden="1" x14ac:dyDescent="0.25">
      <c r="A199" t="s">
        <v>209</v>
      </c>
      <c r="B199">
        <v>18</v>
      </c>
      <c r="C199">
        <v>9</v>
      </c>
      <c r="D199">
        <v>4</v>
      </c>
      <c r="E199">
        <v>0</v>
      </c>
      <c r="F199" t="s">
        <v>222</v>
      </c>
      <c r="G199">
        <v>18870</v>
      </c>
      <c r="H199">
        <v>302399644.80000001</v>
      </c>
      <c r="I199">
        <v>1270.8</v>
      </c>
      <c r="J199">
        <v>0.38679245710372923</v>
      </c>
      <c r="K199">
        <v>0.67037037014961243</v>
      </c>
      <c r="L199">
        <v>0.35333334207534789</v>
      </c>
      <c r="M199">
        <v>0.91999999999999993</v>
      </c>
      <c r="N199">
        <v>0.98518518518518516</v>
      </c>
      <c r="O199">
        <v>0.97830188679245289</v>
      </c>
      <c r="P199">
        <v>2087.8000000000002</v>
      </c>
      <c r="Q199">
        <v>101378743.7</v>
      </c>
      <c r="R199">
        <v>18679</v>
      </c>
      <c r="S199">
        <v>2</v>
      </c>
      <c r="T199">
        <v>92</v>
      </c>
      <c r="U199">
        <v>0.9244444444444444</v>
      </c>
      <c r="V199">
        <v>0.98888888888888893</v>
      </c>
      <c r="W199">
        <v>0.96981132075471699</v>
      </c>
      <c r="X199">
        <v>1700.7</v>
      </c>
      <c r="Y199">
        <v>82170095.299999997</v>
      </c>
      <c r="Z199">
        <v>19068</v>
      </c>
      <c r="AA199">
        <v>2</v>
      </c>
      <c r="AB199">
        <v>93</v>
      </c>
      <c r="AD199">
        <f>Tabela5[[#This Row],[kan_params]]</f>
        <v>18870</v>
      </c>
      <c r="AE199">
        <f>Tabela5[[#This Row],[kan_train_acc]]</f>
        <v>0.38679245710372923</v>
      </c>
      <c r="AF199">
        <f>Tabela5[[#This Row],[kan_val_acc]]</f>
        <v>0.67037037014961243</v>
      </c>
      <c r="AG199">
        <f>Tabela5[[#This Row],[kan_test_acc]]</f>
        <v>0.35333334207534789</v>
      </c>
      <c r="AH199">
        <f>Tabela5[[#This Row],[mlp_test_acc]]</f>
        <v>0.91999999999999993</v>
      </c>
      <c r="AI199">
        <f>Tabela5[[#This Row],[mlp_val_acc]]</f>
        <v>0.98518518518518516</v>
      </c>
      <c r="AJ199">
        <f>Tabela5[[#This Row],[mlp_train_acc]]</f>
        <v>0.97830188679245289</v>
      </c>
    </row>
    <row r="200" spans="1:36" hidden="1" x14ac:dyDescent="0.25">
      <c r="A200" t="s">
        <v>209</v>
      </c>
      <c r="B200">
        <v>20</v>
      </c>
      <c r="C200">
        <v>9</v>
      </c>
      <c r="D200">
        <v>5</v>
      </c>
      <c r="E200">
        <v>0</v>
      </c>
      <c r="F200" t="s">
        <v>219</v>
      </c>
      <c r="G200">
        <v>19111</v>
      </c>
      <c r="H200">
        <v>158577077.19999999</v>
      </c>
      <c r="I200">
        <v>1046</v>
      </c>
      <c r="J200">
        <v>0.33584905862808229</v>
      </c>
      <c r="K200">
        <v>0.63703702688217168</v>
      </c>
      <c r="L200">
        <v>0.36444444954395294</v>
      </c>
      <c r="M200">
        <v>0.88888888888888884</v>
      </c>
      <c r="N200">
        <v>1</v>
      </c>
      <c r="O200">
        <v>0.95660377358490567</v>
      </c>
      <c r="P200">
        <v>825.2</v>
      </c>
      <c r="Q200">
        <v>37635308.399999999</v>
      </c>
      <c r="R200">
        <v>19068</v>
      </c>
      <c r="S200">
        <v>2</v>
      </c>
      <c r="T200">
        <v>93</v>
      </c>
      <c r="U200">
        <v>0.88444444444444437</v>
      </c>
      <c r="V200">
        <v>1</v>
      </c>
      <c r="W200">
        <v>0.95660377358490567</v>
      </c>
      <c r="X200">
        <v>809.2</v>
      </c>
      <c r="Y200">
        <v>35320618</v>
      </c>
      <c r="Z200">
        <v>19461</v>
      </c>
      <c r="AA200">
        <v>2</v>
      </c>
      <c r="AB200">
        <v>94</v>
      </c>
      <c r="AD200">
        <f>Tabela5[[#This Row],[kan_params]]</f>
        <v>19111</v>
      </c>
      <c r="AE200">
        <f>Tabela5[[#This Row],[kan_train_acc]]</f>
        <v>0.33584905862808229</v>
      </c>
      <c r="AF200">
        <f>Tabela5[[#This Row],[kan_val_acc]]</f>
        <v>0.63703702688217168</v>
      </c>
      <c r="AG200">
        <f>Tabela5[[#This Row],[kan_test_acc]]</f>
        <v>0.36444444954395294</v>
      </c>
      <c r="AH200">
        <f>Tabela5[[#This Row],[mlp_test_acc]]</f>
        <v>0.88888888888888884</v>
      </c>
      <c r="AI200">
        <f>Tabela5[[#This Row],[mlp_val_acc]]</f>
        <v>1</v>
      </c>
      <c r="AJ200">
        <f>Tabela5[[#This Row],[mlp_train_acc]]</f>
        <v>0.95660377358490567</v>
      </c>
    </row>
    <row r="201" spans="1:36" hidden="1" x14ac:dyDescent="0.25">
      <c r="A201" t="s">
        <v>209</v>
      </c>
      <c r="B201">
        <v>20</v>
      </c>
      <c r="C201">
        <v>9</v>
      </c>
      <c r="D201">
        <v>5</v>
      </c>
      <c r="E201">
        <v>0</v>
      </c>
      <c r="F201" t="s">
        <v>225</v>
      </c>
      <c r="G201">
        <v>19782</v>
      </c>
      <c r="H201">
        <v>176506744</v>
      </c>
      <c r="I201">
        <v>1144.8</v>
      </c>
      <c r="J201">
        <v>0.35094339251518247</v>
      </c>
      <c r="K201">
        <v>0.68888888359069822</v>
      </c>
      <c r="L201">
        <v>0.33777778744697573</v>
      </c>
      <c r="M201">
        <v>0.88</v>
      </c>
      <c r="N201">
        <v>1</v>
      </c>
      <c r="O201">
        <v>0.95660377358490567</v>
      </c>
      <c r="P201">
        <v>712.6</v>
      </c>
      <c r="Q201">
        <v>29460274.399999999</v>
      </c>
      <c r="R201">
        <v>19461</v>
      </c>
      <c r="S201">
        <v>2</v>
      </c>
      <c r="T201">
        <v>94</v>
      </c>
      <c r="U201">
        <v>0.88444444444444437</v>
      </c>
      <c r="V201">
        <v>1</v>
      </c>
      <c r="W201">
        <v>0.95660377358490567</v>
      </c>
      <c r="X201">
        <v>775</v>
      </c>
      <c r="Y201">
        <v>37853554.799999997</v>
      </c>
      <c r="Z201">
        <v>19858</v>
      </c>
      <c r="AA201">
        <v>2</v>
      </c>
      <c r="AB201">
        <v>95</v>
      </c>
      <c r="AD201">
        <f>Tabela5[[#This Row],[kan_params]]</f>
        <v>19782</v>
      </c>
      <c r="AE201">
        <f>Tabela5[[#This Row],[kan_train_acc]]</f>
        <v>0.35094339251518247</v>
      </c>
      <c r="AF201">
        <f>Tabela5[[#This Row],[kan_val_acc]]</f>
        <v>0.68888888359069822</v>
      </c>
      <c r="AG201">
        <f>Tabela5[[#This Row],[kan_test_acc]]</f>
        <v>0.33777778744697573</v>
      </c>
      <c r="AH201">
        <f>Tabela5[[#This Row],[mlp_test_acc]]</f>
        <v>0.88</v>
      </c>
      <c r="AI201">
        <f>Tabela5[[#This Row],[mlp_val_acc]]</f>
        <v>1</v>
      </c>
      <c r="AJ201">
        <f>Tabela5[[#This Row],[mlp_train_acc]]</f>
        <v>0.95660377358490567</v>
      </c>
    </row>
    <row r="202" spans="1:36" hidden="1" x14ac:dyDescent="0.25">
      <c r="A202" t="s">
        <v>209</v>
      </c>
      <c r="B202">
        <v>16</v>
      </c>
      <c r="C202">
        <v>5</v>
      </c>
      <c r="D202">
        <v>5</v>
      </c>
      <c r="E202">
        <v>0</v>
      </c>
      <c r="F202" t="s">
        <v>226</v>
      </c>
      <c r="G202">
        <v>19847</v>
      </c>
      <c r="H202">
        <v>297272629</v>
      </c>
      <c r="I202">
        <v>1137.5999999999999</v>
      </c>
      <c r="J202">
        <v>0.39056604504585268</v>
      </c>
      <c r="K202">
        <v>0.83703703880310054</v>
      </c>
      <c r="L202">
        <v>0.42666667699813843</v>
      </c>
      <c r="M202">
        <v>0.98222222222222222</v>
      </c>
      <c r="N202">
        <v>1</v>
      </c>
      <c r="O202">
        <v>0.91698113207547172</v>
      </c>
      <c r="P202">
        <v>662.6</v>
      </c>
      <c r="Q202">
        <v>29538751.399999999</v>
      </c>
      <c r="R202">
        <v>19461</v>
      </c>
      <c r="S202">
        <v>2</v>
      </c>
      <c r="T202">
        <v>94</v>
      </c>
      <c r="U202">
        <v>0.97777777777777775</v>
      </c>
      <c r="V202">
        <v>1</v>
      </c>
      <c r="W202">
        <v>0.92264150943396228</v>
      </c>
      <c r="X202">
        <v>681.6</v>
      </c>
      <c r="Y202">
        <v>29319349.399999999</v>
      </c>
      <c r="Z202">
        <v>19858</v>
      </c>
      <c r="AA202">
        <v>2</v>
      </c>
      <c r="AB202">
        <v>95</v>
      </c>
      <c r="AD202">
        <f>Tabela5[[#This Row],[kan_params]]</f>
        <v>19847</v>
      </c>
      <c r="AE202">
        <f>Tabela5[[#This Row],[kan_train_acc]]</f>
        <v>0.39056604504585268</v>
      </c>
      <c r="AF202">
        <f>Tabela5[[#This Row],[kan_val_acc]]</f>
        <v>0.83703703880310054</v>
      </c>
      <c r="AG202">
        <f>Tabela5[[#This Row],[kan_test_acc]]</f>
        <v>0.42666667699813843</v>
      </c>
      <c r="AH202">
        <f>Tabela5[[#This Row],[mlp_test_acc]]</f>
        <v>0.98222222222222222</v>
      </c>
      <c r="AI202">
        <f>Tabela5[[#This Row],[mlp_val_acc]]</f>
        <v>1</v>
      </c>
      <c r="AJ202">
        <f>Tabela5[[#This Row],[mlp_train_acc]]</f>
        <v>0.91698113207547172</v>
      </c>
    </row>
    <row r="203" spans="1:36" hidden="1" x14ac:dyDescent="0.25">
      <c r="A203" t="s">
        <v>209</v>
      </c>
      <c r="B203">
        <v>18</v>
      </c>
      <c r="C203">
        <v>9</v>
      </c>
      <c r="D203">
        <v>4</v>
      </c>
      <c r="E203">
        <v>0</v>
      </c>
      <c r="F203" t="s">
        <v>226</v>
      </c>
      <c r="G203">
        <v>20672</v>
      </c>
      <c r="H203">
        <v>331776273.19999999</v>
      </c>
      <c r="I203">
        <v>1357.1</v>
      </c>
      <c r="J203">
        <v>0.38113207519054415</v>
      </c>
      <c r="K203">
        <v>0.6666666567325592</v>
      </c>
      <c r="L203">
        <v>0.37111111879348757</v>
      </c>
      <c r="M203">
        <v>0.9244444444444444</v>
      </c>
      <c r="N203">
        <v>0.98518518518518516</v>
      </c>
      <c r="O203">
        <v>0.97547169811320755</v>
      </c>
      <c r="P203">
        <v>1835.2</v>
      </c>
      <c r="Q203">
        <v>86281144.299999997</v>
      </c>
      <c r="R203">
        <v>20664</v>
      </c>
      <c r="S203">
        <v>2</v>
      </c>
      <c r="T203">
        <v>97</v>
      </c>
      <c r="U203">
        <v>0.93111111111111111</v>
      </c>
      <c r="V203">
        <v>0.98518518518518516</v>
      </c>
      <c r="W203">
        <v>0.97641509433962259</v>
      </c>
      <c r="X203">
        <v>1884</v>
      </c>
      <c r="Y203">
        <v>86935203.799999997</v>
      </c>
      <c r="Z203">
        <v>21073</v>
      </c>
      <c r="AA203">
        <v>2</v>
      </c>
      <c r="AB203">
        <v>98</v>
      </c>
      <c r="AD203">
        <f>Tabela5[[#This Row],[kan_params]]</f>
        <v>20672</v>
      </c>
      <c r="AE203">
        <f>Tabela5[[#This Row],[kan_train_acc]]</f>
        <v>0.38113207519054415</v>
      </c>
      <c r="AF203">
        <f>Tabela5[[#This Row],[kan_val_acc]]</f>
        <v>0.6666666567325592</v>
      </c>
      <c r="AG203">
        <f>Tabela5[[#This Row],[kan_test_acc]]</f>
        <v>0.37111111879348757</v>
      </c>
      <c r="AH203">
        <f>Tabela5[[#This Row],[mlp_test_acc]]</f>
        <v>0.9244444444444444</v>
      </c>
      <c r="AI203">
        <f>Tabela5[[#This Row],[mlp_val_acc]]</f>
        <v>0.98518518518518516</v>
      </c>
      <c r="AJ203">
        <f>Tabela5[[#This Row],[mlp_train_acc]]</f>
        <v>0.97547169811320755</v>
      </c>
    </row>
    <row r="204" spans="1:36" hidden="1" x14ac:dyDescent="0.25">
      <c r="A204" t="s">
        <v>209</v>
      </c>
      <c r="B204">
        <v>20</v>
      </c>
      <c r="C204">
        <v>9</v>
      </c>
      <c r="D204">
        <v>5</v>
      </c>
      <c r="E204">
        <v>0</v>
      </c>
      <c r="F204" t="s">
        <v>222</v>
      </c>
      <c r="G204">
        <v>21129</v>
      </c>
      <c r="H204">
        <v>166499831.80000001</v>
      </c>
      <c r="I204">
        <v>1053.4000000000001</v>
      </c>
      <c r="J204">
        <v>0.31886792480945586</v>
      </c>
      <c r="K204">
        <v>0.66666666269302366</v>
      </c>
      <c r="L204">
        <v>0.35555556416511536</v>
      </c>
      <c r="M204">
        <v>0.88888888888888884</v>
      </c>
      <c r="N204">
        <v>1</v>
      </c>
      <c r="O204">
        <v>0.95660377358490567</v>
      </c>
      <c r="P204">
        <v>722</v>
      </c>
      <c r="Q204">
        <v>33358337.199999999</v>
      </c>
      <c r="R204">
        <v>21073</v>
      </c>
      <c r="S204">
        <v>2</v>
      </c>
      <c r="T204">
        <v>98</v>
      </c>
      <c r="U204">
        <v>0.88444444444444437</v>
      </c>
      <c r="V204">
        <v>1</v>
      </c>
      <c r="W204">
        <v>0.95471698113207548</v>
      </c>
      <c r="X204">
        <v>703.8</v>
      </c>
      <c r="Y204">
        <v>31894438.399999999</v>
      </c>
      <c r="Z204">
        <v>21486</v>
      </c>
      <c r="AA204">
        <v>2</v>
      </c>
      <c r="AB204">
        <v>99</v>
      </c>
      <c r="AD204">
        <f>Tabela5[[#This Row],[kan_params]]</f>
        <v>21129</v>
      </c>
      <c r="AE204">
        <f>Tabela5[[#This Row],[kan_train_acc]]</f>
        <v>0.31886792480945586</v>
      </c>
      <c r="AF204">
        <f>Tabela5[[#This Row],[kan_val_acc]]</f>
        <v>0.66666666269302366</v>
      </c>
      <c r="AG204">
        <f>Tabela5[[#This Row],[kan_test_acc]]</f>
        <v>0.35555556416511536</v>
      </c>
      <c r="AH204">
        <f>Tabela5[[#This Row],[mlp_test_acc]]</f>
        <v>0.88888888888888884</v>
      </c>
      <c r="AI204">
        <f>Tabela5[[#This Row],[mlp_val_acc]]</f>
        <v>1</v>
      </c>
      <c r="AJ204">
        <f>Tabela5[[#This Row],[mlp_train_acc]]</f>
        <v>0.95660377358490567</v>
      </c>
    </row>
    <row r="205" spans="1:36" hidden="1" x14ac:dyDescent="0.25">
      <c r="A205" t="s">
        <v>209</v>
      </c>
      <c r="B205">
        <v>20</v>
      </c>
      <c r="C205">
        <v>9</v>
      </c>
      <c r="D205">
        <v>5</v>
      </c>
      <c r="E205">
        <v>0</v>
      </c>
      <c r="F205" t="s">
        <v>226</v>
      </c>
      <c r="G205">
        <v>23147</v>
      </c>
      <c r="H205">
        <v>176441759.19999999</v>
      </c>
      <c r="I205">
        <v>1059.8</v>
      </c>
      <c r="J205">
        <v>0.31132075786590574</v>
      </c>
      <c r="K205">
        <v>0.70370368957519536</v>
      </c>
      <c r="L205">
        <v>0.35555556416511536</v>
      </c>
      <c r="M205">
        <v>0.88</v>
      </c>
      <c r="N205">
        <v>1</v>
      </c>
      <c r="O205">
        <v>0.96226415094339623</v>
      </c>
      <c r="P205">
        <v>739</v>
      </c>
      <c r="Q205">
        <v>35277557</v>
      </c>
      <c r="R205">
        <v>22749</v>
      </c>
      <c r="S205">
        <v>2</v>
      </c>
      <c r="T205">
        <v>102</v>
      </c>
      <c r="U205">
        <v>0.88444444444444437</v>
      </c>
      <c r="V205">
        <v>1</v>
      </c>
      <c r="W205">
        <v>0.95660377358490567</v>
      </c>
      <c r="X205">
        <v>750.8</v>
      </c>
      <c r="Y205">
        <v>34349758.399999999</v>
      </c>
      <c r="Z205">
        <v>23178</v>
      </c>
      <c r="AA205">
        <v>2</v>
      </c>
      <c r="AB205">
        <v>103</v>
      </c>
      <c r="AD205">
        <f>Tabela5[[#This Row],[kan_params]]</f>
        <v>23147</v>
      </c>
      <c r="AE205">
        <f>Tabela5[[#This Row],[kan_train_acc]]</f>
        <v>0.31132075786590574</v>
      </c>
      <c r="AF205">
        <f>Tabela5[[#This Row],[kan_val_acc]]</f>
        <v>0.70370368957519536</v>
      </c>
      <c r="AG205">
        <f>Tabela5[[#This Row],[kan_test_acc]]</f>
        <v>0.35555556416511536</v>
      </c>
      <c r="AH205">
        <f>Tabela5[[#This Row],[mlp_test_acc]]</f>
        <v>0.88</v>
      </c>
      <c r="AI205">
        <f>Tabela5[[#This Row],[mlp_val_acc]]</f>
        <v>1</v>
      </c>
      <c r="AJ205">
        <f>Tabela5[[#This Row],[mlp_train_acc]]</f>
        <v>0.96226415094339623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F8D6C15-E235-4F21-A17C-C01FFE777A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Digits</vt:lpstr>
      <vt:lpstr>Cancer</vt:lpstr>
      <vt:lpstr>Iris</vt:lpstr>
      <vt:lpstr>Wine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2025-07-10T05:22:22Z</dcterms:created>
  <dcterms:modified xsi:type="dcterms:W3CDTF">2025-07-17T07:03:15Z</dcterms:modified>
</cp:coreProperties>
</file>
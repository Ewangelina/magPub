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 D\Desktop\"/>
    </mc:Choice>
  </mc:AlternateContent>
  <xr:revisionPtr revIDLastSave="0" documentId="13_ncr:1_{CB7B07D4-D8FD-4EBB-A288-819CE063FF48}" xr6:coauthVersionLast="47" xr6:coauthVersionMax="47" xr10:uidLastSave="{00000000-0000-0000-0000-000000000000}"/>
  <bookViews>
    <workbookView xWindow="0" yWindow="225" windowWidth="29040" windowHeight="15990" xr2:uid="{BFA2C633-6F39-41A1-9491-F1DEFD005A55}"/>
  </bookViews>
  <sheets>
    <sheet name="mnist cnn all" sheetId="2" r:id="rId1"/>
  </sheets>
  <definedNames>
    <definedName name="ExternalData_1" localSheetId="0" hidden="1">'mnist cnn all'!$A$1:$Z$51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" i="2" l="1"/>
  <c r="AJ16" i="2"/>
  <c r="AR16" i="2" s="1"/>
  <c r="AK16" i="2"/>
  <c r="AL16" i="2"/>
  <c r="AS16" i="2" s="1"/>
  <c r="AM16" i="2"/>
  <c r="AN16" i="2"/>
  <c r="AT16" i="2" s="1"/>
  <c r="AO16" i="2"/>
  <c r="AP16" i="2"/>
  <c r="AU16" i="2" s="1"/>
  <c r="AJ34" i="2"/>
  <c r="AR34" i="2" s="1"/>
  <c r="AK34" i="2"/>
  <c r="AL34" i="2"/>
  <c r="AS34" i="2" s="1"/>
  <c r="AM34" i="2"/>
  <c r="AN34" i="2"/>
  <c r="AT34" i="2" s="1"/>
  <c r="AO34" i="2"/>
  <c r="AP34" i="2"/>
  <c r="AU34" i="2" s="1"/>
  <c r="AJ9" i="2"/>
  <c r="AR9" i="2" s="1"/>
  <c r="AK9" i="2"/>
  <c r="AL9" i="2"/>
  <c r="AS9" i="2" s="1"/>
  <c r="AM9" i="2"/>
  <c r="AN9" i="2"/>
  <c r="AT9" i="2" s="1"/>
  <c r="AO9" i="2"/>
  <c r="AP9" i="2"/>
  <c r="AU9" i="2" s="1"/>
  <c r="AJ19" i="2"/>
  <c r="AR19" i="2" s="1"/>
  <c r="AK19" i="2"/>
  <c r="AL19" i="2"/>
  <c r="AS19" i="2" s="1"/>
  <c r="AM19" i="2"/>
  <c r="AN19" i="2"/>
  <c r="AT19" i="2" s="1"/>
  <c r="AO19" i="2"/>
  <c r="AP19" i="2"/>
  <c r="AU19" i="2" s="1"/>
  <c r="AJ38" i="2"/>
  <c r="AR38" i="2" s="1"/>
  <c r="AK38" i="2"/>
  <c r="AL38" i="2"/>
  <c r="AS38" i="2" s="1"/>
  <c r="AM38" i="2"/>
  <c r="AN38" i="2"/>
  <c r="AT38" i="2" s="1"/>
  <c r="AO38" i="2"/>
  <c r="AP38" i="2"/>
  <c r="AU38" i="2" s="1"/>
  <c r="AJ10" i="2"/>
  <c r="AR10" i="2" s="1"/>
  <c r="AK10" i="2"/>
  <c r="AL10" i="2"/>
  <c r="AS10" i="2" s="1"/>
  <c r="AM10" i="2"/>
  <c r="AN10" i="2"/>
  <c r="AT10" i="2" s="1"/>
  <c r="AO10" i="2"/>
  <c r="AP10" i="2"/>
  <c r="AU10" i="2" s="1"/>
  <c r="AJ23" i="2"/>
  <c r="AR23" i="2" s="1"/>
  <c r="AK23" i="2"/>
  <c r="AL23" i="2"/>
  <c r="AS23" i="2" s="1"/>
  <c r="AM23" i="2"/>
  <c r="AN23" i="2"/>
  <c r="AT23" i="2" s="1"/>
  <c r="AO23" i="2"/>
  <c r="AP23" i="2"/>
  <c r="AU23" i="2" s="1"/>
  <c r="AJ41" i="2"/>
  <c r="AR41" i="2" s="1"/>
  <c r="AK41" i="2"/>
  <c r="AL41" i="2"/>
  <c r="AS41" i="2" s="1"/>
  <c r="AM41" i="2"/>
  <c r="AN41" i="2"/>
  <c r="AT41" i="2" s="1"/>
  <c r="AO41" i="2"/>
  <c r="AP41" i="2"/>
  <c r="AU41" i="2" s="1"/>
  <c r="AJ12" i="2"/>
  <c r="AR12" i="2" s="1"/>
  <c r="AK12" i="2"/>
  <c r="AL12" i="2"/>
  <c r="AS12" i="2" s="1"/>
  <c r="AM12" i="2"/>
  <c r="AN12" i="2"/>
  <c r="AT12" i="2" s="1"/>
  <c r="AO12" i="2"/>
  <c r="AP12" i="2"/>
  <c r="AU12" i="2" s="1"/>
  <c r="AJ27" i="2"/>
  <c r="AR27" i="2" s="1"/>
  <c r="AK27" i="2"/>
  <c r="AL27" i="2"/>
  <c r="AS27" i="2" s="1"/>
  <c r="AM27" i="2"/>
  <c r="AN27" i="2"/>
  <c r="AT27" i="2" s="1"/>
  <c r="AO27" i="2"/>
  <c r="AP27" i="2"/>
  <c r="AU27" i="2" s="1"/>
  <c r="AJ44" i="2"/>
  <c r="AR44" i="2" s="1"/>
  <c r="AK44" i="2"/>
  <c r="AL44" i="2"/>
  <c r="AS44" i="2" s="1"/>
  <c r="AM44" i="2"/>
  <c r="AN44" i="2"/>
  <c r="AT44" i="2" s="1"/>
  <c r="AO44" i="2"/>
  <c r="AP44" i="2"/>
  <c r="AU44" i="2" s="1"/>
  <c r="AJ11" i="2"/>
  <c r="AR11" i="2" s="1"/>
  <c r="AK11" i="2"/>
  <c r="AL11" i="2"/>
  <c r="AS11" i="2" s="1"/>
  <c r="AM11" i="2"/>
  <c r="AN11" i="2"/>
  <c r="AT11" i="2" s="1"/>
  <c r="AO11" i="2"/>
  <c r="AP11" i="2"/>
  <c r="AU11" i="2" s="1"/>
  <c r="AJ15" i="2"/>
  <c r="AR15" i="2" s="1"/>
  <c r="AK15" i="2"/>
  <c r="AL15" i="2"/>
  <c r="AS15" i="2" s="1"/>
  <c r="AM15" i="2"/>
  <c r="AN15" i="2"/>
  <c r="AT15" i="2" s="1"/>
  <c r="AO15" i="2"/>
  <c r="AP15" i="2"/>
  <c r="AU15" i="2" s="1"/>
  <c r="AJ24" i="2"/>
  <c r="AR24" i="2" s="1"/>
  <c r="AK24" i="2"/>
  <c r="AL24" i="2"/>
  <c r="AS24" i="2" s="1"/>
  <c r="AM24" i="2"/>
  <c r="AN24" i="2"/>
  <c r="AT24" i="2" s="1"/>
  <c r="AO24" i="2"/>
  <c r="AP24" i="2"/>
  <c r="AU24" i="2" s="1"/>
  <c r="AJ42" i="2"/>
  <c r="AR42" i="2" s="1"/>
  <c r="AK42" i="2"/>
  <c r="AL42" i="2"/>
  <c r="AS42" i="2" s="1"/>
  <c r="AM42" i="2"/>
  <c r="AN42" i="2"/>
  <c r="AT42" i="2" s="1"/>
  <c r="AO42" i="2"/>
  <c r="AP42" i="2"/>
  <c r="AU42" i="2" s="1"/>
  <c r="AJ13" i="2"/>
  <c r="AR13" i="2" s="1"/>
  <c r="AK13" i="2"/>
  <c r="AL13" i="2"/>
  <c r="AS13" i="2" s="1"/>
  <c r="AM13" i="2"/>
  <c r="AN13" i="2"/>
  <c r="AT13" i="2" s="1"/>
  <c r="AO13" i="2"/>
  <c r="AP13" i="2"/>
  <c r="AU13" i="2" s="1"/>
  <c r="AJ18" i="2"/>
  <c r="AR18" i="2" s="1"/>
  <c r="AK18" i="2"/>
  <c r="AL18" i="2"/>
  <c r="AS18" i="2" s="1"/>
  <c r="AM18" i="2"/>
  <c r="AN18" i="2"/>
  <c r="AT18" i="2" s="1"/>
  <c r="AO18" i="2"/>
  <c r="AP18" i="2"/>
  <c r="AU18" i="2" s="1"/>
  <c r="AJ28" i="2"/>
  <c r="AR28" i="2" s="1"/>
  <c r="AK28" i="2"/>
  <c r="AL28" i="2"/>
  <c r="AS28" i="2" s="1"/>
  <c r="AM28" i="2"/>
  <c r="AN28" i="2"/>
  <c r="AT28" i="2" s="1"/>
  <c r="AO28" i="2"/>
  <c r="AP28" i="2"/>
  <c r="AU28" i="2" s="1"/>
  <c r="AJ45" i="2"/>
  <c r="AR45" i="2" s="1"/>
  <c r="AK45" i="2"/>
  <c r="AL45" i="2"/>
  <c r="AS45" i="2" s="1"/>
  <c r="AM45" i="2"/>
  <c r="AN45" i="2"/>
  <c r="AT45" i="2" s="1"/>
  <c r="AO45" i="2"/>
  <c r="AP45" i="2"/>
  <c r="AU45" i="2" s="1"/>
  <c r="AJ14" i="2"/>
  <c r="AR14" i="2" s="1"/>
  <c r="AK14" i="2"/>
  <c r="AL14" i="2"/>
  <c r="AS14" i="2" s="1"/>
  <c r="AM14" i="2"/>
  <c r="AN14" i="2"/>
  <c r="AT14" i="2" s="1"/>
  <c r="AO14" i="2"/>
  <c r="AP14" i="2"/>
  <c r="AU14" i="2" s="1"/>
  <c r="AJ21" i="2"/>
  <c r="AR21" i="2" s="1"/>
  <c r="AK21" i="2"/>
  <c r="AL21" i="2"/>
  <c r="AS21" i="2" s="1"/>
  <c r="AM21" i="2"/>
  <c r="AN21" i="2"/>
  <c r="AT21" i="2" s="1"/>
  <c r="AO21" i="2"/>
  <c r="AP21" i="2"/>
  <c r="AU21" i="2" s="1"/>
  <c r="AJ32" i="2"/>
  <c r="AR32" i="2" s="1"/>
  <c r="AK32" i="2"/>
  <c r="AL32" i="2"/>
  <c r="AS32" i="2" s="1"/>
  <c r="AM32" i="2"/>
  <c r="AN32" i="2"/>
  <c r="AT32" i="2" s="1"/>
  <c r="AO32" i="2"/>
  <c r="AP32" i="2"/>
  <c r="AU32" i="2" s="1"/>
  <c r="AJ46" i="2"/>
  <c r="AR46" i="2" s="1"/>
  <c r="AK46" i="2"/>
  <c r="AL46" i="2"/>
  <c r="AS46" i="2" s="1"/>
  <c r="AM46" i="2"/>
  <c r="AN46" i="2"/>
  <c r="AT46" i="2" s="1"/>
  <c r="AO46" i="2"/>
  <c r="AP46" i="2"/>
  <c r="AU46" i="2" s="1"/>
  <c r="AJ2" i="2"/>
  <c r="AR2" i="2" s="1"/>
  <c r="AK2" i="2"/>
  <c r="AL2" i="2"/>
  <c r="AS2" i="2" s="1"/>
  <c r="AM2" i="2"/>
  <c r="AN2" i="2"/>
  <c r="AT2" i="2" s="1"/>
  <c r="AO2" i="2"/>
  <c r="AP2" i="2"/>
  <c r="AU2" i="2" s="1"/>
  <c r="AJ17" i="2"/>
  <c r="AR17" i="2" s="1"/>
  <c r="AK17" i="2"/>
  <c r="AL17" i="2"/>
  <c r="AS17" i="2" s="1"/>
  <c r="AM17" i="2"/>
  <c r="AN17" i="2"/>
  <c r="AT17" i="2" s="1"/>
  <c r="AO17" i="2"/>
  <c r="AP17" i="2"/>
  <c r="AU17" i="2" s="1"/>
  <c r="AJ25" i="2"/>
  <c r="AR25" i="2" s="1"/>
  <c r="AK25" i="2"/>
  <c r="AL25" i="2"/>
  <c r="AS25" i="2" s="1"/>
  <c r="AM25" i="2"/>
  <c r="AN25" i="2"/>
  <c r="AT25" i="2" s="1"/>
  <c r="AO25" i="2"/>
  <c r="AP25" i="2"/>
  <c r="AU25" i="2" s="1"/>
  <c r="AJ35" i="2"/>
  <c r="AR35" i="2" s="1"/>
  <c r="AK35" i="2"/>
  <c r="AL35" i="2"/>
  <c r="AS35" i="2" s="1"/>
  <c r="AM35" i="2"/>
  <c r="AN35" i="2"/>
  <c r="AT35" i="2" s="1"/>
  <c r="AO35" i="2"/>
  <c r="AP35" i="2"/>
  <c r="AU35" i="2" s="1"/>
  <c r="AJ47" i="2"/>
  <c r="AR47" i="2" s="1"/>
  <c r="AK47" i="2"/>
  <c r="AL47" i="2"/>
  <c r="AS47" i="2" s="1"/>
  <c r="AM47" i="2"/>
  <c r="AN47" i="2"/>
  <c r="AT47" i="2" s="1"/>
  <c r="AO47" i="2"/>
  <c r="AP47" i="2"/>
  <c r="AU47" i="2" s="1"/>
  <c r="AJ3" i="2"/>
  <c r="AR3" i="2" s="1"/>
  <c r="AK3" i="2"/>
  <c r="AL3" i="2"/>
  <c r="AS3" i="2" s="1"/>
  <c r="AM3" i="2"/>
  <c r="AN3" i="2"/>
  <c r="AT3" i="2" s="1"/>
  <c r="AO3" i="2"/>
  <c r="AP3" i="2"/>
  <c r="AU3" i="2" s="1"/>
  <c r="AJ20" i="2"/>
  <c r="AR20" i="2" s="1"/>
  <c r="AK20" i="2"/>
  <c r="AL20" i="2"/>
  <c r="AS20" i="2" s="1"/>
  <c r="AM20" i="2"/>
  <c r="AN20" i="2"/>
  <c r="AT20" i="2" s="1"/>
  <c r="AO20" i="2"/>
  <c r="AP20" i="2"/>
  <c r="AU20" i="2" s="1"/>
  <c r="AJ29" i="2"/>
  <c r="AR29" i="2" s="1"/>
  <c r="AK29" i="2"/>
  <c r="AL29" i="2"/>
  <c r="AS29" i="2" s="1"/>
  <c r="AM29" i="2"/>
  <c r="AN29" i="2"/>
  <c r="AT29" i="2" s="1"/>
  <c r="AO29" i="2"/>
  <c r="AP29" i="2"/>
  <c r="AU29" i="2" s="1"/>
  <c r="AJ37" i="2"/>
  <c r="AR37" i="2" s="1"/>
  <c r="AK37" i="2"/>
  <c r="AL37" i="2"/>
  <c r="AS37" i="2" s="1"/>
  <c r="AM37" i="2"/>
  <c r="AN37" i="2"/>
  <c r="AT37" i="2" s="1"/>
  <c r="AO37" i="2"/>
  <c r="AP37" i="2"/>
  <c r="AU37" i="2" s="1"/>
  <c r="AJ48" i="2"/>
  <c r="AR48" i="2" s="1"/>
  <c r="AK48" i="2"/>
  <c r="AL48" i="2"/>
  <c r="AS48" i="2" s="1"/>
  <c r="AM48" i="2"/>
  <c r="AN48" i="2"/>
  <c r="AT48" i="2" s="1"/>
  <c r="AO48" i="2"/>
  <c r="AP48" i="2"/>
  <c r="AU48" i="2" s="1"/>
  <c r="AJ4" i="2"/>
  <c r="AR4" i="2" s="1"/>
  <c r="AK4" i="2"/>
  <c r="AL4" i="2"/>
  <c r="AS4" i="2" s="1"/>
  <c r="AM4" i="2"/>
  <c r="AN4" i="2"/>
  <c r="AT4" i="2" s="1"/>
  <c r="AO4" i="2"/>
  <c r="AP4" i="2"/>
  <c r="AU4" i="2" s="1"/>
  <c r="AJ22" i="2"/>
  <c r="AR22" i="2" s="1"/>
  <c r="AK22" i="2"/>
  <c r="AL22" i="2"/>
  <c r="AS22" i="2" s="1"/>
  <c r="AM22" i="2"/>
  <c r="AN22" i="2"/>
  <c r="AT22" i="2" s="1"/>
  <c r="AO22" i="2"/>
  <c r="AP22" i="2"/>
  <c r="AU22" i="2" s="1"/>
  <c r="AJ31" i="2"/>
  <c r="AR31" i="2" s="1"/>
  <c r="AK31" i="2"/>
  <c r="AL31" i="2"/>
  <c r="AS31" i="2" s="1"/>
  <c r="AM31" i="2"/>
  <c r="AN31" i="2"/>
  <c r="AT31" i="2" s="1"/>
  <c r="AO31" i="2"/>
  <c r="AP31" i="2"/>
  <c r="AU31" i="2" s="1"/>
  <c r="AJ39" i="2"/>
  <c r="AR39" i="2" s="1"/>
  <c r="AK39" i="2"/>
  <c r="AL39" i="2"/>
  <c r="AS39" i="2" s="1"/>
  <c r="AM39" i="2"/>
  <c r="AN39" i="2"/>
  <c r="AT39" i="2" s="1"/>
  <c r="AO39" i="2"/>
  <c r="AP39" i="2"/>
  <c r="AU39" i="2" s="1"/>
  <c r="AJ49" i="2"/>
  <c r="AR49" i="2" s="1"/>
  <c r="AK49" i="2"/>
  <c r="AL49" i="2"/>
  <c r="AS49" i="2" s="1"/>
  <c r="AM49" i="2"/>
  <c r="AN49" i="2"/>
  <c r="AT49" i="2" s="1"/>
  <c r="AO49" i="2"/>
  <c r="AP49" i="2"/>
  <c r="AU49" i="2" s="1"/>
  <c r="AJ5" i="2"/>
  <c r="AR5" i="2" s="1"/>
  <c r="AK5" i="2"/>
  <c r="AL5" i="2"/>
  <c r="AS5" i="2" s="1"/>
  <c r="AM5" i="2"/>
  <c r="AN5" i="2"/>
  <c r="AT5" i="2" s="1"/>
  <c r="AO5" i="2"/>
  <c r="AP5" i="2"/>
  <c r="AU5" i="2" s="1"/>
  <c r="AJ26" i="2"/>
  <c r="AR26" i="2" s="1"/>
  <c r="AK26" i="2"/>
  <c r="AL26" i="2"/>
  <c r="AS26" i="2" s="1"/>
  <c r="AM26" i="2"/>
  <c r="AN26" i="2"/>
  <c r="AT26" i="2" s="1"/>
  <c r="AO26" i="2"/>
  <c r="AP26" i="2"/>
  <c r="AU26" i="2" s="1"/>
  <c r="AJ33" i="2"/>
  <c r="AR33" i="2" s="1"/>
  <c r="AK33" i="2"/>
  <c r="AL33" i="2"/>
  <c r="AS33" i="2" s="1"/>
  <c r="AM33" i="2"/>
  <c r="AN33" i="2"/>
  <c r="AT33" i="2" s="1"/>
  <c r="AO33" i="2"/>
  <c r="AP33" i="2"/>
  <c r="AU33" i="2" s="1"/>
  <c r="AJ40" i="2"/>
  <c r="AR40" i="2" s="1"/>
  <c r="AK40" i="2"/>
  <c r="AL40" i="2"/>
  <c r="AS40" i="2" s="1"/>
  <c r="AM40" i="2"/>
  <c r="AN40" i="2"/>
  <c r="AT40" i="2" s="1"/>
  <c r="AO40" i="2"/>
  <c r="AP40" i="2"/>
  <c r="AU40" i="2" s="1"/>
  <c r="AJ50" i="2"/>
  <c r="AR50" i="2" s="1"/>
  <c r="AK50" i="2"/>
  <c r="AL50" i="2"/>
  <c r="AS50" i="2" s="1"/>
  <c r="AM50" i="2"/>
  <c r="AN50" i="2"/>
  <c r="AT50" i="2" s="1"/>
  <c r="AO50" i="2"/>
  <c r="AP50" i="2"/>
  <c r="AU50" i="2" s="1"/>
  <c r="AJ6" i="2"/>
  <c r="AR6" i="2" s="1"/>
  <c r="AK6" i="2"/>
  <c r="AL6" i="2"/>
  <c r="AS6" i="2" s="1"/>
  <c r="AM6" i="2"/>
  <c r="AN6" i="2"/>
  <c r="AT6" i="2" s="1"/>
  <c r="AO6" i="2"/>
  <c r="AP6" i="2"/>
  <c r="AU6" i="2" s="1"/>
  <c r="AJ30" i="2"/>
  <c r="AR30" i="2" s="1"/>
  <c r="AK30" i="2"/>
  <c r="AL30" i="2"/>
  <c r="AS30" i="2" s="1"/>
  <c r="AM30" i="2"/>
  <c r="AN30" i="2"/>
  <c r="AT30" i="2" s="1"/>
  <c r="AO30" i="2"/>
  <c r="AP30" i="2"/>
  <c r="AU30" i="2" s="1"/>
  <c r="AJ36" i="2"/>
  <c r="AR36" i="2" s="1"/>
  <c r="AK36" i="2"/>
  <c r="AL36" i="2"/>
  <c r="AS36" i="2" s="1"/>
  <c r="AM36" i="2"/>
  <c r="AN36" i="2"/>
  <c r="AT36" i="2" s="1"/>
  <c r="AO36" i="2"/>
  <c r="AP36" i="2"/>
  <c r="AU36" i="2" s="1"/>
  <c r="AJ43" i="2"/>
  <c r="AR43" i="2" s="1"/>
  <c r="AK43" i="2"/>
  <c r="AL43" i="2"/>
  <c r="AS43" i="2" s="1"/>
  <c r="AM43" i="2"/>
  <c r="AN43" i="2"/>
  <c r="AT43" i="2" s="1"/>
  <c r="AO43" i="2"/>
  <c r="AP43" i="2"/>
  <c r="AU43" i="2" s="1"/>
  <c r="AJ51" i="2"/>
  <c r="AR51" i="2" s="1"/>
  <c r="AK51" i="2"/>
  <c r="AL51" i="2"/>
  <c r="AS51" i="2" s="1"/>
  <c r="AM51" i="2"/>
  <c r="AN51" i="2"/>
  <c r="AT51" i="2" s="1"/>
  <c r="AO51" i="2"/>
  <c r="AP51" i="2"/>
  <c r="AU51" i="2" s="1"/>
  <c r="AJ8" i="2"/>
  <c r="AR8" i="2" s="1"/>
  <c r="AK8" i="2"/>
  <c r="AL8" i="2"/>
  <c r="AS8" i="2" s="1"/>
  <c r="AM8" i="2"/>
  <c r="AN8" i="2"/>
  <c r="AT8" i="2" s="1"/>
  <c r="AO8" i="2"/>
  <c r="AP8" i="2"/>
  <c r="AU8" i="2" s="1"/>
  <c r="AP7" i="2"/>
  <c r="AU7" i="2" s="1"/>
  <c r="AO7" i="2"/>
  <c r="AJ7" i="2"/>
  <c r="AR7" i="2" s="1"/>
  <c r="AN7" i="2"/>
  <c r="AT7" i="2" s="1"/>
  <c r="AM7" i="2"/>
  <c r="AL7" i="2"/>
  <c r="AS7" i="2" s="1"/>
  <c r="AK7" i="2"/>
  <c r="AB3" i="2"/>
  <c r="AC3" i="2"/>
  <c r="AD3" i="2"/>
  <c r="AE3" i="2"/>
  <c r="AF3" i="2"/>
  <c r="AG3" i="2"/>
  <c r="AH3" i="2"/>
  <c r="AB4" i="2"/>
  <c r="AC4" i="2"/>
  <c r="AD4" i="2"/>
  <c r="AE4" i="2"/>
  <c r="AF4" i="2"/>
  <c r="AG4" i="2"/>
  <c r="AH4" i="2"/>
  <c r="AB5" i="2"/>
  <c r="AC5" i="2"/>
  <c r="AD5" i="2"/>
  <c r="AE5" i="2"/>
  <c r="AF5" i="2"/>
  <c r="AG5" i="2"/>
  <c r="AH5" i="2"/>
  <c r="AB6" i="2"/>
  <c r="AC6" i="2"/>
  <c r="AD6" i="2"/>
  <c r="AE6" i="2"/>
  <c r="AF6" i="2"/>
  <c r="AG6" i="2"/>
  <c r="AH6" i="2"/>
  <c r="AB7" i="2"/>
  <c r="AC7" i="2"/>
  <c r="AD7" i="2"/>
  <c r="AE7" i="2"/>
  <c r="AF7" i="2"/>
  <c r="AG7" i="2"/>
  <c r="AH7" i="2"/>
  <c r="AB8" i="2"/>
  <c r="AC8" i="2"/>
  <c r="AD8" i="2"/>
  <c r="AE8" i="2"/>
  <c r="AF8" i="2"/>
  <c r="AG8" i="2"/>
  <c r="AH8" i="2"/>
  <c r="AB9" i="2"/>
  <c r="AC9" i="2"/>
  <c r="AD9" i="2"/>
  <c r="AE9" i="2"/>
  <c r="AF9" i="2"/>
  <c r="AG9" i="2"/>
  <c r="AH9" i="2"/>
  <c r="AB10" i="2"/>
  <c r="AC10" i="2"/>
  <c r="AD10" i="2"/>
  <c r="AE10" i="2"/>
  <c r="AF10" i="2"/>
  <c r="AG10" i="2"/>
  <c r="AH10" i="2"/>
  <c r="AB11" i="2"/>
  <c r="AC11" i="2"/>
  <c r="AD11" i="2"/>
  <c r="AE11" i="2"/>
  <c r="AF11" i="2"/>
  <c r="AG11" i="2"/>
  <c r="AH11" i="2"/>
  <c r="AB12" i="2"/>
  <c r="AC12" i="2"/>
  <c r="AD12" i="2"/>
  <c r="AE12" i="2"/>
  <c r="AF12" i="2"/>
  <c r="AG12" i="2"/>
  <c r="AH12" i="2"/>
  <c r="AB13" i="2"/>
  <c r="AC13" i="2"/>
  <c r="AD13" i="2"/>
  <c r="AE13" i="2"/>
  <c r="AF13" i="2"/>
  <c r="AG13" i="2"/>
  <c r="AH13" i="2"/>
  <c r="AB14" i="2"/>
  <c r="AC14" i="2"/>
  <c r="AD14" i="2"/>
  <c r="AE14" i="2"/>
  <c r="AF14" i="2"/>
  <c r="AG14" i="2"/>
  <c r="AH14" i="2"/>
  <c r="AB15" i="2"/>
  <c r="AC15" i="2"/>
  <c r="AD15" i="2"/>
  <c r="AE15" i="2"/>
  <c r="AF15" i="2"/>
  <c r="AG15" i="2"/>
  <c r="AH15" i="2"/>
  <c r="AB16" i="2"/>
  <c r="AC16" i="2"/>
  <c r="AD16" i="2"/>
  <c r="AE16" i="2"/>
  <c r="AF16" i="2"/>
  <c r="AG16" i="2"/>
  <c r="AH16" i="2"/>
  <c r="AB17" i="2"/>
  <c r="AC17" i="2"/>
  <c r="AD17" i="2"/>
  <c r="AE17" i="2"/>
  <c r="AF17" i="2"/>
  <c r="AG17" i="2"/>
  <c r="AH17" i="2"/>
  <c r="AB18" i="2"/>
  <c r="AC18" i="2"/>
  <c r="AD18" i="2"/>
  <c r="AE18" i="2"/>
  <c r="AF18" i="2"/>
  <c r="AG18" i="2"/>
  <c r="AH18" i="2"/>
  <c r="AB19" i="2"/>
  <c r="AC19" i="2"/>
  <c r="AD19" i="2"/>
  <c r="AE19" i="2"/>
  <c r="AF19" i="2"/>
  <c r="AG19" i="2"/>
  <c r="AH19" i="2"/>
  <c r="AB20" i="2"/>
  <c r="AC20" i="2"/>
  <c r="AD20" i="2"/>
  <c r="AE20" i="2"/>
  <c r="AF20" i="2"/>
  <c r="AG20" i="2"/>
  <c r="AH20" i="2"/>
  <c r="AB21" i="2"/>
  <c r="AC21" i="2"/>
  <c r="AD21" i="2"/>
  <c r="AE21" i="2"/>
  <c r="AF21" i="2"/>
  <c r="AG21" i="2"/>
  <c r="AH21" i="2"/>
  <c r="AB22" i="2"/>
  <c r="AC22" i="2"/>
  <c r="AD22" i="2"/>
  <c r="AE22" i="2"/>
  <c r="AF22" i="2"/>
  <c r="AG22" i="2"/>
  <c r="AH22" i="2"/>
  <c r="AB23" i="2"/>
  <c r="AC23" i="2"/>
  <c r="AD23" i="2"/>
  <c r="AE23" i="2"/>
  <c r="AF23" i="2"/>
  <c r="AG23" i="2"/>
  <c r="AH23" i="2"/>
  <c r="AB24" i="2"/>
  <c r="AC24" i="2"/>
  <c r="AD24" i="2"/>
  <c r="AE24" i="2"/>
  <c r="AF24" i="2"/>
  <c r="AG24" i="2"/>
  <c r="AH24" i="2"/>
  <c r="AB25" i="2"/>
  <c r="AC25" i="2"/>
  <c r="AD25" i="2"/>
  <c r="AE25" i="2"/>
  <c r="AF25" i="2"/>
  <c r="AG25" i="2"/>
  <c r="AH25" i="2"/>
  <c r="AB26" i="2"/>
  <c r="AC26" i="2"/>
  <c r="AD26" i="2"/>
  <c r="AE26" i="2"/>
  <c r="AF26" i="2"/>
  <c r="AG26" i="2"/>
  <c r="AH26" i="2"/>
  <c r="AB27" i="2"/>
  <c r="AC27" i="2"/>
  <c r="AD27" i="2"/>
  <c r="AE27" i="2"/>
  <c r="AF27" i="2"/>
  <c r="AG27" i="2"/>
  <c r="AH27" i="2"/>
  <c r="AB28" i="2"/>
  <c r="AC28" i="2"/>
  <c r="AD28" i="2"/>
  <c r="AE28" i="2"/>
  <c r="AF28" i="2"/>
  <c r="AG28" i="2"/>
  <c r="AH28" i="2"/>
  <c r="AB29" i="2"/>
  <c r="AC29" i="2"/>
  <c r="AD29" i="2"/>
  <c r="AE29" i="2"/>
  <c r="AF29" i="2"/>
  <c r="AG29" i="2"/>
  <c r="AH29" i="2"/>
  <c r="AB30" i="2"/>
  <c r="AC30" i="2"/>
  <c r="AD30" i="2"/>
  <c r="AE30" i="2"/>
  <c r="AF30" i="2"/>
  <c r="AG30" i="2"/>
  <c r="AH30" i="2"/>
  <c r="AB31" i="2"/>
  <c r="AC31" i="2"/>
  <c r="AD31" i="2"/>
  <c r="AE31" i="2"/>
  <c r="AF31" i="2"/>
  <c r="AG31" i="2"/>
  <c r="AH31" i="2"/>
  <c r="AB32" i="2"/>
  <c r="AC32" i="2"/>
  <c r="AD32" i="2"/>
  <c r="AE32" i="2"/>
  <c r="AF32" i="2"/>
  <c r="AG32" i="2"/>
  <c r="AH32" i="2"/>
  <c r="AB33" i="2"/>
  <c r="AC33" i="2"/>
  <c r="AD33" i="2"/>
  <c r="AE33" i="2"/>
  <c r="AF33" i="2"/>
  <c r="AG33" i="2"/>
  <c r="AH33" i="2"/>
  <c r="AB34" i="2"/>
  <c r="AC34" i="2"/>
  <c r="AD34" i="2"/>
  <c r="AE34" i="2"/>
  <c r="AF34" i="2"/>
  <c r="AG34" i="2"/>
  <c r="AH34" i="2"/>
  <c r="AB35" i="2"/>
  <c r="AC35" i="2"/>
  <c r="AD35" i="2"/>
  <c r="AE35" i="2"/>
  <c r="AF35" i="2"/>
  <c r="AG35" i="2"/>
  <c r="AH35" i="2"/>
  <c r="AB36" i="2"/>
  <c r="AC36" i="2"/>
  <c r="AD36" i="2"/>
  <c r="AE36" i="2"/>
  <c r="AF36" i="2"/>
  <c r="AG36" i="2"/>
  <c r="AH36" i="2"/>
  <c r="AB37" i="2"/>
  <c r="AC37" i="2"/>
  <c r="AD37" i="2"/>
  <c r="AE37" i="2"/>
  <c r="AF37" i="2"/>
  <c r="AG37" i="2"/>
  <c r="AH37" i="2"/>
  <c r="AB38" i="2"/>
  <c r="AC38" i="2"/>
  <c r="AD38" i="2"/>
  <c r="AE38" i="2"/>
  <c r="AF38" i="2"/>
  <c r="AG38" i="2"/>
  <c r="AH38" i="2"/>
  <c r="AB39" i="2"/>
  <c r="AC39" i="2"/>
  <c r="AD39" i="2"/>
  <c r="AE39" i="2"/>
  <c r="AF39" i="2"/>
  <c r="AG39" i="2"/>
  <c r="AH39" i="2"/>
  <c r="AB40" i="2"/>
  <c r="AC40" i="2"/>
  <c r="AD40" i="2"/>
  <c r="AE40" i="2"/>
  <c r="AF40" i="2"/>
  <c r="AG40" i="2"/>
  <c r="AH40" i="2"/>
  <c r="AB41" i="2"/>
  <c r="AC41" i="2"/>
  <c r="AD41" i="2"/>
  <c r="AE41" i="2"/>
  <c r="AF41" i="2"/>
  <c r="AG41" i="2"/>
  <c r="AH41" i="2"/>
  <c r="AB42" i="2"/>
  <c r="AC42" i="2"/>
  <c r="AD42" i="2"/>
  <c r="AE42" i="2"/>
  <c r="AF42" i="2"/>
  <c r="AG42" i="2"/>
  <c r="AH42" i="2"/>
  <c r="AB43" i="2"/>
  <c r="AC43" i="2"/>
  <c r="AD43" i="2"/>
  <c r="AE43" i="2"/>
  <c r="AF43" i="2"/>
  <c r="AG43" i="2"/>
  <c r="AH43" i="2"/>
  <c r="AB44" i="2"/>
  <c r="AC44" i="2"/>
  <c r="AD44" i="2"/>
  <c r="AE44" i="2"/>
  <c r="AF44" i="2"/>
  <c r="AG44" i="2"/>
  <c r="AH44" i="2"/>
  <c r="AB45" i="2"/>
  <c r="AC45" i="2"/>
  <c r="AD45" i="2"/>
  <c r="AE45" i="2"/>
  <c r="AF45" i="2"/>
  <c r="AG45" i="2"/>
  <c r="AH45" i="2"/>
  <c r="AB46" i="2"/>
  <c r="AC46" i="2"/>
  <c r="AD46" i="2"/>
  <c r="AE46" i="2"/>
  <c r="AF46" i="2"/>
  <c r="AG46" i="2"/>
  <c r="AH46" i="2"/>
  <c r="AB47" i="2"/>
  <c r="AC47" i="2"/>
  <c r="AD47" i="2"/>
  <c r="AE47" i="2"/>
  <c r="AF47" i="2"/>
  <c r="AG47" i="2"/>
  <c r="AH47" i="2"/>
  <c r="AB48" i="2"/>
  <c r="AC48" i="2"/>
  <c r="AD48" i="2"/>
  <c r="AE48" i="2"/>
  <c r="AF48" i="2"/>
  <c r="AG48" i="2"/>
  <c r="AH48" i="2"/>
  <c r="AB49" i="2"/>
  <c r="AC49" i="2"/>
  <c r="AD49" i="2"/>
  <c r="AE49" i="2"/>
  <c r="AF49" i="2"/>
  <c r="AG49" i="2"/>
  <c r="AH49" i="2"/>
  <c r="AB50" i="2"/>
  <c r="AC50" i="2"/>
  <c r="AD50" i="2"/>
  <c r="AE50" i="2"/>
  <c r="AF50" i="2"/>
  <c r="AG50" i="2"/>
  <c r="AH50" i="2"/>
  <c r="AB51" i="2"/>
  <c r="AC51" i="2"/>
  <c r="AD51" i="2"/>
  <c r="AE51" i="2"/>
  <c r="AF51" i="2"/>
  <c r="AG51" i="2"/>
  <c r="AH51" i="2"/>
  <c r="AB2" i="2"/>
  <c r="AC2" i="2"/>
  <c r="AD2" i="2"/>
  <c r="AE2" i="2"/>
  <c r="AF2" i="2"/>
  <c r="AG2" i="2"/>
  <c r="AH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5E7EA0-6A65-4D9F-BC32-E670A469F32D}" keepAlive="1" name="Zapytanie — mnist cnn all" description="Połączenie z zapytaniem „mnist cnn all” w skoroszycie." type="5" refreshedVersion="8" background="1" saveData="1">
    <dbPr connection="Provider=Microsoft.Mashup.OleDb.1;Data Source=$Workbook$;Location=&quot;mnist cnn all&quot;;Extended Properties=&quot;&quot;" command="SELECT * FROM [mnist cnn all]"/>
  </connection>
</connections>
</file>

<file path=xl/sharedStrings.xml><?xml version="1.0" encoding="utf-8"?>
<sst xmlns="http://schemas.openxmlformats.org/spreadsheetml/2006/main" count="193" uniqueCount="99">
  <si>
    <t>dataset_name</t>
  </si>
  <si>
    <t>kan_grid 1</t>
  </si>
  <si>
    <t>kan_degree 1</t>
  </si>
  <si>
    <t>kan_lam 1</t>
  </si>
  <si>
    <t>kan_width 1</t>
  </si>
  <si>
    <t>kan_params</t>
  </si>
  <si>
    <t>kan_time_difference</t>
  </si>
  <si>
    <t>kan_steps</t>
  </si>
  <si>
    <t>kan_train_acc</t>
  </si>
  <si>
    <t>kan_val_acc</t>
  </si>
  <si>
    <t>kan_test_acc</t>
  </si>
  <si>
    <t>mlp_test_acc</t>
  </si>
  <si>
    <t>mlp_val_acc</t>
  </si>
  <si>
    <t>mlp_train_acc</t>
  </si>
  <si>
    <t>mlp_steps</t>
  </si>
  <si>
    <t>time_difference mlp1</t>
  </si>
  <si>
    <t>mlp_params</t>
  </si>
  <si>
    <t>width_layers</t>
  </si>
  <si>
    <t>mlp2_test_acc</t>
  </si>
  <si>
    <t>mlp2_val_acc</t>
  </si>
  <si>
    <t>mlp2_train_acc</t>
  </si>
  <si>
    <t>mlp2_steps</t>
  </si>
  <si>
    <t>mlp 2 time difference</t>
  </si>
  <si>
    <t>mlp2_params</t>
  </si>
  <si>
    <t>width_layers2</t>
  </si>
  <si>
    <t>delme</t>
  </si>
  <si>
    <t>Mnist</t>
  </si>
  <si>
    <t>[3136, 10, 10]</t>
  </si>
  <si>
    <t>Mnist320[3136, 10, 10]</t>
  </si>
  <si>
    <t>[3136, 15, 10]</t>
  </si>
  <si>
    <t>Mnist320[3136, 15, 10]</t>
  </si>
  <si>
    <t>[3136, 24, 10]</t>
  </si>
  <si>
    <t>Mnist320[3136, 24, 10]</t>
  </si>
  <si>
    <t>Mnist330[3136, 10, 10]</t>
  </si>
  <si>
    <t>Mnist330[3136, 15, 10]</t>
  </si>
  <si>
    <t>Mnist330[3136, 24, 10]</t>
  </si>
  <si>
    <t>Mnist340[3136, 10, 10]</t>
  </si>
  <si>
    <t>Mnist340[3136, 15, 10]</t>
  </si>
  <si>
    <t>Mnist340[3136, 24, 10]</t>
  </si>
  <si>
    <t>Mnist350[3136, 10, 10]</t>
  </si>
  <si>
    <t>Mnist350[3136, 15, 10]</t>
  </si>
  <si>
    <t>Mnist350[3136, 24, 10]</t>
  </si>
  <si>
    <t>Mnist520[3136, 10, 10]</t>
  </si>
  <si>
    <t>[3136, 12, 10]</t>
  </si>
  <si>
    <t>Mnist520[3136, 12, 10]</t>
  </si>
  <si>
    <t>Mnist520[3136, 15, 10]</t>
  </si>
  <si>
    <t>Mnist520[3136, 24, 10]</t>
  </si>
  <si>
    <t>Mnist530[3136, 10, 10]</t>
  </si>
  <si>
    <t>Mnist530[3136, 12, 10]</t>
  </si>
  <si>
    <t>Mnist530[3136, 15, 10]</t>
  </si>
  <si>
    <t>Mnist530[3136, 24, 10]</t>
  </si>
  <si>
    <t>Mnist540[3136, 10, 10]</t>
  </si>
  <si>
    <t>Mnist540[3136, 12, 10]</t>
  </si>
  <si>
    <t>Mnist540[3136, 15, 10]</t>
  </si>
  <si>
    <t>Mnist540[3136, 24, 10]</t>
  </si>
  <si>
    <t>[3136, 5, 10]</t>
  </si>
  <si>
    <t>Mnist540[3136, 5, 10]</t>
  </si>
  <si>
    <t>Mnist550[3136, 10, 10]</t>
  </si>
  <si>
    <t>Mnist550[3136, 12, 10]</t>
  </si>
  <si>
    <t>Mnist550[3136, 15, 10]</t>
  </si>
  <si>
    <t>Mnist550[3136, 24, 10]</t>
  </si>
  <si>
    <t>Mnist550[3136, 5, 10]</t>
  </si>
  <si>
    <t>Mnist920[3136, 10, 10]</t>
  </si>
  <si>
    <t>Mnist920[3136, 12, 10]</t>
  </si>
  <si>
    <t>Mnist920[3136, 15, 10]</t>
  </si>
  <si>
    <t>Mnist920[3136, 24, 10]</t>
  </si>
  <si>
    <t>Mnist920[3136, 5, 10]</t>
  </si>
  <si>
    <t>Mnist930[3136, 10, 10]</t>
  </si>
  <si>
    <t>Mnist930[3136, 12, 10]</t>
  </si>
  <si>
    <t>Mnist930[3136, 15, 10]</t>
  </si>
  <si>
    <t>Mnist930[3136, 24, 10]</t>
  </si>
  <si>
    <t>Mnist930[3136, 5, 10]</t>
  </si>
  <si>
    <t>Mnist940[3136, 10, 10]</t>
  </si>
  <si>
    <t>Mnist940[3136, 12, 10]</t>
  </si>
  <si>
    <t>Mnist940[3136, 15, 10]</t>
  </si>
  <si>
    <t>Mnist940[3136, 24, 10]</t>
  </si>
  <si>
    <t>Mnist940[3136, 5, 10]</t>
  </si>
  <si>
    <t>Mnist950[3136, 10, 10]</t>
  </si>
  <si>
    <t>Mnist950[3136, 12, 10]</t>
  </si>
  <si>
    <t>Mnist950[3136, 15, 10]</t>
  </si>
  <si>
    <t>Mnist950[3136, 24, 10]</t>
  </si>
  <si>
    <t>Mnist950[3136, 5, 10]</t>
  </si>
  <si>
    <t>parametry</t>
  </si>
  <si>
    <t>kan train</t>
  </si>
  <si>
    <t>kan val</t>
  </si>
  <si>
    <t>kan test</t>
  </si>
  <si>
    <t>mlp test</t>
  </si>
  <si>
    <t>mlp val</t>
  </si>
  <si>
    <t>mlp train</t>
  </si>
  <si>
    <t>MLP min time</t>
  </si>
  <si>
    <t>MLP min steps</t>
  </si>
  <si>
    <t>KAN time</t>
  </si>
  <si>
    <t>KAN steps</t>
  </si>
  <si>
    <t>parameters</t>
  </si>
  <si>
    <t>MLP max steps</t>
  </si>
  <si>
    <t>MLP max time</t>
  </si>
  <si>
    <t>KAN</t>
  </si>
  <si>
    <t>MLP min</t>
  </si>
  <si>
    <t>MLP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</si>
</sst>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'mnist cnn all'!$AS$1</c:f>
              <c:strCache>
                <c:ptCount val="1"/>
                <c:pt idx="0">
                  <c:v>KAN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'mnist cnn all'!$AR$2:$AR$51</c:f>
              <c:numCache>
                <c:formatCode>General</c:formatCode>
                <c:ptCount val="50"/>
                <c:pt idx="0">
                  <c:v>188775</c:v>
                </c:pt>
                <c:pt idx="1">
                  <c:v>204505</c:v>
                </c:pt>
                <c:pt idx="2">
                  <c:v>220235</c:v>
                </c:pt>
                <c:pt idx="3">
                  <c:v>235965</c:v>
                </c:pt>
                <c:pt idx="4">
                  <c:v>251695</c:v>
                </c:pt>
                <c:pt idx="5">
                  <c:v>251700</c:v>
                </c:pt>
                <c:pt idx="6">
                  <c:v>267425</c:v>
                </c:pt>
                <c:pt idx="7">
                  <c:v>283160</c:v>
                </c:pt>
                <c:pt idx="8">
                  <c:v>314620</c:v>
                </c:pt>
                <c:pt idx="9">
                  <c:v>314620</c:v>
                </c:pt>
                <c:pt idx="10">
                  <c:v>346080</c:v>
                </c:pt>
                <c:pt idx="11">
                  <c:v>346080</c:v>
                </c:pt>
                <c:pt idx="12">
                  <c:v>377540</c:v>
                </c:pt>
                <c:pt idx="13">
                  <c:v>377542</c:v>
                </c:pt>
                <c:pt idx="14">
                  <c:v>377545</c:v>
                </c:pt>
                <c:pt idx="15">
                  <c:v>409000</c:v>
                </c:pt>
                <c:pt idx="16">
                  <c:v>415294</c:v>
                </c:pt>
                <c:pt idx="17">
                  <c:v>424735</c:v>
                </c:pt>
                <c:pt idx="18">
                  <c:v>440460</c:v>
                </c:pt>
                <c:pt idx="19">
                  <c:v>453046</c:v>
                </c:pt>
                <c:pt idx="20">
                  <c:v>471920</c:v>
                </c:pt>
                <c:pt idx="21">
                  <c:v>471925</c:v>
                </c:pt>
                <c:pt idx="22">
                  <c:v>471925</c:v>
                </c:pt>
                <c:pt idx="23">
                  <c:v>490798</c:v>
                </c:pt>
                <c:pt idx="24">
                  <c:v>503380</c:v>
                </c:pt>
                <c:pt idx="25">
                  <c:v>519115</c:v>
                </c:pt>
                <c:pt idx="26">
                  <c:v>519115</c:v>
                </c:pt>
                <c:pt idx="27">
                  <c:v>528550</c:v>
                </c:pt>
                <c:pt idx="28">
                  <c:v>534840</c:v>
                </c:pt>
                <c:pt idx="29">
                  <c:v>566302</c:v>
                </c:pt>
                <c:pt idx="30">
                  <c:v>566305</c:v>
                </c:pt>
                <c:pt idx="31">
                  <c:v>604054</c:v>
                </c:pt>
                <c:pt idx="32">
                  <c:v>604066</c:v>
                </c:pt>
                <c:pt idx="33">
                  <c:v>613495</c:v>
                </c:pt>
                <c:pt idx="34">
                  <c:v>641806</c:v>
                </c:pt>
                <c:pt idx="35">
                  <c:v>660685</c:v>
                </c:pt>
                <c:pt idx="36">
                  <c:v>679570</c:v>
                </c:pt>
                <c:pt idx="37">
                  <c:v>707875</c:v>
                </c:pt>
                <c:pt idx="38">
                  <c:v>755065</c:v>
                </c:pt>
                <c:pt idx="39">
                  <c:v>755074</c:v>
                </c:pt>
                <c:pt idx="40">
                  <c:v>755074</c:v>
                </c:pt>
                <c:pt idx="41">
                  <c:v>802255</c:v>
                </c:pt>
                <c:pt idx="42">
                  <c:v>830578</c:v>
                </c:pt>
                <c:pt idx="43">
                  <c:v>830578</c:v>
                </c:pt>
                <c:pt idx="44">
                  <c:v>906082</c:v>
                </c:pt>
                <c:pt idx="45">
                  <c:v>981586</c:v>
                </c:pt>
                <c:pt idx="46">
                  <c:v>1057090</c:v>
                </c:pt>
                <c:pt idx="47">
                  <c:v>1132594</c:v>
                </c:pt>
                <c:pt idx="48">
                  <c:v>1208098</c:v>
                </c:pt>
                <c:pt idx="49">
                  <c:v>1283602</c:v>
                </c:pt>
              </c:numCache>
            </c:numRef>
          </c:xVal>
          <c:yVal>
            <c:numRef>
              <c:f>'mnist cnn all'!$AS$2:$AS$51</c:f>
              <c:numCache>
                <c:formatCode>General</c:formatCode>
                <c:ptCount val="50"/>
                <c:pt idx="0">
                  <c:v>16568333.3125</c:v>
                </c:pt>
                <c:pt idx="1">
                  <c:v>16993191.850000001</c:v>
                </c:pt>
                <c:pt idx="2">
                  <c:v>14649459.699999999</c:v>
                </c:pt>
                <c:pt idx="3">
                  <c:v>15349379.975</c:v>
                </c:pt>
                <c:pt idx="4">
                  <c:v>15967039.300000001</c:v>
                </c:pt>
                <c:pt idx="5">
                  <c:v>44077132.033333331</c:v>
                </c:pt>
                <c:pt idx="6">
                  <c:v>18557488.25</c:v>
                </c:pt>
                <c:pt idx="7">
                  <c:v>26370997.266666666</c:v>
                </c:pt>
                <c:pt idx="8">
                  <c:v>20052722.366666667</c:v>
                </c:pt>
                <c:pt idx="9">
                  <c:v>15125579.466666667</c:v>
                </c:pt>
                <c:pt idx="10">
                  <c:v>17609452.733333334</c:v>
                </c:pt>
                <c:pt idx="11">
                  <c:v>16076538.466666667</c:v>
                </c:pt>
                <c:pt idx="12">
                  <c:v>16670541.466666667</c:v>
                </c:pt>
                <c:pt idx="13">
                  <c:v>14870421.85</c:v>
                </c:pt>
                <c:pt idx="14">
                  <c:v>41349317.02941177</c:v>
                </c:pt>
                <c:pt idx="15">
                  <c:v>19387175.066666666</c:v>
                </c:pt>
                <c:pt idx="16">
                  <c:v>15368153.425000001</c:v>
                </c:pt>
                <c:pt idx="17">
                  <c:v>14408156.12857143</c:v>
                </c:pt>
                <c:pt idx="18">
                  <c:v>16947308.766666666</c:v>
                </c:pt>
                <c:pt idx="19">
                  <c:v>16287836.074999999</c:v>
                </c:pt>
                <c:pt idx="20">
                  <c:v>16214586.433333332</c:v>
                </c:pt>
                <c:pt idx="21">
                  <c:v>15314375.085714284</c:v>
                </c:pt>
                <c:pt idx="22">
                  <c:v>14024755.700000001</c:v>
                </c:pt>
                <c:pt idx="23">
                  <c:v>17096090.899999999</c:v>
                </c:pt>
                <c:pt idx="24">
                  <c:v>17383184.800000001</c:v>
                </c:pt>
                <c:pt idx="25">
                  <c:v>15940891.414285716</c:v>
                </c:pt>
                <c:pt idx="26">
                  <c:v>14748847.9</c:v>
                </c:pt>
                <c:pt idx="27">
                  <c:v>14186049</c:v>
                </c:pt>
                <c:pt idx="28">
                  <c:v>18975093.166666668</c:v>
                </c:pt>
                <c:pt idx="29">
                  <c:v>15589602.916666666</c:v>
                </c:pt>
                <c:pt idx="30">
                  <c:v>15346208.785714285</c:v>
                </c:pt>
                <c:pt idx="31">
                  <c:v>16480082.303571429</c:v>
                </c:pt>
                <c:pt idx="32">
                  <c:v>64291378.987804882</c:v>
                </c:pt>
                <c:pt idx="33">
                  <c:v>15639787.4</c:v>
                </c:pt>
                <c:pt idx="34">
                  <c:v>17991070.199999999</c:v>
                </c:pt>
                <c:pt idx="35">
                  <c:v>14077678.385714287</c:v>
                </c:pt>
                <c:pt idx="36">
                  <c:v>14354277.671428572</c:v>
                </c:pt>
                <c:pt idx="37">
                  <c:v>14480185.344827587</c:v>
                </c:pt>
                <c:pt idx="38">
                  <c:v>14660263.175000001</c:v>
                </c:pt>
                <c:pt idx="39">
                  <c:v>15332469.671428572</c:v>
                </c:pt>
                <c:pt idx="40">
                  <c:v>13300745.028571429</c:v>
                </c:pt>
                <c:pt idx="41">
                  <c:v>16728148.074999999</c:v>
                </c:pt>
                <c:pt idx="42">
                  <c:v>16517301.242857143</c:v>
                </c:pt>
                <c:pt idx="43">
                  <c:v>14500749.1</c:v>
                </c:pt>
                <c:pt idx="44">
                  <c:v>15860008.6</c:v>
                </c:pt>
                <c:pt idx="45">
                  <c:v>15720240.228571428</c:v>
                </c:pt>
                <c:pt idx="46">
                  <c:v>13780748.225</c:v>
                </c:pt>
                <c:pt idx="47">
                  <c:v>14857142.4</c:v>
                </c:pt>
                <c:pt idx="48">
                  <c:v>15796299.574999999</c:v>
                </c:pt>
                <c:pt idx="49">
                  <c:v>17412279.125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02F-41A2-86C5-4DC494234060}"/>
            </c:ext>
          </c:extLst>
        </c:ser>
        <c:ser>
          <c:idx val="1"/>
          <c:order val="1"/>
          <c:tx>
            <c:strRef>
              <c:f>'mnist cnn all'!$AT$1</c:f>
              <c:strCache>
                <c:ptCount val="1"/>
                <c:pt idx="0">
                  <c:v>MLP min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'mnist cnn all'!$AR$2:$AR$51</c:f>
              <c:numCache>
                <c:formatCode>General</c:formatCode>
                <c:ptCount val="50"/>
                <c:pt idx="0">
                  <c:v>188775</c:v>
                </c:pt>
                <c:pt idx="1">
                  <c:v>204505</c:v>
                </c:pt>
                <c:pt idx="2">
                  <c:v>220235</c:v>
                </c:pt>
                <c:pt idx="3">
                  <c:v>235965</c:v>
                </c:pt>
                <c:pt idx="4">
                  <c:v>251695</c:v>
                </c:pt>
                <c:pt idx="5">
                  <c:v>251700</c:v>
                </c:pt>
                <c:pt idx="6">
                  <c:v>267425</c:v>
                </c:pt>
                <c:pt idx="7">
                  <c:v>283160</c:v>
                </c:pt>
                <c:pt idx="8">
                  <c:v>314620</c:v>
                </c:pt>
                <c:pt idx="9">
                  <c:v>314620</c:v>
                </c:pt>
                <c:pt idx="10">
                  <c:v>346080</c:v>
                </c:pt>
                <c:pt idx="11">
                  <c:v>346080</c:v>
                </c:pt>
                <c:pt idx="12">
                  <c:v>377540</c:v>
                </c:pt>
                <c:pt idx="13">
                  <c:v>377542</c:v>
                </c:pt>
                <c:pt idx="14">
                  <c:v>377545</c:v>
                </c:pt>
                <c:pt idx="15">
                  <c:v>409000</c:v>
                </c:pt>
                <c:pt idx="16">
                  <c:v>415294</c:v>
                </c:pt>
                <c:pt idx="17">
                  <c:v>424735</c:v>
                </c:pt>
                <c:pt idx="18">
                  <c:v>440460</c:v>
                </c:pt>
                <c:pt idx="19">
                  <c:v>453046</c:v>
                </c:pt>
                <c:pt idx="20">
                  <c:v>471920</c:v>
                </c:pt>
                <c:pt idx="21">
                  <c:v>471925</c:v>
                </c:pt>
                <c:pt idx="22">
                  <c:v>471925</c:v>
                </c:pt>
                <c:pt idx="23">
                  <c:v>490798</c:v>
                </c:pt>
                <c:pt idx="24">
                  <c:v>503380</c:v>
                </c:pt>
                <c:pt idx="25">
                  <c:v>519115</c:v>
                </c:pt>
                <c:pt idx="26">
                  <c:v>519115</c:v>
                </c:pt>
                <c:pt idx="27">
                  <c:v>528550</c:v>
                </c:pt>
                <c:pt idx="28">
                  <c:v>534840</c:v>
                </c:pt>
                <c:pt idx="29">
                  <c:v>566302</c:v>
                </c:pt>
                <c:pt idx="30">
                  <c:v>566305</c:v>
                </c:pt>
                <c:pt idx="31">
                  <c:v>604054</c:v>
                </c:pt>
                <c:pt idx="32">
                  <c:v>604066</c:v>
                </c:pt>
                <c:pt idx="33">
                  <c:v>613495</c:v>
                </c:pt>
                <c:pt idx="34">
                  <c:v>641806</c:v>
                </c:pt>
                <c:pt idx="35">
                  <c:v>660685</c:v>
                </c:pt>
                <c:pt idx="36">
                  <c:v>679570</c:v>
                </c:pt>
                <c:pt idx="37">
                  <c:v>707875</c:v>
                </c:pt>
                <c:pt idx="38">
                  <c:v>755065</c:v>
                </c:pt>
                <c:pt idx="39">
                  <c:v>755074</c:v>
                </c:pt>
                <c:pt idx="40">
                  <c:v>755074</c:v>
                </c:pt>
                <c:pt idx="41">
                  <c:v>802255</c:v>
                </c:pt>
                <c:pt idx="42">
                  <c:v>830578</c:v>
                </c:pt>
                <c:pt idx="43">
                  <c:v>830578</c:v>
                </c:pt>
                <c:pt idx="44">
                  <c:v>906082</c:v>
                </c:pt>
                <c:pt idx="45">
                  <c:v>981586</c:v>
                </c:pt>
                <c:pt idx="46">
                  <c:v>1057090</c:v>
                </c:pt>
                <c:pt idx="47">
                  <c:v>1132594</c:v>
                </c:pt>
                <c:pt idx="48">
                  <c:v>1208098</c:v>
                </c:pt>
                <c:pt idx="49">
                  <c:v>1283602</c:v>
                </c:pt>
              </c:numCache>
            </c:numRef>
          </c:xVal>
          <c:yVal>
            <c:numRef>
              <c:f>'mnist cnn all'!$AT$2:$AT$51</c:f>
              <c:numCache>
                <c:formatCode>General</c:formatCode>
                <c:ptCount val="50"/>
                <c:pt idx="0">
                  <c:v>19246357.875</c:v>
                </c:pt>
                <c:pt idx="1">
                  <c:v>20268796.350000001</c:v>
                </c:pt>
                <c:pt idx="2">
                  <c:v>21452523.449999999</c:v>
                </c:pt>
                <c:pt idx="3">
                  <c:v>22950956.774999999</c:v>
                </c:pt>
                <c:pt idx="4">
                  <c:v>23835337.399999999</c:v>
                </c:pt>
                <c:pt idx="5">
                  <c:v>162115277.90000001</c:v>
                </c:pt>
                <c:pt idx="6">
                  <c:v>25667237.824999999</c:v>
                </c:pt>
                <c:pt idx="7">
                  <c:v>77899795.966666669</c:v>
                </c:pt>
                <c:pt idx="8">
                  <c:v>46262340.533333331</c:v>
                </c:pt>
                <c:pt idx="9">
                  <c:v>29169972.966666669</c:v>
                </c:pt>
                <c:pt idx="10">
                  <c:v>31706027.133333337</c:v>
                </c:pt>
                <c:pt idx="11">
                  <c:v>32544259.933333334</c:v>
                </c:pt>
                <c:pt idx="12">
                  <c:v>34935062.300000004</c:v>
                </c:pt>
                <c:pt idx="13">
                  <c:v>33689200.799999997</c:v>
                </c:pt>
                <c:pt idx="14">
                  <c:v>175718054.16176471</c:v>
                </c:pt>
                <c:pt idx="15">
                  <c:v>36636866.43333333</c:v>
                </c:pt>
                <c:pt idx="16">
                  <c:v>36305070.024999999</c:v>
                </c:pt>
                <c:pt idx="17">
                  <c:v>36364362.428571425</c:v>
                </c:pt>
                <c:pt idx="18">
                  <c:v>39524345.399999999</c:v>
                </c:pt>
                <c:pt idx="19">
                  <c:v>40398910.399999999</c:v>
                </c:pt>
                <c:pt idx="20">
                  <c:v>41143179.666666664</c:v>
                </c:pt>
                <c:pt idx="21">
                  <c:v>40020224.928571425</c:v>
                </c:pt>
                <c:pt idx="22">
                  <c:v>39860226.328571431</c:v>
                </c:pt>
                <c:pt idx="23">
                  <c:v>43353463.075000003</c:v>
                </c:pt>
                <c:pt idx="24">
                  <c:v>42987649.699999996</c:v>
                </c:pt>
                <c:pt idx="25">
                  <c:v>43899697.285714284</c:v>
                </c:pt>
                <c:pt idx="26">
                  <c:v>43594816.27142857</c:v>
                </c:pt>
                <c:pt idx="27">
                  <c:v>45918825.833333336</c:v>
                </c:pt>
                <c:pt idx="28">
                  <c:v>45793806.5</c:v>
                </c:pt>
                <c:pt idx="29">
                  <c:v>48413380.270833336</c:v>
                </c:pt>
                <c:pt idx="30">
                  <c:v>47261987.957142852</c:v>
                </c:pt>
                <c:pt idx="31">
                  <c:v>51632038.75</c:v>
                </c:pt>
                <c:pt idx="32">
                  <c:v>488271985.73170739</c:v>
                </c:pt>
                <c:pt idx="33">
                  <c:v>49643797.471428573</c:v>
                </c:pt>
                <c:pt idx="34">
                  <c:v>53442918.5</c:v>
                </c:pt>
                <c:pt idx="35">
                  <c:v>54040136.357142858</c:v>
                </c:pt>
                <c:pt idx="36">
                  <c:v>57248321.142857142</c:v>
                </c:pt>
                <c:pt idx="37">
                  <c:v>55298557.000000007</c:v>
                </c:pt>
                <c:pt idx="38">
                  <c:v>50451286.274999999</c:v>
                </c:pt>
                <c:pt idx="39">
                  <c:v>63059995.542857148</c:v>
                </c:pt>
                <c:pt idx="40">
                  <c:v>63126860.22857143</c:v>
                </c:pt>
                <c:pt idx="41">
                  <c:v>47384794.524999999</c:v>
                </c:pt>
                <c:pt idx="42">
                  <c:v>70878274.242857143</c:v>
                </c:pt>
                <c:pt idx="43">
                  <c:v>69899314.828571424</c:v>
                </c:pt>
                <c:pt idx="44">
                  <c:v>72508322.785714284</c:v>
                </c:pt>
                <c:pt idx="45">
                  <c:v>77599617.200000003</c:v>
                </c:pt>
                <c:pt idx="46">
                  <c:v>79012919.174999997</c:v>
                </c:pt>
                <c:pt idx="47">
                  <c:v>84603419.849999994</c:v>
                </c:pt>
                <c:pt idx="48">
                  <c:v>88469195.325000003</c:v>
                </c:pt>
                <c:pt idx="49">
                  <c:v>93118511.46875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02F-41A2-86C5-4DC494234060}"/>
            </c:ext>
          </c:extLst>
        </c:ser>
        <c:ser>
          <c:idx val="2"/>
          <c:order val="2"/>
          <c:tx>
            <c:strRef>
              <c:f>'mnist cnn all'!$AU$1</c:f>
              <c:strCache>
                <c:ptCount val="1"/>
                <c:pt idx="0">
                  <c:v>MLP max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'mnist cnn all'!$AR$2:$AR$51</c:f>
              <c:numCache>
                <c:formatCode>General</c:formatCode>
                <c:ptCount val="50"/>
                <c:pt idx="0">
                  <c:v>188775</c:v>
                </c:pt>
                <c:pt idx="1">
                  <c:v>204505</c:v>
                </c:pt>
                <c:pt idx="2">
                  <c:v>220235</c:v>
                </c:pt>
                <c:pt idx="3">
                  <c:v>235965</c:v>
                </c:pt>
                <c:pt idx="4">
                  <c:v>251695</c:v>
                </c:pt>
                <c:pt idx="5">
                  <c:v>251700</c:v>
                </c:pt>
                <c:pt idx="6">
                  <c:v>267425</c:v>
                </c:pt>
                <c:pt idx="7">
                  <c:v>283160</c:v>
                </c:pt>
                <c:pt idx="8">
                  <c:v>314620</c:v>
                </c:pt>
                <c:pt idx="9">
                  <c:v>314620</c:v>
                </c:pt>
                <c:pt idx="10">
                  <c:v>346080</c:v>
                </c:pt>
                <c:pt idx="11">
                  <c:v>346080</c:v>
                </c:pt>
                <c:pt idx="12">
                  <c:v>377540</c:v>
                </c:pt>
                <c:pt idx="13">
                  <c:v>377542</c:v>
                </c:pt>
                <c:pt idx="14">
                  <c:v>377545</c:v>
                </c:pt>
                <c:pt idx="15">
                  <c:v>409000</c:v>
                </c:pt>
                <c:pt idx="16">
                  <c:v>415294</c:v>
                </c:pt>
                <c:pt idx="17">
                  <c:v>424735</c:v>
                </c:pt>
                <c:pt idx="18">
                  <c:v>440460</c:v>
                </c:pt>
                <c:pt idx="19">
                  <c:v>453046</c:v>
                </c:pt>
                <c:pt idx="20">
                  <c:v>471920</c:v>
                </c:pt>
                <c:pt idx="21">
                  <c:v>471925</c:v>
                </c:pt>
                <c:pt idx="22">
                  <c:v>471925</c:v>
                </c:pt>
                <c:pt idx="23">
                  <c:v>490798</c:v>
                </c:pt>
                <c:pt idx="24">
                  <c:v>503380</c:v>
                </c:pt>
                <c:pt idx="25">
                  <c:v>519115</c:v>
                </c:pt>
                <c:pt idx="26">
                  <c:v>519115</c:v>
                </c:pt>
                <c:pt idx="27">
                  <c:v>528550</c:v>
                </c:pt>
                <c:pt idx="28">
                  <c:v>534840</c:v>
                </c:pt>
                <c:pt idx="29">
                  <c:v>566302</c:v>
                </c:pt>
                <c:pt idx="30">
                  <c:v>566305</c:v>
                </c:pt>
                <c:pt idx="31">
                  <c:v>604054</c:v>
                </c:pt>
                <c:pt idx="32">
                  <c:v>604066</c:v>
                </c:pt>
                <c:pt idx="33">
                  <c:v>613495</c:v>
                </c:pt>
                <c:pt idx="34">
                  <c:v>641806</c:v>
                </c:pt>
                <c:pt idx="35">
                  <c:v>660685</c:v>
                </c:pt>
                <c:pt idx="36">
                  <c:v>679570</c:v>
                </c:pt>
                <c:pt idx="37">
                  <c:v>707875</c:v>
                </c:pt>
                <c:pt idx="38">
                  <c:v>755065</c:v>
                </c:pt>
                <c:pt idx="39">
                  <c:v>755074</c:v>
                </c:pt>
                <c:pt idx="40">
                  <c:v>755074</c:v>
                </c:pt>
                <c:pt idx="41">
                  <c:v>802255</c:v>
                </c:pt>
                <c:pt idx="42">
                  <c:v>830578</c:v>
                </c:pt>
                <c:pt idx="43">
                  <c:v>830578</c:v>
                </c:pt>
                <c:pt idx="44">
                  <c:v>906082</c:v>
                </c:pt>
                <c:pt idx="45">
                  <c:v>981586</c:v>
                </c:pt>
                <c:pt idx="46">
                  <c:v>1057090</c:v>
                </c:pt>
                <c:pt idx="47">
                  <c:v>1132594</c:v>
                </c:pt>
                <c:pt idx="48">
                  <c:v>1208098</c:v>
                </c:pt>
                <c:pt idx="49">
                  <c:v>1283602</c:v>
                </c:pt>
              </c:numCache>
            </c:numRef>
          </c:xVal>
          <c:yVal>
            <c:numRef>
              <c:f>'mnist cnn all'!$AU$2:$AU$51</c:f>
              <c:numCache>
                <c:formatCode>General</c:formatCode>
                <c:ptCount val="50"/>
                <c:pt idx="0">
                  <c:v>19108359.5625</c:v>
                </c:pt>
                <c:pt idx="1">
                  <c:v>20278975.5</c:v>
                </c:pt>
                <c:pt idx="2">
                  <c:v>21447880.125</c:v>
                </c:pt>
                <c:pt idx="3">
                  <c:v>22963525.175000001</c:v>
                </c:pt>
                <c:pt idx="4">
                  <c:v>24070147.149999999</c:v>
                </c:pt>
                <c:pt idx="5">
                  <c:v>162237428.40000001</c:v>
                </c:pt>
                <c:pt idx="6">
                  <c:v>25775086.550000001</c:v>
                </c:pt>
                <c:pt idx="7">
                  <c:v>78066432.299999997</c:v>
                </c:pt>
                <c:pt idx="8">
                  <c:v>46175186.633333333</c:v>
                </c:pt>
                <c:pt idx="9">
                  <c:v>29165029.5</c:v>
                </c:pt>
                <c:pt idx="10">
                  <c:v>31802375.666666668</c:v>
                </c:pt>
                <c:pt idx="11">
                  <c:v>32633390.199999999</c:v>
                </c:pt>
                <c:pt idx="12">
                  <c:v>35025008.300000004</c:v>
                </c:pt>
                <c:pt idx="13">
                  <c:v>33674179.075000003</c:v>
                </c:pt>
                <c:pt idx="14">
                  <c:v>175225422</c:v>
                </c:pt>
                <c:pt idx="15">
                  <c:v>36753726.633333333</c:v>
                </c:pt>
                <c:pt idx="16">
                  <c:v>36441679.174999997</c:v>
                </c:pt>
                <c:pt idx="17">
                  <c:v>36453231.985714287</c:v>
                </c:pt>
                <c:pt idx="18">
                  <c:v>39624625.466666669</c:v>
                </c:pt>
                <c:pt idx="19">
                  <c:v>40290732.424999997</c:v>
                </c:pt>
                <c:pt idx="20">
                  <c:v>41154018.866666667</c:v>
                </c:pt>
                <c:pt idx="21">
                  <c:v>40129092.899999999</c:v>
                </c:pt>
                <c:pt idx="22">
                  <c:v>39882163.800000004</c:v>
                </c:pt>
                <c:pt idx="23">
                  <c:v>43189854.774999999</c:v>
                </c:pt>
                <c:pt idx="24">
                  <c:v>43148244.5</c:v>
                </c:pt>
                <c:pt idx="25">
                  <c:v>43965239.657142863</c:v>
                </c:pt>
                <c:pt idx="26">
                  <c:v>43729577.199999996</c:v>
                </c:pt>
                <c:pt idx="27">
                  <c:v>45946753.541666664</c:v>
                </c:pt>
                <c:pt idx="28">
                  <c:v>45767543.933333337</c:v>
                </c:pt>
                <c:pt idx="29">
                  <c:v>48282050.166666664</c:v>
                </c:pt>
                <c:pt idx="30">
                  <c:v>47179791.514285721</c:v>
                </c:pt>
                <c:pt idx="31">
                  <c:v>51828653.142857142</c:v>
                </c:pt>
                <c:pt idx="32">
                  <c:v>478495831.52439028</c:v>
                </c:pt>
                <c:pt idx="33">
                  <c:v>49605415.971428573</c:v>
                </c:pt>
                <c:pt idx="34">
                  <c:v>53500510.149999999</c:v>
                </c:pt>
                <c:pt idx="35">
                  <c:v>53829071.457142852</c:v>
                </c:pt>
                <c:pt idx="36">
                  <c:v>57159858.828571431</c:v>
                </c:pt>
                <c:pt idx="37">
                  <c:v>55341534.086206898</c:v>
                </c:pt>
                <c:pt idx="38">
                  <c:v>50515705.200000003</c:v>
                </c:pt>
                <c:pt idx="39">
                  <c:v>63049397.77142857</c:v>
                </c:pt>
                <c:pt idx="40">
                  <c:v>63177204.257142857</c:v>
                </c:pt>
                <c:pt idx="41">
                  <c:v>47580741.600000001</c:v>
                </c:pt>
                <c:pt idx="42">
                  <c:v>71110728.128571421</c:v>
                </c:pt>
                <c:pt idx="43">
                  <c:v>70387869.914285704</c:v>
                </c:pt>
                <c:pt idx="44">
                  <c:v>72457230.742857143</c:v>
                </c:pt>
                <c:pt idx="45">
                  <c:v>77514752.842857137</c:v>
                </c:pt>
                <c:pt idx="46">
                  <c:v>78874194.325000003</c:v>
                </c:pt>
                <c:pt idx="47">
                  <c:v>84488812.150000006</c:v>
                </c:pt>
                <c:pt idx="48">
                  <c:v>88099289</c:v>
                </c:pt>
                <c:pt idx="49">
                  <c:v>93003728.25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02F-41A2-86C5-4DC494234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7850064"/>
        <c:axId val="577850544"/>
      </c:scatterChart>
      <c:valAx>
        <c:axId val="577850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77850544"/>
        <c:crosses val="autoZero"/>
        <c:crossBetween val="midCat"/>
      </c:valAx>
      <c:valAx>
        <c:axId val="577850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577850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1266825</xdr:colOff>
      <xdr:row>1</xdr:row>
      <xdr:rowOff>138112</xdr:rowOff>
    </xdr:from>
    <xdr:to>
      <xdr:col>33</xdr:col>
      <xdr:colOff>219075</xdr:colOff>
      <xdr:row>16</xdr:row>
      <xdr:rowOff>23812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9C565EF8-F12A-0436-5DF6-F89D2274E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DB27615-355B-49C3-BBBF-DFE321BFD17C}" autoFormatId="16" applyNumberFormats="0" applyBorderFormats="0" applyFontFormats="0" applyPatternFormats="0" applyAlignmentFormats="0" applyWidthHeightFormats="0">
  <queryTableRefresh nextId="27">
    <queryTableFields count="26">
      <queryTableField id="1" name="dataset_name" tableColumnId="1"/>
      <queryTableField id="2" name="kan_grid 1" tableColumnId="2"/>
      <queryTableField id="3" name="kan_degree 1" tableColumnId="3"/>
      <queryTableField id="4" name="kan_lam 1" tableColumnId="4"/>
      <queryTableField id="5" name="kan_width 1" tableColumnId="5"/>
      <queryTableField id="6" name="kan_params" tableColumnId="6"/>
      <queryTableField id="7" name="kan_time_difference" tableColumnId="7"/>
      <queryTableField id="8" name="kan_steps" tableColumnId="8"/>
      <queryTableField id="9" name="kan_train_acc" tableColumnId="9"/>
      <queryTableField id="10" name="kan_val_acc" tableColumnId="10"/>
      <queryTableField id="11" name="kan_test_acc" tableColumnId="11"/>
      <queryTableField id="12" name="mlp_test_acc" tableColumnId="12"/>
      <queryTableField id="13" name="mlp_val_acc" tableColumnId="13"/>
      <queryTableField id="14" name="mlp_train_acc" tableColumnId="14"/>
      <queryTableField id="15" name="mlp_steps" tableColumnId="15"/>
      <queryTableField id="16" name="time_difference mlp1" tableColumnId="16"/>
      <queryTableField id="17" name="mlp_params" tableColumnId="17"/>
      <queryTableField id="18" name="width_layers" tableColumnId="18"/>
      <queryTableField id="19" name="mlp2_test_acc" tableColumnId="19"/>
      <queryTableField id="20" name="mlp2_val_acc" tableColumnId="20"/>
      <queryTableField id="21" name="mlp2_train_acc" tableColumnId="21"/>
      <queryTableField id="22" name="mlp2_steps" tableColumnId="22"/>
      <queryTableField id="23" name="mlp 2 time difference" tableColumnId="23"/>
      <queryTableField id="24" name="mlp2_params" tableColumnId="24"/>
      <queryTableField id="25" name="width_layers2" tableColumnId="25"/>
      <queryTableField id="26" name="delme" tableColumnId="2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2D0CBE-BF81-4E56-9DE6-5B4E11A48DCA}" name="mnist_cnn_all" displayName="mnist_cnn_all" ref="A1:Z51" tableType="queryTable" totalsRowShown="0">
  <autoFilter ref="A1:Z51" xr:uid="{902D0CBE-BF81-4E56-9DE6-5B4E11A48DCA}"/>
  <sortState xmlns:xlrd2="http://schemas.microsoft.com/office/spreadsheetml/2017/richdata2" ref="A2:Z51">
    <sortCondition ref="F1:F51"/>
  </sortState>
  <tableColumns count="26">
    <tableColumn id="1" xr3:uid="{92BE1137-DE8E-4B81-97AB-64CB3792B433}" uniqueName="1" name="dataset_name" queryTableFieldId="1" dataDxfId="2"/>
    <tableColumn id="2" xr3:uid="{AED89571-F4E3-4697-BE21-5C867E45E3E9}" uniqueName="2" name="kan_grid 1" queryTableFieldId="2"/>
    <tableColumn id="3" xr3:uid="{88A5F970-6D40-47D4-A47B-56C51C0B658A}" uniqueName="3" name="kan_degree 1" queryTableFieldId="3"/>
    <tableColumn id="4" xr3:uid="{24C10C9B-944E-4F08-8F95-70E1E4AF7395}" uniqueName="4" name="kan_lam 1" queryTableFieldId="4"/>
    <tableColumn id="5" xr3:uid="{6A9E67E0-EFA9-4412-91CD-FE7A24789854}" uniqueName="5" name="kan_width 1" queryTableFieldId="5" dataDxfId="1"/>
    <tableColumn id="6" xr3:uid="{1C85EFA6-CE2E-4E4C-80BF-80BBC506EC5F}" uniqueName="6" name="kan_params" queryTableFieldId="6"/>
    <tableColumn id="7" xr3:uid="{4BB23286-177E-4715-8657-2A0C82B11DB3}" uniqueName="7" name="kan_time_difference" queryTableFieldId="7"/>
    <tableColumn id="8" xr3:uid="{FC671AE3-7FF3-40BF-B447-3B41A9DE242C}" uniqueName="8" name="kan_steps" queryTableFieldId="8"/>
    <tableColumn id="9" xr3:uid="{88372C4E-DDB8-4974-A85B-A5E84580F222}" uniqueName="9" name="kan_train_acc" queryTableFieldId="9"/>
    <tableColumn id="10" xr3:uid="{3BA34B9F-28B4-495B-B142-33600E6DD59F}" uniqueName="10" name="kan_val_acc" queryTableFieldId="10"/>
    <tableColumn id="11" xr3:uid="{1E498985-048E-46D6-88F8-F417DCFCD0B5}" uniqueName="11" name="kan_test_acc" queryTableFieldId="11"/>
    <tableColumn id="12" xr3:uid="{B4E3246D-A7F9-4BDF-A492-646B3E3A3929}" uniqueName="12" name="mlp_test_acc" queryTableFieldId="12"/>
    <tableColumn id="13" xr3:uid="{A6962ACC-96DF-4265-896A-15BF54444459}" uniqueName="13" name="mlp_val_acc" queryTableFieldId="13"/>
    <tableColumn id="14" xr3:uid="{C8E0F8FE-77E9-415C-9542-48FB207C8FFE}" uniqueName="14" name="mlp_train_acc" queryTableFieldId="14"/>
    <tableColumn id="15" xr3:uid="{54A05E21-5BA1-419D-B16C-FC4726BEC648}" uniqueName="15" name="mlp_steps" queryTableFieldId="15"/>
    <tableColumn id="16" xr3:uid="{EAE3376C-A46D-4879-A892-371E60290C4A}" uniqueName="16" name="time_difference mlp1" queryTableFieldId="16"/>
    <tableColumn id="17" xr3:uid="{68068D43-1DE6-4D5F-9F52-78300B200307}" uniqueName="17" name="mlp_params" queryTableFieldId="17"/>
    <tableColumn id="18" xr3:uid="{1B0C1231-50D9-4335-AD38-D13223A49990}" uniqueName="18" name="width_layers" queryTableFieldId="18"/>
    <tableColumn id="19" xr3:uid="{97B548DF-00E2-4AC6-A713-D36C4D832562}" uniqueName="19" name="mlp2_test_acc" queryTableFieldId="19"/>
    <tableColumn id="20" xr3:uid="{FCDEEBAC-A193-4CC1-8070-4B5BDACC406F}" uniqueName="20" name="mlp2_val_acc" queryTableFieldId="20"/>
    <tableColumn id="21" xr3:uid="{3EEB1D5E-E680-4CAA-92BC-6BC8AEF3589C}" uniqueName="21" name="mlp2_train_acc" queryTableFieldId="21"/>
    <tableColumn id="22" xr3:uid="{06EF25CF-02DA-4E1C-AA27-28812CFAB9D8}" uniqueName="22" name="mlp2_steps" queryTableFieldId="22"/>
    <tableColumn id="23" xr3:uid="{86C4EA75-9DE4-416B-9A4E-E03B0FFEAE15}" uniqueName="23" name="mlp 2 time difference" queryTableFieldId="23"/>
    <tableColumn id="24" xr3:uid="{617EB9A0-D148-4215-B65D-1F2B8A956E86}" uniqueName="24" name="mlp2_params" queryTableFieldId="24"/>
    <tableColumn id="25" xr3:uid="{DAF5310A-AAC9-438D-83E4-F4516C97DCCF}" uniqueName="25" name="width_layers2" queryTableFieldId="25"/>
    <tableColumn id="26" xr3:uid="{BD23CF09-AFD0-48C6-A4DF-BABD2566D209}" uniqueName="26" name="delme" queryTableFieldId="2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0601E-75DB-4057-8EBB-1FEE1E347D2C}">
  <dimension ref="A1:AU51"/>
  <sheetViews>
    <sheetView tabSelected="1" topLeftCell="V1" workbookViewId="0">
      <selection activeCell="AQ7" sqref="AQ7"/>
    </sheetView>
  </sheetViews>
  <sheetFormatPr defaultRowHeight="15" x14ac:dyDescent="0.25"/>
  <cols>
    <col min="1" max="1" width="16" bestFit="1" customWidth="1"/>
    <col min="2" max="2" width="12.140625" bestFit="1" customWidth="1"/>
    <col min="3" max="3" width="15" bestFit="1" customWidth="1"/>
    <col min="4" max="4" width="12" bestFit="1" customWidth="1"/>
    <col min="5" max="5" width="13.7109375" bestFit="1" customWidth="1"/>
    <col min="6" max="6" width="13.85546875" bestFit="1" customWidth="1"/>
    <col min="7" max="7" width="22" bestFit="1" customWidth="1"/>
    <col min="8" max="8" width="12.28515625" bestFit="1" customWidth="1"/>
    <col min="9" max="9" width="15.42578125" bestFit="1" customWidth="1"/>
    <col min="10" max="10" width="13.7109375" bestFit="1" customWidth="1"/>
    <col min="11" max="11" width="14.7109375" bestFit="1" customWidth="1"/>
    <col min="12" max="12" width="15" bestFit="1" customWidth="1"/>
    <col min="13" max="13" width="14" bestFit="1" customWidth="1"/>
    <col min="14" max="14" width="15.7109375" bestFit="1" customWidth="1"/>
    <col min="15" max="15" width="12.5703125" bestFit="1" customWidth="1"/>
    <col min="16" max="16" width="22.85546875" bestFit="1" customWidth="1"/>
    <col min="17" max="17" width="14.140625" bestFit="1" customWidth="1"/>
    <col min="18" max="18" width="14.5703125" bestFit="1" customWidth="1"/>
    <col min="19" max="19" width="16.140625" bestFit="1" customWidth="1"/>
    <col min="20" max="20" width="15" bestFit="1" customWidth="1"/>
    <col min="21" max="21" width="16.7109375" bestFit="1" customWidth="1"/>
    <col min="22" max="22" width="13.5703125" bestFit="1" customWidth="1"/>
    <col min="23" max="23" width="22.85546875" bestFit="1" customWidth="1"/>
    <col min="24" max="24" width="15.140625" bestFit="1" customWidth="1"/>
    <col min="25" max="25" width="15.7109375" bestFit="1" customWidth="1"/>
    <col min="26" max="26" width="20.28515625" bestFit="1" customWidth="1"/>
    <col min="37" max="37" width="9.7109375" customWidth="1"/>
    <col min="38" max="38" width="12" bestFit="1" customWidth="1"/>
    <col min="39" max="39" width="13.7109375" bestFit="1" customWidth="1"/>
    <col min="40" max="40" width="12.7109375" bestFit="1" customWidth="1"/>
    <col min="41" max="41" width="14" bestFit="1" customWidth="1"/>
    <col min="42" max="42" width="13.140625" bestFit="1" customWidth="1"/>
    <col min="46" max="47" width="12" bestFit="1" customWidth="1"/>
  </cols>
  <sheetData>
    <row r="1" spans="1:4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B1" t="s">
        <v>82</v>
      </c>
      <c r="AC1" t="s">
        <v>83</v>
      </c>
      <c r="AD1" t="s">
        <v>84</v>
      </c>
      <c r="AE1" t="s">
        <v>85</v>
      </c>
      <c r="AF1" t="s">
        <v>86</v>
      </c>
      <c r="AG1" t="s">
        <v>87</v>
      </c>
      <c r="AH1" t="s">
        <v>88</v>
      </c>
      <c r="AJ1" t="s">
        <v>93</v>
      </c>
      <c r="AK1" t="s">
        <v>92</v>
      </c>
      <c r="AL1" t="s">
        <v>91</v>
      </c>
      <c r="AM1" t="s">
        <v>90</v>
      </c>
      <c r="AN1" t="s">
        <v>89</v>
      </c>
      <c r="AO1" t="s">
        <v>94</v>
      </c>
      <c r="AP1" t="s">
        <v>95</v>
      </c>
      <c r="AR1" t="str">
        <f>AJ1</f>
        <v>parameters</v>
      </c>
      <c r="AS1" t="s">
        <v>96</v>
      </c>
      <c r="AT1" t="s">
        <v>97</v>
      </c>
      <c r="AU1" t="s">
        <v>98</v>
      </c>
    </row>
    <row r="2" spans="1:47" x14ac:dyDescent="0.25">
      <c r="A2" t="s">
        <v>26</v>
      </c>
      <c r="B2">
        <v>5</v>
      </c>
      <c r="C2">
        <v>4</v>
      </c>
      <c r="D2">
        <v>0</v>
      </c>
      <c r="E2" t="s">
        <v>55</v>
      </c>
      <c r="F2">
        <v>188775</v>
      </c>
      <c r="G2">
        <v>132546666.5</v>
      </c>
      <c r="H2">
        <v>8</v>
      </c>
      <c r="I2">
        <v>0.99180208333333331</v>
      </c>
      <c r="J2">
        <v>0.96308333333333329</v>
      </c>
      <c r="K2">
        <v>0.97955000000000003</v>
      </c>
      <c r="L2">
        <v>0.97419999999999995</v>
      </c>
      <c r="M2">
        <v>0.96937499999999999</v>
      </c>
      <c r="N2">
        <v>0.98391666666666666</v>
      </c>
      <c r="O2">
        <v>8</v>
      </c>
      <c r="P2">
        <v>153970863</v>
      </c>
      <c r="Q2">
        <v>188770</v>
      </c>
      <c r="R2">
        <v>18876</v>
      </c>
      <c r="S2">
        <v>0.97039999999999993</v>
      </c>
      <c r="T2">
        <v>0.96420833333333333</v>
      </c>
      <c r="U2">
        <v>0.97888541666666673</v>
      </c>
      <c r="V2">
        <v>8</v>
      </c>
      <c r="W2">
        <v>152866876.5</v>
      </c>
      <c r="X2">
        <v>188780</v>
      </c>
      <c r="Y2">
        <v>18877</v>
      </c>
      <c r="Z2" t="s">
        <v>56</v>
      </c>
      <c r="AB2">
        <f>mnist_cnn_all[[#This Row],[kan_params]]</f>
        <v>188775</v>
      </c>
      <c r="AC2">
        <f>mnist_cnn_all[[#This Row],[kan_train_acc]]</f>
        <v>0.99180208333333331</v>
      </c>
      <c r="AD2">
        <f>mnist_cnn_all[[#This Row],[kan_val_acc]]</f>
        <v>0.96308333333333329</v>
      </c>
      <c r="AE2">
        <f>mnist_cnn_all[[#This Row],[kan_test_acc]]</f>
        <v>0.97955000000000003</v>
      </c>
      <c r="AF2">
        <f>mnist_cnn_all[[#This Row],[mlp_test_acc]]</f>
        <v>0.97419999999999995</v>
      </c>
      <c r="AG2">
        <f>mnist_cnn_all[[#This Row],[mlp_val_acc]]</f>
        <v>0.96937499999999999</v>
      </c>
      <c r="AH2">
        <f>mnist_cnn_all[[#This Row],[mlp_train_acc]]</f>
        <v>0.98391666666666666</v>
      </c>
      <c r="AJ2">
        <f>mnist_cnn_all[[#This Row],[kan_params]]</f>
        <v>188775</v>
      </c>
      <c r="AK2">
        <f>mnist_cnn_all[[#This Row],[kan_steps]]</f>
        <v>8</v>
      </c>
      <c r="AL2">
        <f>mnist_cnn_all[[#This Row],[kan_time_difference]]</f>
        <v>132546666.5</v>
      </c>
      <c r="AM2">
        <f>mnist_cnn_all[[#This Row],[mlp_steps]]</f>
        <v>8</v>
      </c>
      <c r="AN2">
        <f>mnist_cnn_all[[#This Row],[time_difference mlp1]]</f>
        <v>153970863</v>
      </c>
      <c r="AO2">
        <f>mnist_cnn_all[[#This Row],[mlp2_steps]]</f>
        <v>8</v>
      </c>
      <c r="AP2">
        <f>mnist_cnn_all[[#This Row],[mlp 2 time difference]]</f>
        <v>152866876.5</v>
      </c>
      <c r="AR2">
        <f>AJ2</f>
        <v>188775</v>
      </c>
      <c r="AS2">
        <f>AL2/AK2</f>
        <v>16568333.3125</v>
      </c>
      <c r="AT2">
        <f>AN2/AM2</f>
        <v>19246357.875</v>
      </c>
      <c r="AU2">
        <f>AP2/AO2</f>
        <v>19108359.5625</v>
      </c>
    </row>
    <row r="3" spans="1:47" x14ac:dyDescent="0.25">
      <c r="A3" t="s">
        <v>26</v>
      </c>
      <c r="B3">
        <v>5</v>
      </c>
      <c r="C3">
        <v>5</v>
      </c>
      <c r="D3">
        <v>0</v>
      </c>
      <c r="E3" t="s">
        <v>55</v>
      </c>
      <c r="F3">
        <v>204505</v>
      </c>
      <c r="G3">
        <v>135945534.80000001</v>
      </c>
      <c r="H3">
        <v>8</v>
      </c>
      <c r="I3">
        <v>0.99072499999999997</v>
      </c>
      <c r="J3">
        <v>0.96446666666666669</v>
      </c>
      <c r="K3">
        <v>0.97884000000000004</v>
      </c>
      <c r="L3">
        <v>0.96862000000000004</v>
      </c>
      <c r="M3">
        <v>0.95891666666666664</v>
      </c>
      <c r="N3">
        <v>0.97781666666666667</v>
      </c>
      <c r="O3">
        <v>8</v>
      </c>
      <c r="P3">
        <v>162150370.80000001</v>
      </c>
      <c r="Q3">
        <v>204500</v>
      </c>
      <c r="R3">
        <v>20449</v>
      </c>
      <c r="S3">
        <v>0.97199999999999998</v>
      </c>
      <c r="T3">
        <v>0.96960000000000002</v>
      </c>
      <c r="U3">
        <v>0.98071666666666668</v>
      </c>
      <c r="V3">
        <v>8</v>
      </c>
      <c r="W3">
        <v>162231804</v>
      </c>
      <c r="X3">
        <v>204510</v>
      </c>
      <c r="Y3">
        <v>20450</v>
      </c>
      <c r="Z3" t="s">
        <v>61</v>
      </c>
      <c r="AB3">
        <f>mnist_cnn_all[[#This Row],[kan_params]]</f>
        <v>204505</v>
      </c>
      <c r="AC3">
        <f>mnist_cnn_all[[#This Row],[kan_train_acc]]</f>
        <v>0.99072499999999997</v>
      </c>
      <c r="AD3">
        <f>mnist_cnn_all[[#This Row],[kan_val_acc]]</f>
        <v>0.96446666666666669</v>
      </c>
      <c r="AE3">
        <f>mnist_cnn_all[[#This Row],[kan_test_acc]]</f>
        <v>0.97884000000000004</v>
      </c>
      <c r="AF3">
        <f>mnist_cnn_all[[#This Row],[mlp_test_acc]]</f>
        <v>0.96862000000000004</v>
      </c>
      <c r="AG3">
        <f>mnist_cnn_all[[#This Row],[mlp_val_acc]]</f>
        <v>0.95891666666666664</v>
      </c>
      <c r="AH3">
        <f>mnist_cnn_all[[#This Row],[mlp_train_acc]]</f>
        <v>0.97781666666666667</v>
      </c>
      <c r="AJ3">
        <f>mnist_cnn_all[[#This Row],[kan_params]]</f>
        <v>204505</v>
      </c>
      <c r="AK3">
        <f>mnist_cnn_all[[#This Row],[kan_steps]]</f>
        <v>8</v>
      </c>
      <c r="AL3">
        <f>mnist_cnn_all[[#This Row],[kan_time_difference]]</f>
        <v>135945534.80000001</v>
      </c>
      <c r="AM3">
        <f>mnist_cnn_all[[#This Row],[mlp_steps]]</f>
        <v>8</v>
      </c>
      <c r="AN3">
        <f>mnist_cnn_all[[#This Row],[time_difference mlp1]]</f>
        <v>162150370.80000001</v>
      </c>
      <c r="AO3">
        <f>mnist_cnn_all[[#This Row],[mlp2_steps]]</f>
        <v>8</v>
      </c>
      <c r="AP3">
        <f>mnist_cnn_all[[#This Row],[mlp 2 time difference]]</f>
        <v>162231804</v>
      </c>
      <c r="AR3">
        <f>AJ3</f>
        <v>204505</v>
      </c>
      <c r="AS3">
        <f>AL3/AK3</f>
        <v>16993191.850000001</v>
      </c>
      <c r="AT3">
        <f>AN3/AM3</f>
        <v>20268796.350000001</v>
      </c>
      <c r="AU3">
        <f>AP3/AO3</f>
        <v>20278975.5</v>
      </c>
    </row>
    <row r="4" spans="1:47" x14ac:dyDescent="0.25">
      <c r="A4" t="s">
        <v>26</v>
      </c>
      <c r="B4">
        <v>9</v>
      </c>
      <c r="C4">
        <v>2</v>
      </c>
      <c r="D4">
        <v>0</v>
      </c>
      <c r="E4" t="s">
        <v>55</v>
      </c>
      <c r="F4">
        <v>220235</v>
      </c>
      <c r="G4">
        <v>117195677.59999999</v>
      </c>
      <c r="H4">
        <v>8</v>
      </c>
      <c r="I4">
        <v>0.98883750000000004</v>
      </c>
      <c r="J4">
        <v>0.96221666666666672</v>
      </c>
      <c r="K4">
        <v>0.97902</v>
      </c>
      <c r="L4">
        <v>0.97060000000000002</v>
      </c>
      <c r="M4">
        <v>0.95913333333333339</v>
      </c>
      <c r="N4">
        <v>0.98011666666666664</v>
      </c>
      <c r="O4">
        <v>8</v>
      </c>
      <c r="P4">
        <v>171620187.59999999</v>
      </c>
      <c r="Q4">
        <v>220230</v>
      </c>
      <c r="R4">
        <v>22022</v>
      </c>
      <c r="S4">
        <v>0.96741999999999995</v>
      </c>
      <c r="T4">
        <v>0.95379999999999998</v>
      </c>
      <c r="U4">
        <v>0.97635833333333333</v>
      </c>
      <c r="V4">
        <v>8</v>
      </c>
      <c r="W4">
        <v>171583041</v>
      </c>
      <c r="X4">
        <v>220240</v>
      </c>
      <c r="Y4">
        <v>22023</v>
      </c>
      <c r="Z4" t="s">
        <v>66</v>
      </c>
      <c r="AB4">
        <f>mnist_cnn_all[[#This Row],[kan_params]]</f>
        <v>220235</v>
      </c>
      <c r="AC4">
        <f>mnist_cnn_all[[#This Row],[kan_train_acc]]</f>
        <v>0.98883750000000004</v>
      </c>
      <c r="AD4">
        <f>mnist_cnn_all[[#This Row],[kan_val_acc]]</f>
        <v>0.96221666666666672</v>
      </c>
      <c r="AE4">
        <f>mnist_cnn_all[[#This Row],[kan_test_acc]]</f>
        <v>0.97902</v>
      </c>
      <c r="AF4">
        <f>mnist_cnn_all[[#This Row],[mlp_test_acc]]</f>
        <v>0.97060000000000002</v>
      </c>
      <c r="AG4">
        <f>mnist_cnn_all[[#This Row],[mlp_val_acc]]</f>
        <v>0.95913333333333339</v>
      </c>
      <c r="AH4">
        <f>mnist_cnn_all[[#This Row],[mlp_train_acc]]</f>
        <v>0.98011666666666664</v>
      </c>
      <c r="AJ4">
        <f>mnist_cnn_all[[#This Row],[kan_params]]</f>
        <v>220235</v>
      </c>
      <c r="AK4">
        <f>mnist_cnn_all[[#This Row],[kan_steps]]</f>
        <v>8</v>
      </c>
      <c r="AL4">
        <f>mnist_cnn_all[[#This Row],[kan_time_difference]]</f>
        <v>117195677.59999999</v>
      </c>
      <c r="AM4">
        <f>mnist_cnn_all[[#This Row],[mlp_steps]]</f>
        <v>8</v>
      </c>
      <c r="AN4">
        <f>mnist_cnn_all[[#This Row],[time_difference mlp1]]</f>
        <v>171620187.59999999</v>
      </c>
      <c r="AO4">
        <f>mnist_cnn_all[[#This Row],[mlp2_steps]]</f>
        <v>8</v>
      </c>
      <c r="AP4">
        <f>mnist_cnn_all[[#This Row],[mlp 2 time difference]]</f>
        <v>171583041</v>
      </c>
      <c r="AR4">
        <f>AJ4</f>
        <v>220235</v>
      </c>
      <c r="AS4">
        <f>AL4/AK4</f>
        <v>14649459.699999999</v>
      </c>
      <c r="AT4">
        <f>AN4/AM4</f>
        <v>21452523.449999999</v>
      </c>
      <c r="AU4">
        <f>AP4/AO4</f>
        <v>21447880.125</v>
      </c>
    </row>
    <row r="5" spans="1:47" x14ac:dyDescent="0.25">
      <c r="A5" t="s">
        <v>26</v>
      </c>
      <c r="B5">
        <v>9</v>
      </c>
      <c r="C5">
        <v>3</v>
      </c>
      <c r="D5">
        <v>0</v>
      </c>
      <c r="E5" t="s">
        <v>55</v>
      </c>
      <c r="F5">
        <v>235965</v>
      </c>
      <c r="G5">
        <v>122795039.8</v>
      </c>
      <c r="H5">
        <v>8</v>
      </c>
      <c r="I5">
        <v>0.99095</v>
      </c>
      <c r="J5">
        <v>0.96463333333333334</v>
      </c>
      <c r="K5">
        <v>0.98077999999999999</v>
      </c>
      <c r="L5">
        <v>0.96692</v>
      </c>
      <c r="M5">
        <v>0.95865</v>
      </c>
      <c r="N5">
        <v>0.97570833333333329</v>
      </c>
      <c r="O5">
        <v>8</v>
      </c>
      <c r="P5">
        <v>183607654.19999999</v>
      </c>
      <c r="Q5">
        <v>235960</v>
      </c>
      <c r="R5">
        <v>23595</v>
      </c>
      <c r="S5">
        <v>0.96958</v>
      </c>
      <c r="T5">
        <v>0.96384999999999998</v>
      </c>
      <c r="U5">
        <v>0.97864583333333333</v>
      </c>
      <c r="V5">
        <v>8</v>
      </c>
      <c r="W5">
        <v>183708201.40000001</v>
      </c>
      <c r="X5">
        <v>235970</v>
      </c>
      <c r="Y5">
        <v>23596</v>
      </c>
      <c r="Z5" t="s">
        <v>71</v>
      </c>
      <c r="AB5">
        <f>mnist_cnn_all[[#This Row],[kan_params]]</f>
        <v>235965</v>
      </c>
      <c r="AC5">
        <f>mnist_cnn_all[[#This Row],[kan_train_acc]]</f>
        <v>0.99095</v>
      </c>
      <c r="AD5">
        <f>mnist_cnn_all[[#This Row],[kan_val_acc]]</f>
        <v>0.96463333333333334</v>
      </c>
      <c r="AE5">
        <f>mnist_cnn_all[[#This Row],[kan_test_acc]]</f>
        <v>0.98077999999999999</v>
      </c>
      <c r="AF5">
        <f>mnist_cnn_all[[#This Row],[mlp_test_acc]]</f>
        <v>0.96692</v>
      </c>
      <c r="AG5">
        <f>mnist_cnn_all[[#This Row],[mlp_val_acc]]</f>
        <v>0.95865</v>
      </c>
      <c r="AH5">
        <f>mnist_cnn_all[[#This Row],[mlp_train_acc]]</f>
        <v>0.97570833333333329</v>
      </c>
      <c r="AJ5">
        <f>mnist_cnn_all[[#This Row],[kan_params]]</f>
        <v>235965</v>
      </c>
      <c r="AK5">
        <f>mnist_cnn_all[[#This Row],[kan_steps]]</f>
        <v>8</v>
      </c>
      <c r="AL5">
        <f>mnist_cnn_all[[#This Row],[kan_time_difference]]</f>
        <v>122795039.8</v>
      </c>
      <c r="AM5">
        <f>mnist_cnn_all[[#This Row],[mlp_steps]]</f>
        <v>8</v>
      </c>
      <c r="AN5">
        <f>mnist_cnn_all[[#This Row],[time_difference mlp1]]</f>
        <v>183607654.19999999</v>
      </c>
      <c r="AO5">
        <f>mnist_cnn_all[[#This Row],[mlp2_steps]]</f>
        <v>8</v>
      </c>
      <c r="AP5">
        <f>mnist_cnn_all[[#This Row],[mlp 2 time difference]]</f>
        <v>183708201.40000001</v>
      </c>
      <c r="AR5">
        <f>AJ5</f>
        <v>235965</v>
      </c>
      <c r="AS5">
        <f>AL5/AK5</f>
        <v>15349379.975</v>
      </c>
      <c r="AT5">
        <f>AN5/AM5</f>
        <v>22950956.774999999</v>
      </c>
      <c r="AU5">
        <f>AP5/AO5</f>
        <v>22963525.175000001</v>
      </c>
    </row>
    <row r="6" spans="1:47" x14ac:dyDescent="0.25">
      <c r="A6" t="s">
        <v>26</v>
      </c>
      <c r="B6">
        <v>9</v>
      </c>
      <c r="C6">
        <v>4</v>
      </c>
      <c r="D6">
        <v>0</v>
      </c>
      <c r="E6" t="s">
        <v>55</v>
      </c>
      <c r="F6">
        <v>251695</v>
      </c>
      <c r="G6">
        <v>127736314.40000001</v>
      </c>
      <c r="H6">
        <v>8</v>
      </c>
      <c r="I6">
        <v>0.99225416666666666</v>
      </c>
      <c r="J6">
        <v>0.96740000000000004</v>
      </c>
      <c r="K6">
        <v>0.98074000000000006</v>
      </c>
      <c r="L6">
        <v>0.96909999999999996</v>
      </c>
      <c r="M6">
        <v>0.96028333333333338</v>
      </c>
      <c r="N6">
        <v>0.97737916666666669</v>
      </c>
      <c r="O6">
        <v>8</v>
      </c>
      <c r="P6">
        <v>190682699.19999999</v>
      </c>
      <c r="Q6">
        <v>251690</v>
      </c>
      <c r="R6">
        <v>25168</v>
      </c>
      <c r="S6">
        <v>0.97029999999999994</v>
      </c>
      <c r="T6">
        <v>0.95806666666666662</v>
      </c>
      <c r="U6">
        <v>0.97916666666666663</v>
      </c>
      <c r="V6">
        <v>8</v>
      </c>
      <c r="W6">
        <v>192561177.19999999</v>
      </c>
      <c r="X6">
        <v>251700</v>
      </c>
      <c r="Y6">
        <v>25169</v>
      </c>
      <c r="Z6" t="s">
        <v>76</v>
      </c>
      <c r="AB6">
        <f>mnist_cnn_all[[#This Row],[kan_params]]</f>
        <v>251695</v>
      </c>
      <c r="AC6">
        <f>mnist_cnn_all[[#This Row],[kan_train_acc]]</f>
        <v>0.99225416666666666</v>
      </c>
      <c r="AD6">
        <f>mnist_cnn_all[[#This Row],[kan_val_acc]]</f>
        <v>0.96740000000000004</v>
      </c>
      <c r="AE6">
        <f>mnist_cnn_all[[#This Row],[kan_test_acc]]</f>
        <v>0.98074000000000006</v>
      </c>
      <c r="AF6">
        <f>mnist_cnn_all[[#This Row],[mlp_test_acc]]</f>
        <v>0.96909999999999996</v>
      </c>
      <c r="AG6">
        <f>mnist_cnn_all[[#This Row],[mlp_val_acc]]</f>
        <v>0.96028333333333338</v>
      </c>
      <c r="AH6">
        <f>mnist_cnn_all[[#This Row],[mlp_train_acc]]</f>
        <v>0.97737916666666669</v>
      </c>
      <c r="AJ6">
        <f>mnist_cnn_all[[#This Row],[kan_params]]</f>
        <v>251695</v>
      </c>
      <c r="AK6">
        <f>mnist_cnn_all[[#This Row],[kan_steps]]</f>
        <v>8</v>
      </c>
      <c r="AL6">
        <f>mnist_cnn_all[[#This Row],[kan_time_difference]]</f>
        <v>127736314.40000001</v>
      </c>
      <c r="AM6">
        <f>mnist_cnn_all[[#This Row],[mlp_steps]]</f>
        <v>8</v>
      </c>
      <c r="AN6">
        <f>mnist_cnn_all[[#This Row],[time_difference mlp1]]</f>
        <v>190682699.19999999</v>
      </c>
      <c r="AO6">
        <f>mnist_cnn_all[[#This Row],[mlp2_steps]]</f>
        <v>8</v>
      </c>
      <c r="AP6">
        <f>mnist_cnn_all[[#This Row],[mlp 2 time difference]]</f>
        <v>192561177.19999999</v>
      </c>
      <c r="AR6">
        <f>AJ6</f>
        <v>251695</v>
      </c>
      <c r="AS6">
        <f>AL6/AK6</f>
        <v>15967039.300000001</v>
      </c>
      <c r="AT6">
        <f>AN6/AM6</f>
        <v>23835337.399999999</v>
      </c>
      <c r="AU6">
        <f>AP6/AO6</f>
        <v>24070147.149999999</v>
      </c>
    </row>
    <row r="7" spans="1:47" x14ac:dyDescent="0.25">
      <c r="A7" t="s">
        <v>26</v>
      </c>
      <c r="B7">
        <v>3</v>
      </c>
      <c r="C7">
        <v>2</v>
      </c>
      <c r="D7">
        <v>0</v>
      </c>
      <c r="E7" t="s">
        <v>27</v>
      </c>
      <c r="F7">
        <v>251700</v>
      </c>
      <c r="G7">
        <v>264462792.19999999</v>
      </c>
      <c r="H7">
        <v>6</v>
      </c>
      <c r="I7">
        <v>0.99320833333333336</v>
      </c>
      <c r="J7">
        <v>0.98028333333333328</v>
      </c>
      <c r="K7">
        <v>0.98648000000000002</v>
      </c>
      <c r="L7">
        <v>0.98326000000000002</v>
      </c>
      <c r="M7">
        <v>0.96555000000000002</v>
      </c>
      <c r="N7">
        <v>0.99091666666666667</v>
      </c>
      <c r="O7">
        <v>6</v>
      </c>
      <c r="P7">
        <v>972691667.39999998</v>
      </c>
      <c r="Q7">
        <v>251690</v>
      </c>
      <c r="R7">
        <v>25168</v>
      </c>
      <c r="S7">
        <v>0.98072000000000004</v>
      </c>
      <c r="T7">
        <v>0.9740833333333333</v>
      </c>
      <c r="U7">
        <v>0.98825833333333335</v>
      </c>
      <c r="V7">
        <v>6</v>
      </c>
      <c r="W7">
        <v>973424570.39999998</v>
      </c>
      <c r="X7">
        <v>251700</v>
      </c>
      <c r="Y7">
        <v>25169</v>
      </c>
      <c r="Z7" t="s">
        <v>28</v>
      </c>
      <c r="AB7">
        <f>mnist_cnn_all[[#This Row],[kan_params]]</f>
        <v>251700</v>
      </c>
      <c r="AC7">
        <f>mnist_cnn_all[[#This Row],[kan_train_acc]]</f>
        <v>0.99320833333333336</v>
      </c>
      <c r="AD7">
        <f>mnist_cnn_all[[#This Row],[kan_val_acc]]</f>
        <v>0.98028333333333328</v>
      </c>
      <c r="AE7">
        <f>mnist_cnn_all[[#This Row],[kan_test_acc]]</f>
        <v>0.98648000000000002</v>
      </c>
      <c r="AF7">
        <f>mnist_cnn_all[[#This Row],[mlp_test_acc]]</f>
        <v>0.98326000000000002</v>
      </c>
      <c r="AG7">
        <f>mnist_cnn_all[[#This Row],[mlp_val_acc]]</f>
        <v>0.96555000000000002</v>
      </c>
      <c r="AH7">
        <f>mnist_cnn_all[[#This Row],[mlp_train_acc]]</f>
        <v>0.99091666666666667</v>
      </c>
      <c r="AJ7">
        <f>mnist_cnn_all[[#This Row],[kan_params]]</f>
        <v>251700</v>
      </c>
      <c r="AK7">
        <f>mnist_cnn_all[[#This Row],[kan_steps]]</f>
        <v>6</v>
      </c>
      <c r="AL7">
        <f>mnist_cnn_all[[#This Row],[kan_time_difference]]</f>
        <v>264462792.19999999</v>
      </c>
      <c r="AM7">
        <f>mnist_cnn_all[[#This Row],[mlp_steps]]</f>
        <v>6</v>
      </c>
      <c r="AN7">
        <f>mnist_cnn_all[[#This Row],[time_difference mlp1]]</f>
        <v>972691667.39999998</v>
      </c>
      <c r="AO7">
        <f>mnist_cnn_all[[#This Row],[mlp2_steps]]</f>
        <v>6</v>
      </c>
      <c r="AP7">
        <f>mnist_cnn_all[[#This Row],[mlp 2 time difference]]</f>
        <v>973424570.39999998</v>
      </c>
      <c r="AR7">
        <f>AJ7</f>
        <v>251700</v>
      </c>
      <c r="AS7">
        <f>AL7/AK7</f>
        <v>44077132.033333331</v>
      </c>
      <c r="AT7">
        <f>AN7/AM7</f>
        <v>162115277.90000001</v>
      </c>
      <c r="AU7">
        <f>AP7/AO7</f>
        <v>162237428.40000001</v>
      </c>
    </row>
    <row r="8" spans="1:47" x14ac:dyDescent="0.25">
      <c r="A8" t="s">
        <v>26</v>
      </c>
      <c r="B8">
        <v>9</v>
      </c>
      <c r="C8">
        <v>5</v>
      </c>
      <c r="D8">
        <v>0</v>
      </c>
      <c r="E8" t="s">
        <v>55</v>
      </c>
      <c r="F8">
        <v>267425</v>
      </c>
      <c r="G8">
        <v>148459906</v>
      </c>
      <c r="H8">
        <v>8</v>
      </c>
      <c r="I8">
        <v>0.99237083333333331</v>
      </c>
      <c r="J8">
        <v>0.96356666666666668</v>
      </c>
      <c r="K8">
        <v>0.98024</v>
      </c>
      <c r="L8">
        <v>0.96618000000000004</v>
      </c>
      <c r="M8">
        <v>0.96476666666666666</v>
      </c>
      <c r="N8">
        <v>0.97516250000000004</v>
      </c>
      <c r="O8">
        <v>8</v>
      </c>
      <c r="P8">
        <v>205337902.59999999</v>
      </c>
      <c r="Q8">
        <v>267420</v>
      </c>
      <c r="R8">
        <v>26741</v>
      </c>
      <c r="S8">
        <v>0.97048000000000001</v>
      </c>
      <c r="T8">
        <v>0.9637</v>
      </c>
      <c r="U8">
        <v>0.98090416666666669</v>
      </c>
      <c r="V8">
        <v>8</v>
      </c>
      <c r="W8">
        <v>206200692.40000001</v>
      </c>
      <c r="X8">
        <v>267430</v>
      </c>
      <c r="Y8">
        <v>26742</v>
      </c>
      <c r="Z8" t="s">
        <v>81</v>
      </c>
      <c r="AB8">
        <f>mnist_cnn_all[[#This Row],[kan_params]]</f>
        <v>267425</v>
      </c>
      <c r="AC8">
        <f>mnist_cnn_all[[#This Row],[kan_train_acc]]</f>
        <v>0.99237083333333331</v>
      </c>
      <c r="AD8">
        <f>mnist_cnn_all[[#This Row],[kan_val_acc]]</f>
        <v>0.96356666666666668</v>
      </c>
      <c r="AE8">
        <f>mnist_cnn_all[[#This Row],[kan_test_acc]]</f>
        <v>0.98024</v>
      </c>
      <c r="AF8">
        <f>mnist_cnn_all[[#This Row],[mlp_test_acc]]</f>
        <v>0.96618000000000004</v>
      </c>
      <c r="AG8">
        <f>mnist_cnn_all[[#This Row],[mlp_val_acc]]</f>
        <v>0.96476666666666666</v>
      </c>
      <c r="AH8">
        <f>mnist_cnn_all[[#This Row],[mlp_train_acc]]</f>
        <v>0.97516250000000004</v>
      </c>
      <c r="AJ8">
        <f>mnist_cnn_all[[#This Row],[kan_params]]</f>
        <v>267425</v>
      </c>
      <c r="AK8">
        <f>mnist_cnn_all[[#This Row],[kan_steps]]</f>
        <v>8</v>
      </c>
      <c r="AL8">
        <f>mnist_cnn_all[[#This Row],[kan_time_difference]]</f>
        <v>148459906</v>
      </c>
      <c r="AM8">
        <f>mnist_cnn_all[[#This Row],[mlp_steps]]</f>
        <v>8</v>
      </c>
      <c r="AN8">
        <f>mnist_cnn_all[[#This Row],[time_difference mlp1]]</f>
        <v>205337902.59999999</v>
      </c>
      <c r="AO8">
        <f>mnist_cnn_all[[#This Row],[mlp2_steps]]</f>
        <v>8</v>
      </c>
      <c r="AP8">
        <f>mnist_cnn_all[[#This Row],[mlp 2 time difference]]</f>
        <v>206200692.40000001</v>
      </c>
      <c r="AR8">
        <f>AJ8</f>
        <v>267425</v>
      </c>
      <c r="AS8">
        <f>AL8/AK8</f>
        <v>18557488.25</v>
      </c>
      <c r="AT8">
        <f>AN8/AM8</f>
        <v>25667237.824999999</v>
      </c>
      <c r="AU8">
        <f>AP8/AO8</f>
        <v>25775086.550000001</v>
      </c>
    </row>
    <row r="9" spans="1:47" x14ac:dyDescent="0.25">
      <c r="A9" t="s">
        <v>26</v>
      </c>
      <c r="B9">
        <v>3</v>
      </c>
      <c r="C9">
        <v>3</v>
      </c>
      <c r="D9">
        <v>0</v>
      </c>
      <c r="E9" t="s">
        <v>27</v>
      </c>
      <c r="F9">
        <v>283160</v>
      </c>
      <c r="G9">
        <v>158225983.59999999</v>
      </c>
      <c r="H9">
        <v>6</v>
      </c>
      <c r="I9">
        <v>0.99358750000000007</v>
      </c>
      <c r="J9">
        <v>0.9801333333333333</v>
      </c>
      <c r="K9">
        <v>0.98619999999999997</v>
      </c>
      <c r="L9">
        <v>0.97506000000000004</v>
      </c>
      <c r="M9">
        <v>0.95276666666666665</v>
      </c>
      <c r="N9">
        <v>0.98236250000000003</v>
      </c>
      <c r="O9">
        <v>6</v>
      </c>
      <c r="P9">
        <v>467398775.80000001</v>
      </c>
      <c r="Q9">
        <v>283150</v>
      </c>
      <c r="R9">
        <v>28314</v>
      </c>
      <c r="S9">
        <v>0.97714000000000001</v>
      </c>
      <c r="T9">
        <v>0.95441666666666669</v>
      </c>
      <c r="U9">
        <v>0.98450833333333332</v>
      </c>
      <c r="V9">
        <v>6</v>
      </c>
      <c r="W9">
        <v>468398593.80000001</v>
      </c>
      <c r="X9">
        <v>283160</v>
      </c>
      <c r="Y9">
        <v>28315</v>
      </c>
      <c r="Z9" t="s">
        <v>33</v>
      </c>
      <c r="AB9">
        <f>mnist_cnn_all[[#This Row],[kan_params]]</f>
        <v>283160</v>
      </c>
      <c r="AC9">
        <f>mnist_cnn_all[[#This Row],[kan_train_acc]]</f>
        <v>0.99358750000000007</v>
      </c>
      <c r="AD9">
        <f>mnist_cnn_all[[#This Row],[kan_val_acc]]</f>
        <v>0.9801333333333333</v>
      </c>
      <c r="AE9">
        <f>mnist_cnn_all[[#This Row],[kan_test_acc]]</f>
        <v>0.98619999999999997</v>
      </c>
      <c r="AF9">
        <f>mnist_cnn_all[[#This Row],[mlp_test_acc]]</f>
        <v>0.97506000000000004</v>
      </c>
      <c r="AG9">
        <f>mnist_cnn_all[[#This Row],[mlp_val_acc]]</f>
        <v>0.95276666666666665</v>
      </c>
      <c r="AH9">
        <f>mnist_cnn_all[[#This Row],[mlp_train_acc]]</f>
        <v>0.98236250000000003</v>
      </c>
      <c r="AJ9">
        <f>mnist_cnn_all[[#This Row],[kan_params]]</f>
        <v>283160</v>
      </c>
      <c r="AK9">
        <f>mnist_cnn_all[[#This Row],[kan_steps]]</f>
        <v>6</v>
      </c>
      <c r="AL9">
        <f>mnist_cnn_all[[#This Row],[kan_time_difference]]</f>
        <v>158225983.59999999</v>
      </c>
      <c r="AM9">
        <f>mnist_cnn_all[[#This Row],[mlp_steps]]</f>
        <v>6</v>
      </c>
      <c r="AN9">
        <f>mnist_cnn_all[[#This Row],[time_difference mlp1]]</f>
        <v>467398775.80000001</v>
      </c>
      <c r="AO9">
        <f>mnist_cnn_all[[#This Row],[mlp2_steps]]</f>
        <v>6</v>
      </c>
      <c r="AP9">
        <f>mnist_cnn_all[[#This Row],[mlp 2 time difference]]</f>
        <v>468398593.80000001</v>
      </c>
      <c r="AR9">
        <f>AJ9</f>
        <v>283160</v>
      </c>
      <c r="AS9">
        <f>AL9/AK9</f>
        <v>26370997.266666666</v>
      </c>
      <c r="AT9">
        <f>AN9/AM9</f>
        <v>77899795.966666669</v>
      </c>
      <c r="AU9">
        <f>AP9/AO9</f>
        <v>78066432.299999997</v>
      </c>
    </row>
    <row r="10" spans="1:47" x14ac:dyDescent="0.25">
      <c r="A10" t="s">
        <v>26</v>
      </c>
      <c r="B10">
        <v>3</v>
      </c>
      <c r="C10">
        <v>4</v>
      </c>
      <c r="D10">
        <v>0</v>
      </c>
      <c r="E10" t="s">
        <v>27</v>
      </c>
      <c r="F10">
        <v>314620</v>
      </c>
      <c r="G10">
        <v>120316334.2</v>
      </c>
      <c r="H10">
        <v>6</v>
      </c>
      <c r="I10">
        <v>0.99411249999999995</v>
      </c>
      <c r="J10">
        <v>0.98028333333333328</v>
      </c>
      <c r="K10">
        <v>0.98694000000000004</v>
      </c>
      <c r="L10">
        <v>0.97376000000000007</v>
      </c>
      <c r="M10">
        <v>0.95674999999999999</v>
      </c>
      <c r="N10">
        <v>0.98155416666666673</v>
      </c>
      <c r="O10">
        <v>6</v>
      </c>
      <c r="P10">
        <v>277574043.19999999</v>
      </c>
      <c r="Q10">
        <v>314610</v>
      </c>
      <c r="R10">
        <v>31460</v>
      </c>
      <c r="S10">
        <v>0.97077999999999998</v>
      </c>
      <c r="T10">
        <v>0.95481666666666665</v>
      </c>
      <c r="U10">
        <v>0.9790875</v>
      </c>
      <c r="V10">
        <v>6</v>
      </c>
      <c r="W10">
        <v>277051119.80000001</v>
      </c>
      <c r="X10">
        <v>314620</v>
      </c>
      <c r="Y10">
        <v>31461</v>
      </c>
      <c r="Z10" t="s">
        <v>36</v>
      </c>
      <c r="AB10">
        <f>mnist_cnn_all[[#This Row],[kan_params]]</f>
        <v>314620</v>
      </c>
      <c r="AC10">
        <f>mnist_cnn_all[[#This Row],[kan_train_acc]]</f>
        <v>0.99411249999999995</v>
      </c>
      <c r="AD10">
        <f>mnist_cnn_all[[#This Row],[kan_val_acc]]</f>
        <v>0.98028333333333328</v>
      </c>
      <c r="AE10">
        <f>mnist_cnn_all[[#This Row],[kan_test_acc]]</f>
        <v>0.98694000000000004</v>
      </c>
      <c r="AF10">
        <f>mnist_cnn_all[[#This Row],[mlp_test_acc]]</f>
        <v>0.97376000000000007</v>
      </c>
      <c r="AG10">
        <f>mnist_cnn_all[[#This Row],[mlp_val_acc]]</f>
        <v>0.95674999999999999</v>
      </c>
      <c r="AH10">
        <f>mnist_cnn_all[[#This Row],[mlp_train_acc]]</f>
        <v>0.98155416666666673</v>
      </c>
      <c r="AJ10">
        <f>mnist_cnn_all[[#This Row],[kan_params]]</f>
        <v>314620</v>
      </c>
      <c r="AK10">
        <f>mnist_cnn_all[[#This Row],[kan_steps]]</f>
        <v>6</v>
      </c>
      <c r="AL10">
        <f>mnist_cnn_all[[#This Row],[kan_time_difference]]</f>
        <v>120316334.2</v>
      </c>
      <c r="AM10">
        <f>mnist_cnn_all[[#This Row],[mlp_steps]]</f>
        <v>6</v>
      </c>
      <c r="AN10">
        <f>mnist_cnn_all[[#This Row],[time_difference mlp1]]</f>
        <v>277574043.19999999</v>
      </c>
      <c r="AO10">
        <f>mnist_cnn_all[[#This Row],[mlp2_steps]]</f>
        <v>6</v>
      </c>
      <c r="AP10">
        <f>mnist_cnn_all[[#This Row],[mlp 2 time difference]]</f>
        <v>277051119.80000001</v>
      </c>
      <c r="AR10">
        <f>AJ10</f>
        <v>314620</v>
      </c>
      <c r="AS10">
        <f>AL10/AK10</f>
        <v>20052722.366666667</v>
      </c>
      <c r="AT10">
        <f>AN10/AM10</f>
        <v>46262340.533333331</v>
      </c>
      <c r="AU10">
        <f>AP10/AO10</f>
        <v>46175186.633333333</v>
      </c>
    </row>
    <row r="11" spans="1:47" x14ac:dyDescent="0.25">
      <c r="A11" t="s">
        <v>26</v>
      </c>
      <c r="B11">
        <v>5</v>
      </c>
      <c r="C11">
        <v>2</v>
      </c>
      <c r="D11">
        <v>0</v>
      </c>
      <c r="E11" t="s">
        <v>27</v>
      </c>
      <c r="F11">
        <v>314620</v>
      </c>
      <c r="G11">
        <v>90753476.799999997</v>
      </c>
      <c r="H11">
        <v>6</v>
      </c>
      <c r="I11">
        <v>0.9945166666666666</v>
      </c>
      <c r="J11">
        <v>0.98065000000000002</v>
      </c>
      <c r="K11">
        <v>0.98724000000000001</v>
      </c>
      <c r="L11">
        <v>0.96784000000000003</v>
      </c>
      <c r="M11">
        <v>0.95568333333333333</v>
      </c>
      <c r="N11">
        <v>0.97390416666666668</v>
      </c>
      <c r="O11">
        <v>6</v>
      </c>
      <c r="P11">
        <v>175019837.80000001</v>
      </c>
      <c r="Q11">
        <v>314610</v>
      </c>
      <c r="R11">
        <v>31460</v>
      </c>
      <c r="S11">
        <v>0.9637</v>
      </c>
      <c r="T11">
        <v>0.96631666666666671</v>
      </c>
      <c r="U11">
        <v>0.96914583333333337</v>
      </c>
      <c r="V11">
        <v>6</v>
      </c>
      <c r="W11">
        <v>174990177</v>
      </c>
      <c r="X11">
        <v>314620</v>
      </c>
      <c r="Y11">
        <v>31461</v>
      </c>
      <c r="Z11" t="s">
        <v>42</v>
      </c>
      <c r="AB11">
        <f>mnist_cnn_all[[#This Row],[kan_params]]</f>
        <v>314620</v>
      </c>
      <c r="AC11">
        <f>mnist_cnn_all[[#This Row],[kan_train_acc]]</f>
        <v>0.9945166666666666</v>
      </c>
      <c r="AD11">
        <f>mnist_cnn_all[[#This Row],[kan_val_acc]]</f>
        <v>0.98065000000000002</v>
      </c>
      <c r="AE11">
        <f>mnist_cnn_all[[#This Row],[kan_test_acc]]</f>
        <v>0.98724000000000001</v>
      </c>
      <c r="AF11">
        <f>mnist_cnn_all[[#This Row],[mlp_test_acc]]</f>
        <v>0.96784000000000003</v>
      </c>
      <c r="AG11">
        <f>mnist_cnn_all[[#This Row],[mlp_val_acc]]</f>
        <v>0.95568333333333333</v>
      </c>
      <c r="AH11">
        <f>mnist_cnn_all[[#This Row],[mlp_train_acc]]</f>
        <v>0.97390416666666668</v>
      </c>
      <c r="AJ11">
        <f>mnist_cnn_all[[#This Row],[kan_params]]</f>
        <v>314620</v>
      </c>
      <c r="AK11">
        <f>mnist_cnn_all[[#This Row],[kan_steps]]</f>
        <v>6</v>
      </c>
      <c r="AL11">
        <f>mnist_cnn_all[[#This Row],[kan_time_difference]]</f>
        <v>90753476.799999997</v>
      </c>
      <c r="AM11">
        <f>mnist_cnn_all[[#This Row],[mlp_steps]]</f>
        <v>6</v>
      </c>
      <c r="AN11">
        <f>mnist_cnn_all[[#This Row],[time_difference mlp1]]</f>
        <v>175019837.80000001</v>
      </c>
      <c r="AO11">
        <f>mnist_cnn_all[[#This Row],[mlp2_steps]]</f>
        <v>6</v>
      </c>
      <c r="AP11">
        <f>mnist_cnn_all[[#This Row],[mlp 2 time difference]]</f>
        <v>174990177</v>
      </c>
      <c r="AR11">
        <f>AJ11</f>
        <v>314620</v>
      </c>
      <c r="AS11">
        <f>AL11/AK11</f>
        <v>15125579.466666667</v>
      </c>
      <c r="AT11">
        <f>AN11/AM11</f>
        <v>29169972.966666669</v>
      </c>
      <c r="AU11">
        <f>AP11/AO11</f>
        <v>29165029.5</v>
      </c>
    </row>
    <row r="12" spans="1:47" x14ac:dyDescent="0.25">
      <c r="A12" t="s">
        <v>26</v>
      </c>
      <c r="B12">
        <v>3</v>
      </c>
      <c r="C12">
        <v>5</v>
      </c>
      <c r="D12">
        <v>0</v>
      </c>
      <c r="E12" t="s">
        <v>27</v>
      </c>
      <c r="F12">
        <v>346080</v>
      </c>
      <c r="G12">
        <v>105656716.40000001</v>
      </c>
      <c r="H12">
        <v>6</v>
      </c>
      <c r="I12">
        <v>0.99434583333333337</v>
      </c>
      <c r="J12">
        <v>0.98171666666666668</v>
      </c>
      <c r="K12">
        <v>0.98739999999999994</v>
      </c>
      <c r="L12">
        <v>0.96192</v>
      </c>
      <c r="M12">
        <v>0.96761666666666668</v>
      </c>
      <c r="N12">
        <v>0.96869166666666673</v>
      </c>
      <c r="O12">
        <v>6</v>
      </c>
      <c r="P12">
        <v>190236162.80000001</v>
      </c>
      <c r="Q12">
        <v>346070</v>
      </c>
      <c r="R12">
        <v>34606</v>
      </c>
      <c r="S12">
        <v>0.96721999999999997</v>
      </c>
      <c r="T12">
        <v>0.96089999999999998</v>
      </c>
      <c r="U12">
        <v>0.97482499999999994</v>
      </c>
      <c r="V12">
        <v>6</v>
      </c>
      <c r="W12">
        <v>190814254</v>
      </c>
      <c r="X12">
        <v>346080</v>
      </c>
      <c r="Y12">
        <v>34607</v>
      </c>
      <c r="Z12" t="s">
        <v>39</v>
      </c>
      <c r="AB12">
        <f>mnist_cnn_all[[#This Row],[kan_params]]</f>
        <v>346080</v>
      </c>
      <c r="AC12">
        <f>mnist_cnn_all[[#This Row],[kan_train_acc]]</f>
        <v>0.99434583333333337</v>
      </c>
      <c r="AD12">
        <f>mnist_cnn_all[[#This Row],[kan_val_acc]]</f>
        <v>0.98171666666666668</v>
      </c>
      <c r="AE12">
        <f>mnist_cnn_all[[#This Row],[kan_test_acc]]</f>
        <v>0.98739999999999994</v>
      </c>
      <c r="AF12">
        <f>mnist_cnn_all[[#This Row],[mlp_test_acc]]</f>
        <v>0.96192</v>
      </c>
      <c r="AG12">
        <f>mnist_cnn_all[[#This Row],[mlp_val_acc]]</f>
        <v>0.96761666666666668</v>
      </c>
      <c r="AH12">
        <f>mnist_cnn_all[[#This Row],[mlp_train_acc]]</f>
        <v>0.96869166666666673</v>
      </c>
      <c r="AJ12">
        <f>mnist_cnn_all[[#This Row],[kan_params]]</f>
        <v>346080</v>
      </c>
      <c r="AK12">
        <f>mnist_cnn_all[[#This Row],[kan_steps]]</f>
        <v>6</v>
      </c>
      <c r="AL12">
        <f>mnist_cnn_all[[#This Row],[kan_time_difference]]</f>
        <v>105656716.40000001</v>
      </c>
      <c r="AM12">
        <f>mnist_cnn_all[[#This Row],[mlp_steps]]</f>
        <v>6</v>
      </c>
      <c r="AN12">
        <f>mnist_cnn_all[[#This Row],[time_difference mlp1]]</f>
        <v>190236162.80000001</v>
      </c>
      <c r="AO12">
        <f>mnist_cnn_all[[#This Row],[mlp2_steps]]</f>
        <v>6</v>
      </c>
      <c r="AP12">
        <f>mnist_cnn_all[[#This Row],[mlp 2 time difference]]</f>
        <v>190814254</v>
      </c>
      <c r="AR12">
        <f>AJ12</f>
        <v>346080</v>
      </c>
      <c r="AS12">
        <f>AL12/AK12</f>
        <v>17609452.733333334</v>
      </c>
      <c r="AT12">
        <f>AN12/AM12</f>
        <v>31706027.133333337</v>
      </c>
      <c r="AU12">
        <f>AP12/AO12</f>
        <v>31802375.666666668</v>
      </c>
    </row>
    <row r="13" spans="1:47" x14ac:dyDescent="0.25">
      <c r="A13" t="s">
        <v>26</v>
      </c>
      <c r="B13">
        <v>5</v>
      </c>
      <c r="C13">
        <v>3</v>
      </c>
      <c r="D13">
        <v>0</v>
      </c>
      <c r="E13" t="s">
        <v>27</v>
      </c>
      <c r="F13">
        <v>346080</v>
      </c>
      <c r="G13">
        <v>96459230.799999997</v>
      </c>
      <c r="H13">
        <v>6</v>
      </c>
      <c r="I13">
        <v>0.99475416666666672</v>
      </c>
      <c r="J13">
        <v>0.9778</v>
      </c>
      <c r="K13">
        <v>0.98704000000000003</v>
      </c>
      <c r="L13">
        <v>0.96650000000000003</v>
      </c>
      <c r="M13">
        <v>0.94741666666666668</v>
      </c>
      <c r="N13">
        <v>0.97515833333333335</v>
      </c>
      <c r="O13">
        <v>6</v>
      </c>
      <c r="P13">
        <v>195265559.59999999</v>
      </c>
      <c r="Q13">
        <v>346070</v>
      </c>
      <c r="R13">
        <v>34606</v>
      </c>
      <c r="S13">
        <v>0.97018000000000004</v>
      </c>
      <c r="T13">
        <v>0.96050000000000002</v>
      </c>
      <c r="U13">
        <v>0.97683333333333333</v>
      </c>
      <c r="V13">
        <v>6</v>
      </c>
      <c r="W13">
        <v>195800341.19999999</v>
      </c>
      <c r="X13">
        <v>346080</v>
      </c>
      <c r="Y13">
        <v>34607</v>
      </c>
      <c r="Z13" t="s">
        <v>47</v>
      </c>
      <c r="AB13">
        <f>mnist_cnn_all[[#This Row],[kan_params]]</f>
        <v>346080</v>
      </c>
      <c r="AC13">
        <f>mnist_cnn_all[[#This Row],[kan_train_acc]]</f>
        <v>0.99475416666666672</v>
      </c>
      <c r="AD13">
        <f>mnist_cnn_all[[#This Row],[kan_val_acc]]</f>
        <v>0.9778</v>
      </c>
      <c r="AE13">
        <f>mnist_cnn_all[[#This Row],[kan_test_acc]]</f>
        <v>0.98704000000000003</v>
      </c>
      <c r="AF13">
        <f>mnist_cnn_all[[#This Row],[mlp_test_acc]]</f>
        <v>0.96650000000000003</v>
      </c>
      <c r="AG13">
        <f>mnist_cnn_all[[#This Row],[mlp_val_acc]]</f>
        <v>0.94741666666666668</v>
      </c>
      <c r="AH13">
        <f>mnist_cnn_all[[#This Row],[mlp_train_acc]]</f>
        <v>0.97515833333333335</v>
      </c>
      <c r="AJ13">
        <f>mnist_cnn_all[[#This Row],[kan_params]]</f>
        <v>346080</v>
      </c>
      <c r="AK13">
        <f>mnist_cnn_all[[#This Row],[kan_steps]]</f>
        <v>6</v>
      </c>
      <c r="AL13">
        <f>mnist_cnn_all[[#This Row],[kan_time_difference]]</f>
        <v>96459230.799999997</v>
      </c>
      <c r="AM13">
        <f>mnist_cnn_all[[#This Row],[mlp_steps]]</f>
        <v>6</v>
      </c>
      <c r="AN13">
        <f>mnist_cnn_all[[#This Row],[time_difference mlp1]]</f>
        <v>195265559.59999999</v>
      </c>
      <c r="AO13">
        <f>mnist_cnn_all[[#This Row],[mlp2_steps]]</f>
        <v>6</v>
      </c>
      <c r="AP13">
        <f>mnist_cnn_all[[#This Row],[mlp 2 time difference]]</f>
        <v>195800341.19999999</v>
      </c>
      <c r="AR13">
        <f>AJ13</f>
        <v>346080</v>
      </c>
      <c r="AS13">
        <f>AL13/AK13</f>
        <v>16076538.466666667</v>
      </c>
      <c r="AT13">
        <f>AN13/AM13</f>
        <v>32544259.933333334</v>
      </c>
      <c r="AU13">
        <f>AP13/AO13</f>
        <v>32633390.199999999</v>
      </c>
    </row>
    <row r="14" spans="1:47" x14ac:dyDescent="0.25">
      <c r="A14" t="s">
        <v>26</v>
      </c>
      <c r="B14">
        <v>5</v>
      </c>
      <c r="C14">
        <v>4</v>
      </c>
      <c r="D14">
        <v>0</v>
      </c>
      <c r="E14" t="s">
        <v>27</v>
      </c>
      <c r="F14">
        <v>377540</v>
      </c>
      <c r="G14">
        <v>100023248.8</v>
      </c>
      <c r="H14">
        <v>6</v>
      </c>
      <c r="I14">
        <v>0.99434999999999996</v>
      </c>
      <c r="J14">
        <v>0.97936666666666672</v>
      </c>
      <c r="K14">
        <v>0.98702000000000001</v>
      </c>
      <c r="L14">
        <v>0.95916000000000001</v>
      </c>
      <c r="M14">
        <v>0.96361666666666668</v>
      </c>
      <c r="N14">
        <v>0.96649583333333333</v>
      </c>
      <c r="O14">
        <v>6</v>
      </c>
      <c r="P14">
        <v>209610373.80000001</v>
      </c>
      <c r="Q14">
        <v>377530</v>
      </c>
      <c r="R14">
        <v>37752</v>
      </c>
      <c r="S14">
        <v>0.96694000000000002</v>
      </c>
      <c r="T14">
        <v>0.95543333333333336</v>
      </c>
      <c r="U14">
        <v>0.97319583333333326</v>
      </c>
      <c r="V14">
        <v>6</v>
      </c>
      <c r="W14">
        <v>210150049.80000001</v>
      </c>
      <c r="X14">
        <v>377540</v>
      </c>
      <c r="Y14">
        <v>37753</v>
      </c>
      <c r="Z14" t="s">
        <v>51</v>
      </c>
      <c r="AB14">
        <f>mnist_cnn_all[[#This Row],[kan_params]]</f>
        <v>377540</v>
      </c>
      <c r="AC14">
        <f>mnist_cnn_all[[#This Row],[kan_train_acc]]</f>
        <v>0.99434999999999996</v>
      </c>
      <c r="AD14">
        <f>mnist_cnn_all[[#This Row],[kan_val_acc]]</f>
        <v>0.97936666666666672</v>
      </c>
      <c r="AE14">
        <f>mnist_cnn_all[[#This Row],[kan_test_acc]]</f>
        <v>0.98702000000000001</v>
      </c>
      <c r="AF14">
        <f>mnist_cnn_all[[#This Row],[mlp_test_acc]]</f>
        <v>0.95916000000000001</v>
      </c>
      <c r="AG14">
        <f>mnist_cnn_all[[#This Row],[mlp_val_acc]]</f>
        <v>0.96361666666666668</v>
      </c>
      <c r="AH14">
        <f>mnist_cnn_all[[#This Row],[mlp_train_acc]]</f>
        <v>0.96649583333333333</v>
      </c>
      <c r="AJ14">
        <f>mnist_cnn_all[[#This Row],[kan_params]]</f>
        <v>377540</v>
      </c>
      <c r="AK14">
        <f>mnist_cnn_all[[#This Row],[kan_steps]]</f>
        <v>6</v>
      </c>
      <c r="AL14">
        <f>mnist_cnn_all[[#This Row],[kan_time_difference]]</f>
        <v>100023248.8</v>
      </c>
      <c r="AM14">
        <f>mnist_cnn_all[[#This Row],[mlp_steps]]</f>
        <v>6</v>
      </c>
      <c r="AN14">
        <f>mnist_cnn_all[[#This Row],[time_difference mlp1]]</f>
        <v>209610373.80000001</v>
      </c>
      <c r="AO14">
        <f>mnist_cnn_all[[#This Row],[mlp2_steps]]</f>
        <v>6</v>
      </c>
      <c r="AP14">
        <f>mnist_cnn_all[[#This Row],[mlp 2 time difference]]</f>
        <v>210150049.80000001</v>
      </c>
      <c r="AR14">
        <f>AJ14</f>
        <v>377540</v>
      </c>
      <c r="AS14">
        <f>AL14/AK14</f>
        <v>16670541.466666667</v>
      </c>
      <c r="AT14">
        <f>AN14/AM14</f>
        <v>34935062.300000004</v>
      </c>
      <c r="AU14">
        <f>AP14/AO14</f>
        <v>35025008.300000004</v>
      </c>
    </row>
    <row r="15" spans="1:47" x14ac:dyDescent="0.25">
      <c r="A15" t="s">
        <v>26</v>
      </c>
      <c r="B15">
        <v>5</v>
      </c>
      <c r="C15">
        <v>2</v>
      </c>
      <c r="D15">
        <v>0</v>
      </c>
      <c r="E15" t="s">
        <v>43</v>
      </c>
      <c r="F15">
        <v>377542</v>
      </c>
      <c r="G15">
        <v>118963374.8</v>
      </c>
      <c r="H15">
        <v>8</v>
      </c>
      <c r="I15">
        <v>0.99649166666666666</v>
      </c>
      <c r="J15">
        <v>0.97993333333333332</v>
      </c>
      <c r="K15">
        <v>0.98728000000000005</v>
      </c>
      <c r="L15">
        <v>0.97155999999999998</v>
      </c>
      <c r="M15">
        <v>0.9381666666666667</v>
      </c>
      <c r="N15">
        <v>0.98029166666666667</v>
      </c>
      <c r="O15">
        <v>8</v>
      </c>
      <c r="P15">
        <v>269513606.39999998</v>
      </c>
      <c r="Q15">
        <v>377540</v>
      </c>
      <c r="R15">
        <v>37753</v>
      </c>
      <c r="S15">
        <v>0.96711999999999998</v>
      </c>
      <c r="T15">
        <v>0.95711666666666662</v>
      </c>
      <c r="U15">
        <v>0.97582916666666664</v>
      </c>
      <c r="V15">
        <v>8</v>
      </c>
      <c r="W15">
        <v>269393432.60000002</v>
      </c>
      <c r="X15">
        <v>377550</v>
      </c>
      <c r="Y15">
        <v>37754</v>
      </c>
      <c r="Z15" t="s">
        <v>44</v>
      </c>
      <c r="AB15">
        <f>mnist_cnn_all[[#This Row],[kan_params]]</f>
        <v>377542</v>
      </c>
      <c r="AC15">
        <f>mnist_cnn_all[[#This Row],[kan_train_acc]]</f>
        <v>0.99649166666666666</v>
      </c>
      <c r="AD15">
        <f>mnist_cnn_all[[#This Row],[kan_val_acc]]</f>
        <v>0.97993333333333332</v>
      </c>
      <c r="AE15">
        <f>mnist_cnn_all[[#This Row],[kan_test_acc]]</f>
        <v>0.98728000000000005</v>
      </c>
      <c r="AF15">
        <f>mnist_cnn_all[[#This Row],[mlp_test_acc]]</f>
        <v>0.97155999999999998</v>
      </c>
      <c r="AG15">
        <f>mnist_cnn_all[[#This Row],[mlp_val_acc]]</f>
        <v>0.9381666666666667</v>
      </c>
      <c r="AH15">
        <f>mnist_cnn_all[[#This Row],[mlp_train_acc]]</f>
        <v>0.98029166666666667</v>
      </c>
      <c r="AJ15">
        <f>mnist_cnn_all[[#This Row],[kan_params]]</f>
        <v>377542</v>
      </c>
      <c r="AK15">
        <f>mnist_cnn_all[[#This Row],[kan_steps]]</f>
        <v>8</v>
      </c>
      <c r="AL15">
        <f>mnist_cnn_all[[#This Row],[kan_time_difference]]</f>
        <v>118963374.8</v>
      </c>
      <c r="AM15">
        <f>mnist_cnn_all[[#This Row],[mlp_steps]]</f>
        <v>8</v>
      </c>
      <c r="AN15">
        <f>mnist_cnn_all[[#This Row],[time_difference mlp1]]</f>
        <v>269513606.39999998</v>
      </c>
      <c r="AO15">
        <f>mnist_cnn_all[[#This Row],[mlp2_steps]]</f>
        <v>8</v>
      </c>
      <c r="AP15">
        <f>mnist_cnn_all[[#This Row],[mlp 2 time difference]]</f>
        <v>269393432.60000002</v>
      </c>
      <c r="AR15">
        <f>AJ15</f>
        <v>377542</v>
      </c>
      <c r="AS15">
        <f>AL15/AK15</f>
        <v>14870421.85</v>
      </c>
      <c r="AT15">
        <f>AN15/AM15</f>
        <v>33689200.799999997</v>
      </c>
      <c r="AU15">
        <f>AP15/AO15</f>
        <v>33674179.075000003</v>
      </c>
    </row>
    <row r="16" spans="1:47" x14ac:dyDescent="0.25">
      <c r="A16" t="s">
        <v>26</v>
      </c>
      <c r="B16">
        <v>3</v>
      </c>
      <c r="C16">
        <v>2</v>
      </c>
      <c r="D16">
        <v>0</v>
      </c>
      <c r="E16" t="s">
        <v>29</v>
      </c>
      <c r="F16">
        <v>377545</v>
      </c>
      <c r="G16">
        <v>562350711.60000002</v>
      </c>
      <c r="H16">
        <v>13.6</v>
      </c>
      <c r="I16">
        <v>0.9969041666666667</v>
      </c>
      <c r="J16">
        <v>0.97466666666666668</v>
      </c>
      <c r="K16">
        <v>0.98785999999999996</v>
      </c>
      <c r="L16">
        <v>0.97631999999999997</v>
      </c>
      <c r="M16">
        <v>0.95783333333333331</v>
      </c>
      <c r="N16">
        <v>0.9887541666666666</v>
      </c>
      <c r="O16">
        <v>13.6</v>
      </c>
      <c r="P16">
        <v>2389765536.5999999</v>
      </c>
      <c r="Q16">
        <v>377540</v>
      </c>
      <c r="R16">
        <v>37753</v>
      </c>
      <c r="S16">
        <v>0.97906000000000004</v>
      </c>
      <c r="T16">
        <v>0.95333333333333337</v>
      </c>
      <c r="U16">
        <v>0.99055833333333332</v>
      </c>
      <c r="V16">
        <v>13.6</v>
      </c>
      <c r="W16">
        <v>2383065739.1999998</v>
      </c>
      <c r="X16">
        <v>377550</v>
      </c>
      <c r="Y16">
        <v>37754</v>
      </c>
      <c r="Z16" t="s">
        <v>30</v>
      </c>
      <c r="AB16">
        <f>mnist_cnn_all[[#This Row],[kan_params]]</f>
        <v>377545</v>
      </c>
      <c r="AC16">
        <f>mnist_cnn_all[[#This Row],[kan_train_acc]]</f>
        <v>0.9969041666666667</v>
      </c>
      <c r="AD16">
        <f>mnist_cnn_all[[#This Row],[kan_val_acc]]</f>
        <v>0.97466666666666668</v>
      </c>
      <c r="AE16">
        <f>mnist_cnn_all[[#This Row],[kan_test_acc]]</f>
        <v>0.98785999999999996</v>
      </c>
      <c r="AF16">
        <f>mnist_cnn_all[[#This Row],[mlp_test_acc]]</f>
        <v>0.97631999999999997</v>
      </c>
      <c r="AG16">
        <f>mnist_cnn_all[[#This Row],[mlp_val_acc]]</f>
        <v>0.95783333333333331</v>
      </c>
      <c r="AH16">
        <f>mnist_cnn_all[[#This Row],[mlp_train_acc]]</f>
        <v>0.9887541666666666</v>
      </c>
      <c r="AJ16">
        <f>mnist_cnn_all[[#This Row],[kan_params]]</f>
        <v>377545</v>
      </c>
      <c r="AK16">
        <f>mnist_cnn_all[[#This Row],[kan_steps]]</f>
        <v>13.6</v>
      </c>
      <c r="AL16">
        <f>mnist_cnn_all[[#This Row],[kan_time_difference]]</f>
        <v>562350711.60000002</v>
      </c>
      <c r="AM16">
        <f>mnist_cnn_all[[#This Row],[mlp_steps]]</f>
        <v>13.6</v>
      </c>
      <c r="AN16">
        <f>mnist_cnn_all[[#This Row],[time_difference mlp1]]</f>
        <v>2389765536.5999999</v>
      </c>
      <c r="AO16">
        <f>mnist_cnn_all[[#This Row],[mlp2_steps]]</f>
        <v>13.6</v>
      </c>
      <c r="AP16">
        <f>mnist_cnn_all[[#This Row],[mlp 2 time difference]]</f>
        <v>2383065739.1999998</v>
      </c>
      <c r="AR16">
        <f>AJ16</f>
        <v>377545</v>
      </c>
      <c r="AS16">
        <f>AL16/AK16</f>
        <v>41349317.02941177</v>
      </c>
      <c r="AT16">
        <f>AN16/AM16</f>
        <v>175718054.16176471</v>
      </c>
      <c r="AU16">
        <f>AP16/AO16</f>
        <v>175225422</v>
      </c>
    </row>
    <row r="17" spans="1:47" x14ac:dyDescent="0.25">
      <c r="A17" t="s">
        <v>26</v>
      </c>
      <c r="B17">
        <v>5</v>
      </c>
      <c r="C17">
        <v>5</v>
      </c>
      <c r="D17">
        <v>0</v>
      </c>
      <c r="E17" t="s">
        <v>27</v>
      </c>
      <c r="F17">
        <v>409000</v>
      </c>
      <c r="G17">
        <v>116323050.40000001</v>
      </c>
      <c r="H17">
        <v>6</v>
      </c>
      <c r="I17">
        <v>0.99521250000000006</v>
      </c>
      <c r="J17">
        <v>0.98023333333333329</v>
      </c>
      <c r="K17">
        <v>0.9879</v>
      </c>
      <c r="L17">
        <v>0.96931999999999996</v>
      </c>
      <c r="M17">
        <v>0.96343333333333336</v>
      </c>
      <c r="N17">
        <v>0.97683333333333333</v>
      </c>
      <c r="O17">
        <v>6</v>
      </c>
      <c r="P17">
        <v>219821198.59999999</v>
      </c>
      <c r="Q17">
        <v>408990</v>
      </c>
      <c r="R17">
        <v>40898</v>
      </c>
      <c r="S17">
        <v>0.96504000000000001</v>
      </c>
      <c r="T17">
        <v>0.95848333333333335</v>
      </c>
      <c r="U17">
        <v>0.97383333333333333</v>
      </c>
      <c r="V17">
        <v>6</v>
      </c>
      <c r="W17">
        <v>220522359.80000001</v>
      </c>
      <c r="X17">
        <v>409000</v>
      </c>
      <c r="Y17">
        <v>40899</v>
      </c>
      <c r="Z17" t="s">
        <v>57</v>
      </c>
      <c r="AB17">
        <f>mnist_cnn_all[[#This Row],[kan_params]]</f>
        <v>409000</v>
      </c>
      <c r="AC17">
        <f>mnist_cnn_all[[#This Row],[kan_train_acc]]</f>
        <v>0.99521250000000006</v>
      </c>
      <c r="AD17">
        <f>mnist_cnn_all[[#This Row],[kan_val_acc]]</f>
        <v>0.98023333333333329</v>
      </c>
      <c r="AE17">
        <f>mnist_cnn_all[[#This Row],[kan_test_acc]]</f>
        <v>0.9879</v>
      </c>
      <c r="AF17">
        <f>mnist_cnn_all[[#This Row],[mlp_test_acc]]</f>
        <v>0.96931999999999996</v>
      </c>
      <c r="AG17">
        <f>mnist_cnn_all[[#This Row],[mlp_val_acc]]</f>
        <v>0.96343333333333336</v>
      </c>
      <c r="AH17">
        <f>mnist_cnn_all[[#This Row],[mlp_train_acc]]</f>
        <v>0.97683333333333333</v>
      </c>
      <c r="AJ17">
        <f>mnist_cnn_all[[#This Row],[kan_params]]</f>
        <v>409000</v>
      </c>
      <c r="AK17">
        <f>mnist_cnn_all[[#This Row],[kan_steps]]</f>
        <v>6</v>
      </c>
      <c r="AL17">
        <f>mnist_cnn_all[[#This Row],[kan_time_difference]]</f>
        <v>116323050.40000001</v>
      </c>
      <c r="AM17">
        <f>mnist_cnn_all[[#This Row],[mlp_steps]]</f>
        <v>6</v>
      </c>
      <c r="AN17">
        <f>mnist_cnn_all[[#This Row],[time_difference mlp1]]</f>
        <v>219821198.59999999</v>
      </c>
      <c r="AO17">
        <f>mnist_cnn_all[[#This Row],[mlp2_steps]]</f>
        <v>6</v>
      </c>
      <c r="AP17">
        <f>mnist_cnn_all[[#This Row],[mlp 2 time difference]]</f>
        <v>220522359.80000001</v>
      </c>
      <c r="AR17">
        <f>AJ17</f>
        <v>409000</v>
      </c>
      <c r="AS17">
        <f>AL17/AK17</f>
        <v>19387175.066666666</v>
      </c>
      <c r="AT17">
        <f>AN17/AM17</f>
        <v>36636866.43333333</v>
      </c>
      <c r="AU17">
        <f>AP17/AO17</f>
        <v>36753726.633333333</v>
      </c>
    </row>
    <row r="18" spans="1:47" x14ac:dyDescent="0.25">
      <c r="A18" t="s">
        <v>26</v>
      </c>
      <c r="B18">
        <v>5</v>
      </c>
      <c r="C18">
        <v>3</v>
      </c>
      <c r="D18">
        <v>0</v>
      </c>
      <c r="E18" t="s">
        <v>43</v>
      </c>
      <c r="F18">
        <v>415294</v>
      </c>
      <c r="G18">
        <v>122945227.40000001</v>
      </c>
      <c r="H18">
        <v>8</v>
      </c>
      <c r="I18">
        <v>0.99612916666666673</v>
      </c>
      <c r="J18">
        <v>0.98226666666666662</v>
      </c>
      <c r="K18">
        <v>0.98682000000000003</v>
      </c>
      <c r="L18">
        <v>0.96899999999999997</v>
      </c>
      <c r="M18">
        <v>0.96123333333333327</v>
      </c>
      <c r="N18">
        <v>0.97748749999999995</v>
      </c>
      <c r="O18">
        <v>8</v>
      </c>
      <c r="P18">
        <v>290440560.19999999</v>
      </c>
      <c r="Q18">
        <v>415290</v>
      </c>
      <c r="R18">
        <v>41528</v>
      </c>
      <c r="S18">
        <v>0.96954000000000007</v>
      </c>
      <c r="T18">
        <v>0.95183333333333331</v>
      </c>
      <c r="U18">
        <v>0.97948333333333337</v>
      </c>
      <c r="V18">
        <v>8</v>
      </c>
      <c r="W18">
        <v>291533433.39999998</v>
      </c>
      <c r="X18">
        <v>415300</v>
      </c>
      <c r="Y18">
        <v>41529</v>
      </c>
      <c r="Z18" t="s">
        <v>48</v>
      </c>
      <c r="AB18">
        <f>mnist_cnn_all[[#This Row],[kan_params]]</f>
        <v>415294</v>
      </c>
      <c r="AC18">
        <f>mnist_cnn_all[[#This Row],[kan_train_acc]]</f>
        <v>0.99612916666666673</v>
      </c>
      <c r="AD18">
        <f>mnist_cnn_all[[#This Row],[kan_val_acc]]</f>
        <v>0.98226666666666662</v>
      </c>
      <c r="AE18">
        <f>mnist_cnn_all[[#This Row],[kan_test_acc]]</f>
        <v>0.98682000000000003</v>
      </c>
      <c r="AF18">
        <f>mnist_cnn_all[[#This Row],[mlp_test_acc]]</f>
        <v>0.96899999999999997</v>
      </c>
      <c r="AG18">
        <f>mnist_cnn_all[[#This Row],[mlp_val_acc]]</f>
        <v>0.96123333333333327</v>
      </c>
      <c r="AH18">
        <f>mnist_cnn_all[[#This Row],[mlp_train_acc]]</f>
        <v>0.97748749999999995</v>
      </c>
      <c r="AJ18">
        <f>mnist_cnn_all[[#This Row],[kan_params]]</f>
        <v>415294</v>
      </c>
      <c r="AK18">
        <f>mnist_cnn_all[[#This Row],[kan_steps]]</f>
        <v>8</v>
      </c>
      <c r="AL18">
        <f>mnist_cnn_all[[#This Row],[kan_time_difference]]</f>
        <v>122945227.40000001</v>
      </c>
      <c r="AM18">
        <f>mnist_cnn_all[[#This Row],[mlp_steps]]</f>
        <v>8</v>
      </c>
      <c r="AN18">
        <f>mnist_cnn_all[[#This Row],[time_difference mlp1]]</f>
        <v>290440560.19999999</v>
      </c>
      <c r="AO18">
        <f>mnist_cnn_all[[#This Row],[mlp2_steps]]</f>
        <v>8</v>
      </c>
      <c r="AP18">
        <f>mnist_cnn_all[[#This Row],[mlp 2 time difference]]</f>
        <v>291533433.39999998</v>
      </c>
      <c r="AR18">
        <f>AJ18</f>
        <v>415294</v>
      </c>
      <c r="AS18">
        <f>AL18/AK18</f>
        <v>15368153.425000001</v>
      </c>
      <c r="AT18">
        <f>AN18/AM18</f>
        <v>36305070.024999999</v>
      </c>
      <c r="AU18">
        <f>AP18/AO18</f>
        <v>36441679.174999997</v>
      </c>
    </row>
    <row r="19" spans="1:47" x14ac:dyDescent="0.25">
      <c r="A19" t="s">
        <v>26</v>
      </c>
      <c r="B19">
        <v>3</v>
      </c>
      <c r="C19">
        <v>3</v>
      </c>
      <c r="D19">
        <v>0</v>
      </c>
      <c r="E19" t="s">
        <v>29</v>
      </c>
      <c r="F19">
        <v>424735</v>
      </c>
      <c r="G19">
        <v>201714185.80000001</v>
      </c>
      <c r="H19">
        <v>14</v>
      </c>
      <c r="I19">
        <v>0.99860416666666674</v>
      </c>
      <c r="J19">
        <v>0.98385</v>
      </c>
      <c r="K19">
        <v>0.98937999999999993</v>
      </c>
      <c r="L19">
        <v>0.97202</v>
      </c>
      <c r="M19">
        <v>0.95619999999999994</v>
      </c>
      <c r="N19">
        <v>0.98420833333333335</v>
      </c>
      <c r="O19">
        <v>14</v>
      </c>
      <c r="P19">
        <v>509101074</v>
      </c>
      <c r="Q19">
        <v>424730</v>
      </c>
      <c r="R19">
        <v>42472</v>
      </c>
      <c r="S19">
        <v>0.97882000000000002</v>
      </c>
      <c r="T19">
        <v>0.96326666666666672</v>
      </c>
      <c r="U19">
        <v>0.98897083333333335</v>
      </c>
      <c r="V19">
        <v>14</v>
      </c>
      <c r="W19">
        <v>510345247.80000001</v>
      </c>
      <c r="X19">
        <v>424740</v>
      </c>
      <c r="Y19">
        <v>42473</v>
      </c>
      <c r="Z19" t="s">
        <v>34</v>
      </c>
      <c r="AB19">
        <f>mnist_cnn_all[[#This Row],[kan_params]]</f>
        <v>424735</v>
      </c>
      <c r="AC19">
        <f>mnist_cnn_all[[#This Row],[kan_train_acc]]</f>
        <v>0.99860416666666674</v>
      </c>
      <c r="AD19">
        <f>mnist_cnn_all[[#This Row],[kan_val_acc]]</f>
        <v>0.98385</v>
      </c>
      <c r="AE19">
        <f>mnist_cnn_all[[#This Row],[kan_test_acc]]</f>
        <v>0.98937999999999993</v>
      </c>
      <c r="AF19">
        <f>mnist_cnn_all[[#This Row],[mlp_test_acc]]</f>
        <v>0.97202</v>
      </c>
      <c r="AG19">
        <f>mnist_cnn_all[[#This Row],[mlp_val_acc]]</f>
        <v>0.95619999999999994</v>
      </c>
      <c r="AH19">
        <f>mnist_cnn_all[[#This Row],[mlp_train_acc]]</f>
        <v>0.98420833333333335</v>
      </c>
      <c r="AJ19">
        <f>mnist_cnn_all[[#This Row],[kan_params]]</f>
        <v>424735</v>
      </c>
      <c r="AK19">
        <f>mnist_cnn_all[[#This Row],[kan_steps]]</f>
        <v>14</v>
      </c>
      <c r="AL19">
        <f>mnist_cnn_all[[#This Row],[kan_time_difference]]</f>
        <v>201714185.80000001</v>
      </c>
      <c r="AM19">
        <f>mnist_cnn_all[[#This Row],[mlp_steps]]</f>
        <v>14</v>
      </c>
      <c r="AN19">
        <f>mnist_cnn_all[[#This Row],[time_difference mlp1]]</f>
        <v>509101074</v>
      </c>
      <c r="AO19">
        <f>mnist_cnn_all[[#This Row],[mlp2_steps]]</f>
        <v>14</v>
      </c>
      <c r="AP19">
        <f>mnist_cnn_all[[#This Row],[mlp 2 time difference]]</f>
        <v>510345247.80000001</v>
      </c>
      <c r="AR19">
        <f>AJ19</f>
        <v>424735</v>
      </c>
      <c r="AS19">
        <f>AL19/AK19</f>
        <v>14408156.12857143</v>
      </c>
      <c r="AT19">
        <f>AN19/AM19</f>
        <v>36364362.428571425</v>
      </c>
      <c r="AU19">
        <f>AP19/AO19</f>
        <v>36453231.985714287</v>
      </c>
    </row>
    <row r="20" spans="1:47" x14ac:dyDescent="0.25">
      <c r="A20" t="s">
        <v>26</v>
      </c>
      <c r="B20">
        <v>9</v>
      </c>
      <c r="C20">
        <v>2</v>
      </c>
      <c r="D20">
        <v>0</v>
      </c>
      <c r="E20" t="s">
        <v>27</v>
      </c>
      <c r="F20">
        <v>440460</v>
      </c>
      <c r="G20">
        <v>101683852.59999999</v>
      </c>
      <c r="H20">
        <v>6</v>
      </c>
      <c r="I20">
        <v>0.99407916666666662</v>
      </c>
      <c r="J20">
        <v>0.97953333333333337</v>
      </c>
      <c r="K20">
        <v>0.98648000000000002</v>
      </c>
      <c r="L20">
        <v>0.96689999999999998</v>
      </c>
      <c r="M20">
        <v>0.95519999999999994</v>
      </c>
      <c r="N20">
        <v>0.97495833333333337</v>
      </c>
      <c r="O20">
        <v>6</v>
      </c>
      <c r="P20">
        <v>237146072.40000001</v>
      </c>
      <c r="Q20">
        <v>440450</v>
      </c>
      <c r="R20">
        <v>44044</v>
      </c>
      <c r="S20">
        <v>0.96563999999999994</v>
      </c>
      <c r="T20">
        <v>0.94901666666666662</v>
      </c>
      <c r="U20">
        <v>0.97317916666666671</v>
      </c>
      <c r="V20">
        <v>6</v>
      </c>
      <c r="W20">
        <v>237747752.80000001</v>
      </c>
      <c r="X20">
        <v>440460</v>
      </c>
      <c r="Y20">
        <v>44045</v>
      </c>
      <c r="Z20" t="s">
        <v>62</v>
      </c>
      <c r="AB20">
        <f>mnist_cnn_all[[#This Row],[kan_params]]</f>
        <v>440460</v>
      </c>
      <c r="AC20">
        <f>mnist_cnn_all[[#This Row],[kan_train_acc]]</f>
        <v>0.99407916666666662</v>
      </c>
      <c r="AD20">
        <f>mnist_cnn_all[[#This Row],[kan_val_acc]]</f>
        <v>0.97953333333333337</v>
      </c>
      <c r="AE20">
        <f>mnist_cnn_all[[#This Row],[kan_test_acc]]</f>
        <v>0.98648000000000002</v>
      </c>
      <c r="AF20">
        <f>mnist_cnn_all[[#This Row],[mlp_test_acc]]</f>
        <v>0.96689999999999998</v>
      </c>
      <c r="AG20">
        <f>mnist_cnn_all[[#This Row],[mlp_val_acc]]</f>
        <v>0.95519999999999994</v>
      </c>
      <c r="AH20">
        <f>mnist_cnn_all[[#This Row],[mlp_train_acc]]</f>
        <v>0.97495833333333337</v>
      </c>
      <c r="AJ20">
        <f>mnist_cnn_all[[#This Row],[kan_params]]</f>
        <v>440460</v>
      </c>
      <c r="AK20">
        <f>mnist_cnn_all[[#This Row],[kan_steps]]</f>
        <v>6</v>
      </c>
      <c r="AL20">
        <f>mnist_cnn_all[[#This Row],[kan_time_difference]]</f>
        <v>101683852.59999999</v>
      </c>
      <c r="AM20">
        <f>mnist_cnn_all[[#This Row],[mlp_steps]]</f>
        <v>6</v>
      </c>
      <c r="AN20">
        <f>mnist_cnn_all[[#This Row],[time_difference mlp1]]</f>
        <v>237146072.40000001</v>
      </c>
      <c r="AO20">
        <f>mnist_cnn_all[[#This Row],[mlp2_steps]]</f>
        <v>6</v>
      </c>
      <c r="AP20">
        <f>mnist_cnn_all[[#This Row],[mlp 2 time difference]]</f>
        <v>237747752.80000001</v>
      </c>
      <c r="AR20">
        <f>AJ20</f>
        <v>440460</v>
      </c>
      <c r="AS20">
        <f>AL20/AK20</f>
        <v>16947308.766666666</v>
      </c>
      <c r="AT20">
        <f>AN20/AM20</f>
        <v>39524345.399999999</v>
      </c>
      <c r="AU20">
        <f>AP20/AO20</f>
        <v>39624625.466666669</v>
      </c>
    </row>
    <row r="21" spans="1:47" x14ac:dyDescent="0.25">
      <c r="A21" t="s">
        <v>26</v>
      </c>
      <c r="B21">
        <v>5</v>
      </c>
      <c r="C21">
        <v>4</v>
      </c>
      <c r="D21">
        <v>0</v>
      </c>
      <c r="E21" t="s">
        <v>43</v>
      </c>
      <c r="F21">
        <v>453046</v>
      </c>
      <c r="G21">
        <v>130302688.59999999</v>
      </c>
      <c r="H21">
        <v>8</v>
      </c>
      <c r="I21">
        <v>0.99672499999999997</v>
      </c>
      <c r="J21">
        <v>0.98065000000000002</v>
      </c>
      <c r="K21">
        <v>0.98863999999999996</v>
      </c>
      <c r="L21">
        <v>0.96794000000000002</v>
      </c>
      <c r="M21">
        <v>0.95279999999999998</v>
      </c>
      <c r="N21">
        <v>0.97770416666666671</v>
      </c>
      <c r="O21">
        <v>8</v>
      </c>
      <c r="P21">
        <v>323191283.19999999</v>
      </c>
      <c r="Q21">
        <v>453040</v>
      </c>
      <c r="R21">
        <v>45303</v>
      </c>
      <c r="S21">
        <v>0.97114</v>
      </c>
      <c r="T21">
        <v>0.96171666666666666</v>
      </c>
      <c r="U21">
        <v>0.98162916666666666</v>
      </c>
      <c r="V21">
        <v>8</v>
      </c>
      <c r="W21">
        <v>322325859.39999998</v>
      </c>
      <c r="X21">
        <v>453050</v>
      </c>
      <c r="Y21">
        <v>45304</v>
      </c>
      <c r="Z21" t="s">
        <v>52</v>
      </c>
      <c r="AB21">
        <f>mnist_cnn_all[[#This Row],[kan_params]]</f>
        <v>453046</v>
      </c>
      <c r="AC21">
        <f>mnist_cnn_all[[#This Row],[kan_train_acc]]</f>
        <v>0.99672499999999997</v>
      </c>
      <c r="AD21">
        <f>mnist_cnn_all[[#This Row],[kan_val_acc]]</f>
        <v>0.98065000000000002</v>
      </c>
      <c r="AE21">
        <f>mnist_cnn_all[[#This Row],[kan_test_acc]]</f>
        <v>0.98863999999999996</v>
      </c>
      <c r="AF21">
        <f>mnist_cnn_all[[#This Row],[mlp_test_acc]]</f>
        <v>0.96794000000000002</v>
      </c>
      <c r="AG21">
        <f>mnist_cnn_all[[#This Row],[mlp_val_acc]]</f>
        <v>0.95279999999999998</v>
      </c>
      <c r="AH21">
        <f>mnist_cnn_all[[#This Row],[mlp_train_acc]]</f>
        <v>0.97770416666666671</v>
      </c>
      <c r="AJ21">
        <f>mnist_cnn_all[[#This Row],[kan_params]]</f>
        <v>453046</v>
      </c>
      <c r="AK21">
        <f>mnist_cnn_all[[#This Row],[kan_steps]]</f>
        <v>8</v>
      </c>
      <c r="AL21">
        <f>mnist_cnn_all[[#This Row],[kan_time_difference]]</f>
        <v>130302688.59999999</v>
      </c>
      <c r="AM21">
        <f>mnist_cnn_all[[#This Row],[mlp_steps]]</f>
        <v>8</v>
      </c>
      <c r="AN21">
        <f>mnist_cnn_all[[#This Row],[time_difference mlp1]]</f>
        <v>323191283.19999999</v>
      </c>
      <c r="AO21">
        <f>mnist_cnn_all[[#This Row],[mlp2_steps]]</f>
        <v>8</v>
      </c>
      <c r="AP21">
        <f>mnist_cnn_all[[#This Row],[mlp 2 time difference]]</f>
        <v>322325859.39999998</v>
      </c>
      <c r="AR21">
        <f>AJ21</f>
        <v>453046</v>
      </c>
      <c r="AS21">
        <f>AL21/AK21</f>
        <v>16287836.074999999</v>
      </c>
      <c r="AT21">
        <f>AN21/AM21</f>
        <v>40398910.399999999</v>
      </c>
      <c r="AU21">
        <f>AP21/AO21</f>
        <v>40290732.424999997</v>
      </c>
    </row>
    <row r="22" spans="1:47" x14ac:dyDescent="0.25">
      <c r="A22" t="s">
        <v>26</v>
      </c>
      <c r="B22">
        <v>9</v>
      </c>
      <c r="C22">
        <v>3</v>
      </c>
      <c r="D22">
        <v>0</v>
      </c>
      <c r="E22" t="s">
        <v>27</v>
      </c>
      <c r="F22">
        <v>471920</v>
      </c>
      <c r="G22">
        <v>97287518.599999994</v>
      </c>
      <c r="H22">
        <v>6</v>
      </c>
      <c r="I22">
        <v>0.99387500000000006</v>
      </c>
      <c r="J22">
        <v>0.98014999999999997</v>
      </c>
      <c r="K22">
        <v>0.98597999999999997</v>
      </c>
      <c r="L22">
        <v>0.96967999999999999</v>
      </c>
      <c r="M22">
        <v>0.94746666666666668</v>
      </c>
      <c r="N22">
        <v>0.97686666666666666</v>
      </c>
      <c r="O22">
        <v>6</v>
      </c>
      <c r="P22">
        <v>246859078</v>
      </c>
      <c r="Q22">
        <v>471910</v>
      </c>
      <c r="R22">
        <v>47190</v>
      </c>
      <c r="S22">
        <v>0.96482000000000001</v>
      </c>
      <c r="T22">
        <v>0.95448333333333335</v>
      </c>
      <c r="U22">
        <v>0.97282916666666663</v>
      </c>
      <c r="V22">
        <v>6</v>
      </c>
      <c r="W22">
        <v>246924113.19999999</v>
      </c>
      <c r="X22">
        <v>471920</v>
      </c>
      <c r="Y22">
        <v>47191</v>
      </c>
      <c r="Z22" t="s">
        <v>67</v>
      </c>
      <c r="AB22">
        <f>mnist_cnn_all[[#This Row],[kan_params]]</f>
        <v>471920</v>
      </c>
      <c r="AC22">
        <f>mnist_cnn_all[[#This Row],[kan_train_acc]]</f>
        <v>0.99387500000000006</v>
      </c>
      <c r="AD22">
        <f>mnist_cnn_all[[#This Row],[kan_val_acc]]</f>
        <v>0.98014999999999997</v>
      </c>
      <c r="AE22">
        <f>mnist_cnn_all[[#This Row],[kan_test_acc]]</f>
        <v>0.98597999999999997</v>
      </c>
      <c r="AF22">
        <f>mnist_cnn_all[[#This Row],[mlp_test_acc]]</f>
        <v>0.96967999999999999</v>
      </c>
      <c r="AG22">
        <f>mnist_cnn_all[[#This Row],[mlp_val_acc]]</f>
        <v>0.94746666666666668</v>
      </c>
      <c r="AH22">
        <f>mnist_cnn_all[[#This Row],[mlp_train_acc]]</f>
        <v>0.97686666666666666</v>
      </c>
      <c r="AJ22">
        <f>mnist_cnn_all[[#This Row],[kan_params]]</f>
        <v>471920</v>
      </c>
      <c r="AK22">
        <f>mnist_cnn_all[[#This Row],[kan_steps]]</f>
        <v>6</v>
      </c>
      <c r="AL22">
        <f>mnist_cnn_all[[#This Row],[kan_time_difference]]</f>
        <v>97287518.599999994</v>
      </c>
      <c r="AM22">
        <f>mnist_cnn_all[[#This Row],[mlp_steps]]</f>
        <v>6</v>
      </c>
      <c r="AN22">
        <f>mnist_cnn_all[[#This Row],[time_difference mlp1]]</f>
        <v>246859078</v>
      </c>
      <c r="AO22">
        <f>mnist_cnn_all[[#This Row],[mlp2_steps]]</f>
        <v>6</v>
      </c>
      <c r="AP22">
        <f>mnist_cnn_all[[#This Row],[mlp 2 time difference]]</f>
        <v>246924113.19999999</v>
      </c>
      <c r="AR22">
        <f>AJ22</f>
        <v>471920</v>
      </c>
      <c r="AS22">
        <f>AL22/AK22</f>
        <v>16214586.433333332</v>
      </c>
      <c r="AT22">
        <f>AN22/AM22</f>
        <v>41143179.666666664</v>
      </c>
      <c r="AU22">
        <f>AP22/AO22</f>
        <v>41154018.866666667</v>
      </c>
    </row>
    <row r="23" spans="1:47" x14ac:dyDescent="0.25">
      <c r="A23" t="s">
        <v>26</v>
      </c>
      <c r="B23">
        <v>3</v>
      </c>
      <c r="C23">
        <v>4</v>
      </c>
      <c r="D23">
        <v>0</v>
      </c>
      <c r="E23" t="s">
        <v>29</v>
      </c>
      <c r="F23">
        <v>471925</v>
      </c>
      <c r="G23">
        <v>214401251.19999999</v>
      </c>
      <c r="H23">
        <v>14</v>
      </c>
      <c r="I23">
        <v>0.99781666666666669</v>
      </c>
      <c r="J23">
        <v>0.98273333333333335</v>
      </c>
      <c r="K23">
        <v>0.98929999999999996</v>
      </c>
      <c r="L23">
        <v>0.97872000000000003</v>
      </c>
      <c r="M23">
        <v>0.95016666666666671</v>
      </c>
      <c r="N23">
        <v>0.98984166666666662</v>
      </c>
      <c r="O23">
        <v>14</v>
      </c>
      <c r="P23">
        <v>560283149</v>
      </c>
      <c r="Q23">
        <v>471920</v>
      </c>
      <c r="R23">
        <v>47191</v>
      </c>
      <c r="S23">
        <v>0.98072000000000004</v>
      </c>
      <c r="T23">
        <v>0.95858333333333334</v>
      </c>
      <c r="U23">
        <v>0.99189166666666662</v>
      </c>
      <c r="V23">
        <v>14</v>
      </c>
      <c r="W23">
        <v>561807300.60000002</v>
      </c>
      <c r="X23">
        <v>471930</v>
      </c>
      <c r="Y23">
        <v>47192</v>
      </c>
      <c r="Z23" t="s">
        <v>37</v>
      </c>
      <c r="AB23">
        <f>mnist_cnn_all[[#This Row],[kan_params]]</f>
        <v>471925</v>
      </c>
      <c r="AC23">
        <f>mnist_cnn_all[[#This Row],[kan_train_acc]]</f>
        <v>0.99781666666666669</v>
      </c>
      <c r="AD23">
        <f>mnist_cnn_all[[#This Row],[kan_val_acc]]</f>
        <v>0.98273333333333335</v>
      </c>
      <c r="AE23">
        <f>mnist_cnn_all[[#This Row],[kan_test_acc]]</f>
        <v>0.98929999999999996</v>
      </c>
      <c r="AF23">
        <f>mnist_cnn_all[[#This Row],[mlp_test_acc]]</f>
        <v>0.97872000000000003</v>
      </c>
      <c r="AG23">
        <f>mnist_cnn_all[[#This Row],[mlp_val_acc]]</f>
        <v>0.95016666666666671</v>
      </c>
      <c r="AH23">
        <f>mnist_cnn_all[[#This Row],[mlp_train_acc]]</f>
        <v>0.98984166666666662</v>
      </c>
      <c r="AJ23">
        <f>mnist_cnn_all[[#This Row],[kan_params]]</f>
        <v>471925</v>
      </c>
      <c r="AK23">
        <f>mnist_cnn_all[[#This Row],[kan_steps]]</f>
        <v>14</v>
      </c>
      <c r="AL23">
        <f>mnist_cnn_all[[#This Row],[kan_time_difference]]</f>
        <v>214401251.19999999</v>
      </c>
      <c r="AM23">
        <f>mnist_cnn_all[[#This Row],[mlp_steps]]</f>
        <v>14</v>
      </c>
      <c r="AN23">
        <f>mnist_cnn_all[[#This Row],[time_difference mlp1]]</f>
        <v>560283149</v>
      </c>
      <c r="AO23">
        <f>mnist_cnn_all[[#This Row],[mlp2_steps]]</f>
        <v>14</v>
      </c>
      <c r="AP23">
        <f>mnist_cnn_all[[#This Row],[mlp 2 time difference]]</f>
        <v>561807300.60000002</v>
      </c>
      <c r="AR23">
        <f>AJ23</f>
        <v>471925</v>
      </c>
      <c r="AS23">
        <f>AL23/AK23</f>
        <v>15314375.085714284</v>
      </c>
      <c r="AT23">
        <f>AN23/AM23</f>
        <v>40020224.928571425</v>
      </c>
      <c r="AU23">
        <f>AP23/AO23</f>
        <v>40129092.899999999</v>
      </c>
    </row>
    <row r="24" spans="1:47" x14ac:dyDescent="0.25">
      <c r="A24" t="s">
        <v>26</v>
      </c>
      <c r="B24">
        <v>5</v>
      </c>
      <c r="C24">
        <v>2</v>
      </c>
      <c r="D24">
        <v>0</v>
      </c>
      <c r="E24" t="s">
        <v>29</v>
      </c>
      <c r="F24">
        <v>471925</v>
      </c>
      <c r="G24">
        <v>196346579.80000001</v>
      </c>
      <c r="H24">
        <v>14</v>
      </c>
      <c r="I24">
        <v>0.99786249999999999</v>
      </c>
      <c r="J24">
        <v>0.98070000000000002</v>
      </c>
      <c r="K24">
        <v>0.98782000000000003</v>
      </c>
      <c r="L24">
        <v>0.97684000000000004</v>
      </c>
      <c r="M24">
        <v>0.94606666666666661</v>
      </c>
      <c r="N24">
        <v>0.98895416666666669</v>
      </c>
      <c r="O24">
        <v>14</v>
      </c>
      <c r="P24">
        <v>558043168.60000002</v>
      </c>
      <c r="Q24">
        <v>471920</v>
      </c>
      <c r="R24">
        <v>47191</v>
      </c>
      <c r="S24">
        <v>0.98163999999999996</v>
      </c>
      <c r="T24">
        <v>0.95716666666666661</v>
      </c>
      <c r="U24">
        <v>0.99169583333333333</v>
      </c>
      <c r="V24">
        <v>14</v>
      </c>
      <c r="W24">
        <v>558350293.20000005</v>
      </c>
      <c r="X24">
        <v>471930</v>
      </c>
      <c r="Y24">
        <v>47192</v>
      </c>
      <c r="Z24" t="s">
        <v>45</v>
      </c>
      <c r="AB24">
        <f>mnist_cnn_all[[#This Row],[kan_params]]</f>
        <v>471925</v>
      </c>
      <c r="AC24">
        <f>mnist_cnn_all[[#This Row],[kan_train_acc]]</f>
        <v>0.99786249999999999</v>
      </c>
      <c r="AD24">
        <f>mnist_cnn_all[[#This Row],[kan_val_acc]]</f>
        <v>0.98070000000000002</v>
      </c>
      <c r="AE24">
        <f>mnist_cnn_all[[#This Row],[kan_test_acc]]</f>
        <v>0.98782000000000003</v>
      </c>
      <c r="AF24">
        <f>mnist_cnn_all[[#This Row],[mlp_test_acc]]</f>
        <v>0.97684000000000004</v>
      </c>
      <c r="AG24">
        <f>mnist_cnn_all[[#This Row],[mlp_val_acc]]</f>
        <v>0.94606666666666661</v>
      </c>
      <c r="AH24">
        <f>mnist_cnn_all[[#This Row],[mlp_train_acc]]</f>
        <v>0.98895416666666669</v>
      </c>
      <c r="AJ24">
        <f>mnist_cnn_all[[#This Row],[kan_params]]</f>
        <v>471925</v>
      </c>
      <c r="AK24">
        <f>mnist_cnn_all[[#This Row],[kan_steps]]</f>
        <v>14</v>
      </c>
      <c r="AL24">
        <f>mnist_cnn_all[[#This Row],[kan_time_difference]]</f>
        <v>196346579.80000001</v>
      </c>
      <c r="AM24">
        <f>mnist_cnn_all[[#This Row],[mlp_steps]]</f>
        <v>14</v>
      </c>
      <c r="AN24">
        <f>mnist_cnn_all[[#This Row],[time_difference mlp1]]</f>
        <v>558043168.60000002</v>
      </c>
      <c r="AO24">
        <f>mnist_cnn_all[[#This Row],[mlp2_steps]]</f>
        <v>14</v>
      </c>
      <c r="AP24">
        <f>mnist_cnn_all[[#This Row],[mlp 2 time difference]]</f>
        <v>558350293.20000005</v>
      </c>
      <c r="AR24">
        <f>AJ24</f>
        <v>471925</v>
      </c>
      <c r="AS24">
        <f>AL24/AK24</f>
        <v>14024755.700000001</v>
      </c>
      <c r="AT24">
        <f>AN24/AM24</f>
        <v>39860226.328571431</v>
      </c>
      <c r="AU24">
        <f>AP24/AO24</f>
        <v>39882163.800000004</v>
      </c>
    </row>
    <row r="25" spans="1:47" x14ac:dyDescent="0.25">
      <c r="A25" t="s">
        <v>26</v>
      </c>
      <c r="B25">
        <v>5</v>
      </c>
      <c r="C25">
        <v>5</v>
      </c>
      <c r="D25">
        <v>0</v>
      </c>
      <c r="E25" t="s">
        <v>43</v>
      </c>
      <c r="F25">
        <v>490798</v>
      </c>
      <c r="G25">
        <v>136768727.19999999</v>
      </c>
      <c r="H25">
        <v>8</v>
      </c>
      <c r="I25">
        <v>0.99764999999999993</v>
      </c>
      <c r="J25">
        <v>0.98134999999999994</v>
      </c>
      <c r="K25">
        <v>0.98877999999999999</v>
      </c>
      <c r="L25">
        <v>0.96877999999999997</v>
      </c>
      <c r="M25">
        <v>0.94648333333333334</v>
      </c>
      <c r="N25">
        <v>0.97819166666666668</v>
      </c>
      <c r="O25">
        <v>8</v>
      </c>
      <c r="P25">
        <v>346827704.60000002</v>
      </c>
      <c r="Q25">
        <v>490790</v>
      </c>
      <c r="R25">
        <v>49078</v>
      </c>
      <c r="S25">
        <v>0.97070000000000001</v>
      </c>
      <c r="T25">
        <v>0.95173333333333332</v>
      </c>
      <c r="U25">
        <v>0.98101249999999995</v>
      </c>
      <c r="V25">
        <v>8</v>
      </c>
      <c r="W25">
        <v>345518838.19999999</v>
      </c>
      <c r="X25">
        <v>490800</v>
      </c>
      <c r="Y25">
        <v>49079</v>
      </c>
      <c r="Z25" t="s">
        <v>58</v>
      </c>
      <c r="AB25">
        <f>mnist_cnn_all[[#This Row],[kan_params]]</f>
        <v>490798</v>
      </c>
      <c r="AC25">
        <f>mnist_cnn_all[[#This Row],[kan_train_acc]]</f>
        <v>0.99764999999999993</v>
      </c>
      <c r="AD25">
        <f>mnist_cnn_all[[#This Row],[kan_val_acc]]</f>
        <v>0.98134999999999994</v>
      </c>
      <c r="AE25">
        <f>mnist_cnn_all[[#This Row],[kan_test_acc]]</f>
        <v>0.98877999999999999</v>
      </c>
      <c r="AF25">
        <f>mnist_cnn_all[[#This Row],[mlp_test_acc]]</f>
        <v>0.96877999999999997</v>
      </c>
      <c r="AG25">
        <f>mnist_cnn_all[[#This Row],[mlp_val_acc]]</f>
        <v>0.94648333333333334</v>
      </c>
      <c r="AH25">
        <f>mnist_cnn_all[[#This Row],[mlp_train_acc]]</f>
        <v>0.97819166666666668</v>
      </c>
      <c r="AJ25">
        <f>mnist_cnn_all[[#This Row],[kan_params]]</f>
        <v>490798</v>
      </c>
      <c r="AK25">
        <f>mnist_cnn_all[[#This Row],[kan_steps]]</f>
        <v>8</v>
      </c>
      <c r="AL25">
        <f>mnist_cnn_all[[#This Row],[kan_time_difference]]</f>
        <v>136768727.19999999</v>
      </c>
      <c r="AM25">
        <f>mnist_cnn_all[[#This Row],[mlp_steps]]</f>
        <v>8</v>
      </c>
      <c r="AN25">
        <f>mnist_cnn_all[[#This Row],[time_difference mlp1]]</f>
        <v>346827704.60000002</v>
      </c>
      <c r="AO25">
        <f>mnist_cnn_all[[#This Row],[mlp2_steps]]</f>
        <v>8</v>
      </c>
      <c r="AP25">
        <f>mnist_cnn_all[[#This Row],[mlp 2 time difference]]</f>
        <v>345518838.19999999</v>
      </c>
      <c r="AR25">
        <f>AJ25</f>
        <v>490798</v>
      </c>
      <c r="AS25">
        <f>AL25/AK25</f>
        <v>17096090.899999999</v>
      </c>
      <c r="AT25">
        <f>AN25/AM25</f>
        <v>43353463.075000003</v>
      </c>
      <c r="AU25">
        <f>AP25/AO25</f>
        <v>43189854.774999999</v>
      </c>
    </row>
    <row r="26" spans="1:47" x14ac:dyDescent="0.25">
      <c r="A26" t="s">
        <v>26</v>
      </c>
      <c r="B26">
        <v>9</v>
      </c>
      <c r="C26">
        <v>4</v>
      </c>
      <c r="D26">
        <v>0</v>
      </c>
      <c r="E26" t="s">
        <v>27</v>
      </c>
      <c r="F26">
        <v>503380</v>
      </c>
      <c r="G26">
        <v>104299108.8</v>
      </c>
      <c r="H26">
        <v>6</v>
      </c>
      <c r="I26">
        <v>0.99491666666666667</v>
      </c>
      <c r="J26">
        <v>0.97891666666666666</v>
      </c>
      <c r="K26">
        <v>0.98695999999999995</v>
      </c>
      <c r="L26">
        <v>0.96577999999999997</v>
      </c>
      <c r="M26">
        <v>0.94168333333333332</v>
      </c>
      <c r="N26">
        <v>0.97490833333333338</v>
      </c>
      <c r="O26">
        <v>6</v>
      </c>
      <c r="P26">
        <v>257925898.19999999</v>
      </c>
      <c r="Q26">
        <v>503370</v>
      </c>
      <c r="R26">
        <v>50336</v>
      </c>
      <c r="S26">
        <v>0.96899999999999997</v>
      </c>
      <c r="T26">
        <v>0.95218333333333338</v>
      </c>
      <c r="U26">
        <v>0.97690833333333338</v>
      </c>
      <c r="V26">
        <v>6</v>
      </c>
      <c r="W26">
        <v>258889467</v>
      </c>
      <c r="X26">
        <v>503380</v>
      </c>
      <c r="Y26">
        <v>50337</v>
      </c>
      <c r="Z26" t="s">
        <v>72</v>
      </c>
      <c r="AB26">
        <f>mnist_cnn_all[[#This Row],[kan_params]]</f>
        <v>503380</v>
      </c>
      <c r="AC26">
        <f>mnist_cnn_all[[#This Row],[kan_train_acc]]</f>
        <v>0.99491666666666667</v>
      </c>
      <c r="AD26">
        <f>mnist_cnn_all[[#This Row],[kan_val_acc]]</f>
        <v>0.97891666666666666</v>
      </c>
      <c r="AE26">
        <f>mnist_cnn_all[[#This Row],[kan_test_acc]]</f>
        <v>0.98695999999999995</v>
      </c>
      <c r="AF26">
        <f>mnist_cnn_all[[#This Row],[mlp_test_acc]]</f>
        <v>0.96577999999999997</v>
      </c>
      <c r="AG26">
        <f>mnist_cnn_all[[#This Row],[mlp_val_acc]]</f>
        <v>0.94168333333333332</v>
      </c>
      <c r="AH26">
        <f>mnist_cnn_all[[#This Row],[mlp_train_acc]]</f>
        <v>0.97490833333333338</v>
      </c>
      <c r="AJ26">
        <f>mnist_cnn_all[[#This Row],[kan_params]]</f>
        <v>503380</v>
      </c>
      <c r="AK26">
        <f>mnist_cnn_all[[#This Row],[kan_steps]]</f>
        <v>6</v>
      </c>
      <c r="AL26">
        <f>mnist_cnn_all[[#This Row],[kan_time_difference]]</f>
        <v>104299108.8</v>
      </c>
      <c r="AM26">
        <f>mnist_cnn_all[[#This Row],[mlp_steps]]</f>
        <v>6</v>
      </c>
      <c r="AN26">
        <f>mnist_cnn_all[[#This Row],[time_difference mlp1]]</f>
        <v>257925898.19999999</v>
      </c>
      <c r="AO26">
        <f>mnist_cnn_all[[#This Row],[mlp2_steps]]</f>
        <v>6</v>
      </c>
      <c r="AP26">
        <f>mnist_cnn_all[[#This Row],[mlp 2 time difference]]</f>
        <v>258889467</v>
      </c>
      <c r="AR26">
        <f>AJ26</f>
        <v>503380</v>
      </c>
      <c r="AS26">
        <f>AL26/AK26</f>
        <v>17383184.800000001</v>
      </c>
      <c r="AT26">
        <f>AN26/AM26</f>
        <v>42987649.699999996</v>
      </c>
      <c r="AU26">
        <f>AP26/AO26</f>
        <v>43148244.5</v>
      </c>
    </row>
    <row r="27" spans="1:47" x14ac:dyDescent="0.25">
      <c r="A27" t="s">
        <v>26</v>
      </c>
      <c r="B27">
        <v>3</v>
      </c>
      <c r="C27">
        <v>5</v>
      </c>
      <c r="D27">
        <v>0</v>
      </c>
      <c r="E27" t="s">
        <v>29</v>
      </c>
      <c r="F27">
        <v>519115</v>
      </c>
      <c r="G27">
        <v>223172479.80000001</v>
      </c>
      <c r="H27">
        <v>14</v>
      </c>
      <c r="I27">
        <v>0.99739166666666668</v>
      </c>
      <c r="J27">
        <v>0.98226666666666673</v>
      </c>
      <c r="K27">
        <v>0.98848000000000003</v>
      </c>
      <c r="L27">
        <v>0.97758</v>
      </c>
      <c r="M27">
        <v>0.95308333333333339</v>
      </c>
      <c r="N27">
        <v>0.98795416666666669</v>
      </c>
      <c r="O27">
        <v>14</v>
      </c>
      <c r="P27">
        <v>614595762</v>
      </c>
      <c r="Q27">
        <v>519110</v>
      </c>
      <c r="R27">
        <v>51910</v>
      </c>
      <c r="S27">
        <v>0.97938000000000003</v>
      </c>
      <c r="T27">
        <v>0.95733333333333337</v>
      </c>
      <c r="U27">
        <v>0.99122083333333333</v>
      </c>
      <c r="V27">
        <v>14</v>
      </c>
      <c r="W27">
        <v>615513355.20000005</v>
      </c>
      <c r="X27">
        <v>519120</v>
      </c>
      <c r="Y27">
        <v>51911</v>
      </c>
      <c r="Z27" t="s">
        <v>40</v>
      </c>
      <c r="AB27">
        <f>mnist_cnn_all[[#This Row],[kan_params]]</f>
        <v>519115</v>
      </c>
      <c r="AC27">
        <f>mnist_cnn_all[[#This Row],[kan_train_acc]]</f>
        <v>0.99739166666666668</v>
      </c>
      <c r="AD27">
        <f>mnist_cnn_all[[#This Row],[kan_val_acc]]</f>
        <v>0.98226666666666673</v>
      </c>
      <c r="AE27">
        <f>mnist_cnn_all[[#This Row],[kan_test_acc]]</f>
        <v>0.98848000000000003</v>
      </c>
      <c r="AF27">
        <f>mnist_cnn_all[[#This Row],[mlp_test_acc]]</f>
        <v>0.97758</v>
      </c>
      <c r="AG27">
        <f>mnist_cnn_all[[#This Row],[mlp_val_acc]]</f>
        <v>0.95308333333333339</v>
      </c>
      <c r="AH27">
        <f>mnist_cnn_all[[#This Row],[mlp_train_acc]]</f>
        <v>0.98795416666666669</v>
      </c>
      <c r="AJ27">
        <f>mnist_cnn_all[[#This Row],[kan_params]]</f>
        <v>519115</v>
      </c>
      <c r="AK27">
        <f>mnist_cnn_all[[#This Row],[kan_steps]]</f>
        <v>14</v>
      </c>
      <c r="AL27">
        <f>mnist_cnn_all[[#This Row],[kan_time_difference]]</f>
        <v>223172479.80000001</v>
      </c>
      <c r="AM27">
        <f>mnist_cnn_all[[#This Row],[mlp_steps]]</f>
        <v>14</v>
      </c>
      <c r="AN27">
        <f>mnist_cnn_all[[#This Row],[time_difference mlp1]]</f>
        <v>614595762</v>
      </c>
      <c r="AO27">
        <f>mnist_cnn_all[[#This Row],[mlp2_steps]]</f>
        <v>14</v>
      </c>
      <c r="AP27">
        <f>mnist_cnn_all[[#This Row],[mlp 2 time difference]]</f>
        <v>615513355.20000005</v>
      </c>
      <c r="AR27">
        <f>AJ27</f>
        <v>519115</v>
      </c>
      <c r="AS27">
        <f>AL27/AK27</f>
        <v>15940891.414285716</v>
      </c>
      <c r="AT27">
        <f>AN27/AM27</f>
        <v>43899697.285714284</v>
      </c>
      <c r="AU27">
        <f>AP27/AO27</f>
        <v>43965239.657142863</v>
      </c>
    </row>
    <row r="28" spans="1:47" x14ac:dyDescent="0.25">
      <c r="A28" t="s">
        <v>26</v>
      </c>
      <c r="B28">
        <v>5</v>
      </c>
      <c r="C28">
        <v>3</v>
      </c>
      <c r="D28">
        <v>0</v>
      </c>
      <c r="E28" t="s">
        <v>29</v>
      </c>
      <c r="F28">
        <v>519115</v>
      </c>
      <c r="G28">
        <v>206483870.59999999</v>
      </c>
      <c r="H28">
        <v>14</v>
      </c>
      <c r="I28">
        <v>0.9967583333333333</v>
      </c>
      <c r="J28">
        <v>0.98091666666666666</v>
      </c>
      <c r="K28">
        <v>0.98692000000000002</v>
      </c>
      <c r="L28">
        <v>0.97994000000000003</v>
      </c>
      <c r="M28">
        <v>0.95734999999999992</v>
      </c>
      <c r="N28">
        <v>0.9919458333333333</v>
      </c>
      <c r="O28">
        <v>14</v>
      </c>
      <c r="P28">
        <v>610327427.79999995</v>
      </c>
      <c r="Q28">
        <v>519110</v>
      </c>
      <c r="R28">
        <v>51910</v>
      </c>
      <c r="S28">
        <v>0.97574000000000005</v>
      </c>
      <c r="T28">
        <v>0.95269999999999999</v>
      </c>
      <c r="U28">
        <v>0.98653333333333337</v>
      </c>
      <c r="V28">
        <v>14</v>
      </c>
      <c r="W28">
        <v>612214080.79999995</v>
      </c>
      <c r="X28">
        <v>519120</v>
      </c>
      <c r="Y28">
        <v>51911</v>
      </c>
      <c r="Z28" t="s">
        <v>49</v>
      </c>
      <c r="AB28">
        <f>mnist_cnn_all[[#This Row],[kan_params]]</f>
        <v>519115</v>
      </c>
      <c r="AC28">
        <f>mnist_cnn_all[[#This Row],[kan_train_acc]]</f>
        <v>0.9967583333333333</v>
      </c>
      <c r="AD28">
        <f>mnist_cnn_all[[#This Row],[kan_val_acc]]</f>
        <v>0.98091666666666666</v>
      </c>
      <c r="AE28">
        <f>mnist_cnn_all[[#This Row],[kan_test_acc]]</f>
        <v>0.98692000000000002</v>
      </c>
      <c r="AF28">
        <f>mnist_cnn_all[[#This Row],[mlp_test_acc]]</f>
        <v>0.97994000000000003</v>
      </c>
      <c r="AG28">
        <f>mnist_cnn_all[[#This Row],[mlp_val_acc]]</f>
        <v>0.95734999999999992</v>
      </c>
      <c r="AH28">
        <f>mnist_cnn_all[[#This Row],[mlp_train_acc]]</f>
        <v>0.9919458333333333</v>
      </c>
      <c r="AJ28">
        <f>mnist_cnn_all[[#This Row],[kan_params]]</f>
        <v>519115</v>
      </c>
      <c r="AK28">
        <f>mnist_cnn_all[[#This Row],[kan_steps]]</f>
        <v>14</v>
      </c>
      <c r="AL28">
        <f>mnist_cnn_all[[#This Row],[kan_time_difference]]</f>
        <v>206483870.59999999</v>
      </c>
      <c r="AM28">
        <f>mnist_cnn_all[[#This Row],[mlp_steps]]</f>
        <v>14</v>
      </c>
      <c r="AN28">
        <f>mnist_cnn_all[[#This Row],[time_difference mlp1]]</f>
        <v>610327427.79999995</v>
      </c>
      <c r="AO28">
        <f>mnist_cnn_all[[#This Row],[mlp2_steps]]</f>
        <v>14</v>
      </c>
      <c r="AP28">
        <f>mnist_cnn_all[[#This Row],[mlp 2 time difference]]</f>
        <v>612214080.79999995</v>
      </c>
      <c r="AR28">
        <f>AJ28</f>
        <v>519115</v>
      </c>
      <c r="AS28">
        <f>AL28/AK28</f>
        <v>14748847.9</v>
      </c>
      <c r="AT28">
        <f>AN28/AM28</f>
        <v>43594816.27142857</v>
      </c>
      <c r="AU28">
        <f>AP28/AO28</f>
        <v>43729577.199999996</v>
      </c>
    </row>
    <row r="29" spans="1:47" x14ac:dyDescent="0.25">
      <c r="A29" t="s">
        <v>26</v>
      </c>
      <c r="B29">
        <v>9</v>
      </c>
      <c r="C29">
        <v>2</v>
      </c>
      <c r="D29">
        <v>0</v>
      </c>
      <c r="E29" t="s">
        <v>43</v>
      </c>
      <c r="F29">
        <v>528550</v>
      </c>
      <c r="G29">
        <v>113488392</v>
      </c>
      <c r="H29">
        <v>8</v>
      </c>
      <c r="I29">
        <v>0.99688194444444445</v>
      </c>
      <c r="J29">
        <v>0.97891666666666666</v>
      </c>
      <c r="K29">
        <v>0.98896666666666666</v>
      </c>
      <c r="L29">
        <v>0.97196666666666665</v>
      </c>
      <c r="M29">
        <v>0.95447222222222217</v>
      </c>
      <c r="N29">
        <v>0.98210416666666667</v>
      </c>
      <c r="O29">
        <v>8</v>
      </c>
      <c r="P29">
        <v>367350606.66666669</v>
      </c>
      <c r="Q29">
        <v>528540</v>
      </c>
      <c r="R29">
        <v>52853</v>
      </c>
      <c r="S29">
        <v>0.97023333333333328</v>
      </c>
      <c r="T29">
        <v>0.94822222222222219</v>
      </c>
      <c r="U29">
        <v>0.98026388888888882</v>
      </c>
      <c r="V29">
        <v>8</v>
      </c>
      <c r="W29">
        <v>367574028.33333331</v>
      </c>
      <c r="X29">
        <v>528550</v>
      </c>
      <c r="Y29">
        <v>52854</v>
      </c>
      <c r="Z29" t="s">
        <v>63</v>
      </c>
      <c r="AB29">
        <f>mnist_cnn_all[[#This Row],[kan_params]]</f>
        <v>528550</v>
      </c>
      <c r="AC29">
        <f>mnist_cnn_all[[#This Row],[kan_train_acc]]</f>
        <v>0.99688194444444445</v>
      </c>
      <c r="AD29">
        <f>mnist_cnn_all[[#This Row],[kan_val_acc]]</f>
        <v>0.97891666666666666</v>
      </c>
      <c r="AE29">
        <f>mnist_cnn_all[[#This Row],[kan_test_acc]]</f>
        <v>0.98896666666666666</v>
      </c>
      <c r="AF29">
        <f>mnist_cnn_all[[#This Row],[mlp_test_acc]]</f>
        <v>0.97196666666666665</v>
      </c>
      <c r="AG29">
        <f>mnist_cnn_all[[#This Row],[mlp_val_acc]]</f>
        <v>0.95447222222222217</v>
      </c>
      <c r="AH29">
        <f>mnist_cnn_all[[#This Row],[mlp_train_acc]]</f>
        <v>0.98210416666666667</v>
      </c>
      <c r="AJ29">
        <f>mnist_cnn_all[[#This Row],[kan_params]]</f>
        <v>528550</v>
      </c>
      <c r="AK29">
        <f>mnist_cnn_all[[#This Row],[kan_steps]]</f>
        <v>8</v>
      </c>
      <c r="AL29">
        <f>mnist_cnn_all[[#This Row],[kan_time_difference]]</f>
        <v>113488392</v>
      </c>
      <c r="AM29">
        <f>mnist_cnn_all[[#This Row],[mlp_steps]]</f>
        <v>8</v>
      </c>
      <c r="AN29">
        <f>mnist_cnn_all[[#This Row],[time_difference mlp1]]</f>
        <v>367350606.66666669</v>
      </c>
      <c r="AO29">
        <f>mnist_cnn_all[[#This Row],[mlp2_steps]]</f>
        <v>8</v>
      </c>
      <c r="AP29">
        <f>mnist_cnn_all[[#This Row],[mlp 2 time difference]]</f>
        <v>367574028.33333331</v>
      </c>
      <c r="AR29">
        <f>AJ29</f>
        <v>528550</v>
      </c>
      <c r="AS29">
        <f>AL29/AK29</f>
        <v>14186049</v>
      </c>
      <c r="AT29">
        <f>AN29/AM29</f>
        <v>45918825.833333336</v>
      </c>
      <c r="AU29">
        <f>AP29/AO29</f>
        <v>45946753.541666664</v>
      </c>
    </row>
    <row r="30" spans="1:47" x14ac:dyDescent="0.25">
      <c r="A30" t="s">
        <v>26</v>
      </c>
      <c r="B30">
        <v>9</v>
      </c>
      <c r="C30">
        <v>5</v>
      </c>
      <c r="D30">
        <v>0</v>
      </c>
      <c r="E30" t="s">
        <v>27</v>
      </c>
      <c r="F30">
        <v>534840</v>
      </c>
      <c r="G30">
        <v>113850559</v>
      </c>
      <c r="H30">
        <v>6</v>
      </c>
      <c r="I30">
        <v>0.99408333333333332</v>
      </c>
      <c r="J30">
        <v>0.98104999999999998</v>
      </c>
      <c r="K30">
        <v>0.98652000000000006</v>
      </c>
      <c r="L30">
        <v>0.96626000000000001</v>
      </c>
      <c r="M30">
        <v>0.94653333333333334</v>
      </c>
      <c r="N30">
        <v>0.97401250000000006</v>
      </c>
      <c r="O30">
        <v>6</v>
      </c>
      <c r="P30">
        <v>274762839</v>
      </c>
      <c r="Q30">
        <v>534830</v>
      </c>
      <c r="R30">
        <v>53482</v>
      </c>
      <c r="S30">
        <v>0.96250000000000002</v>
      </c>
      <c r="T30">
        <v>0.9609833333333333</v>
      </c>
      <c r="U30">
        <v>0.97071666666666667</v>
      </c>
      <c r="V30">
        <v>6</v>
      </c>
      <c r="W30">
        <v>274605263.60000002</v>
      </c>
      <c r="X30">
        <v>534840</v>
      </c>
      <c r="Y30">
        <v>53483</v>
      </c>
      <c r="Z30" t="s">
        <v>77</v>
      </c>
      <c r="AB30">
        <f>mnist_cnn_all[[#This Row],[kan_params]]</f>
        <v>534840</v>
      </c>
      <c r="AC30">
        <f>mnist_cnn_all[[#This Row],[kan_train_acc]]</f>
        <v>0.99408333333333332</v>
      </c>
      <c r="AD30">
        <f>mnist_cnn_all[[#This Row],[kan_val_acc]]</f>
        <v>0.98104999999999998</v>
      </c>
      <c r="AE30">
        <f>mnist_cnn_all[[#This Row],[kan_test_acc]]</f>
        <v>0.98652000000000006</v>
      </c>
      <c r="AF30">
        <f>mnist_cnn_all[[#This Row],[mlp_test_acc]]</f>
        <v>0.96626000000000001</v>
      </c>
      <c r="AG30">
        <f>mnist_cnn_all[[#This Row],[mlp_val_acc]]</f>
        <v>0.94653333333333334</v>
      </c>
      <c r="AH30">
        <f>mnist_cnn_all[[#This Row],[mlp_train_acc]]</f>
        <v>0.97401250000000006</v>
      </c>
      <c r="AJ30">
        <f>mnist_cnn_all[[#This Row],[kan_params]]</f>
        <v>534840</v>
      </c>
      <c r="AK30">
        <f>mnist_cnn_all[[#This Row],[kan_steps]]</f>
        <v>6</v>
      </c>
      <c r="AL30">
        <f>mnist_cnn_all[[#This Row],[kan_time_difference]]</f>
        <v>113850559</v>
      </c>
      <c r="AM30">
        <f>mnist_cnn_all[[#This Row],[mlp_steps]]</f>
        <v>6</v>
      </c>
      <c r="AN30">
        <f>mnist_cnn_all[[#This Row],[time_difference mlp1]]</f>
        <v>274762839</v>
      </c>
      <c r="AO30">
        <f>mnist_cnn_all[[#This Row],[mlp2_steps]]</f>
        <v>6</v>
      </c>
      <c r="AP30">
        <f>mnist_cnn_all[[#This Row],[mlp 2 time difference]]</f>
        <v>274605263.60000002</v>
      </c>
      <c r="AR30">
        <f>AJ30</f>
        <v>534840</v>
      </c>
      <c r="AS30">
        <f>AL30/AK30</f>
        <v>18975093.166666668</v>
      </c>
      <c r="AT30">
        <f>AN30/AM30</f>
        <v>45793806.5</v>
      </c>
      <c r="AU30">
        <f>AP30/AO30</f>
        <v>45767543.933333337</v>
      </c>
    </row>
    <row r="31" spans="1:47" x14ac:dyDescent="0.25">
      <c r="A31" t="s">
        <v>26</v>
      </c>
      <c r="B31">
        <v>9</v>
      </c>
      <c r="C31">
        <v>3</v>
      </c>
      <c r="D31">
        <v>0</v>
      </c>
      <c r="E31" t="s">
        <v>43</v>
      </c>
      <c r="F31">
        <v>566302</v>
      </c>
      <c r="G31">
        <v>124716823.33333333</v>
      </c>
      <c r="H31">
        <v>8</v>
      </c>
      <c r="I31">
        <v>0.99635763888888884</v>
      </c>
      <c r="J31">
        <v>0.98111111111111104</v>
      </c>
      <c r="K31">
        <v>0.98866666666666669</v>
      </c>
      <c r="L31">
        <v>0.97450000000000003</v>
      </c>
      <c r="M31">
        <v>0.94676388888888885</v>
      </c>
      <c r="N31">
        <v>0.98192013888888885</v>
      </c>
      <c r="O31">
        <v>8</v>
      </c>
      <c r="P31">
        <v>387307042.16666669</v>
      </c>
      <c r="Q31">
        <v>566300</v>
      </c>
      <c r="R31">
        <v>56629</v>
      </c>
      <c r="S31">
        <v>0.96891666666666665</v>
      </c>
      <c r="T31">
        <v>0.95484722222222218</v>
      </c>
      <c r="U31">
        <v>0.97797222222222224</v>
      </c>
      <c r="V31">
        <v>8</v>
      </c>
      <c r="W31">
        <v>386256401.33333331</v>
      </c>
      <c r="X31">
        <v>566310</v>
      </c>
      <c r="Y31">
        <v>56630</v>
      </c>
      <c r="Z31" t="s">
        <v>68</v>
      </c>
      <c r="AB31">
        <f>mnist_cnn_all[[#This Row],[kan_params]]</f>
        <v>566302</v>
      </c>
      <c r="AC31">
        <f>mnist_cnn_all[[#This Row],[kan_train_acc]]</f>
        <v>0.99635763888888884</v>
      </c>
      <c r="AD31">
        <f>mnist_cnn_all[[#This Row],[kan_val_acc]]</f>
        <v>0.98111111111111104</v>
      </c>
      <c r="AE31">
        <f>mnist_cnn_all[[#This Row],[kan_test_acc]]</f>
        <v>0.98866666666666669</v>
      </c>
      <c r="AF31">
        <f>mnist_cnn_all[[#This Row],[mlp_test_acc]]</f>
        <v>0.97450000000000003</v>
      </c>
      <c r="AG31">
        <f>mnist_cnn_all[[#This Row],[mlp_val_acc]]</f>
        <v>0.94676388888888885</v>
      </c>
      <c r="AH31">
        <f>mnist_cnn_all[[#This Row],[mlp_train_acc]]</f>
        <v>0.98192013888888885</v>
      </c>
      <c r="AJ31">
        <f>mnist_cnn_all[[#This Row],[kan_params]]</f>
        <v>566302</v>
      </c>
      <c r="AK31">
        <f>mnist_cnn_all[[#This Row],[kan_steps]]</f>
        <v>8</v>
      </c>
      <c r="AL31">
        <f>mnist_cnn_all[[#This Row],[kan_time_difference]]</f>
        <v>124716823.33333333</v>
      </c>
      <c r="AM31">
        <f>mnist_cnn_all[[#This Row],[mlp_steps]]</f>
        <v>8</v>
      </c>
      <c r="AN31">
        <f>mnist_cnn_all[[#This Row],[time_difference mlp1]]</f>
        <v>387307042.16666669</v>
      </c>
      <c r="AO31">
        <f>mnist_cnn_all[[#This Row],[mlp2_steps]]</f>
        <v>8</v>
      </c>
      <c r="AP31">
        <f>mnist_cnn_all[[#This Row],[mlp 2 time difference]]</f>
        <v>386256401.33333331</v>
      </c>
      <c r="AR31">
        <f>AJ31</f>
        <v>566302</v>
      </c>
      <c r="AS31">
        <f>AL31/AK31</f>
        <v>15589602.916666666</v>
      </c>
      <c r="AT31">
        <f>AN31/AM31</f>
        <v>48413380.270833336</v>
      </c>
      <c r="AU31">
        <f>AP31/AO31</f>
        <v>48282050.166666664</v>
      </c>
    </row>
    <row r="32" spans="1:47" x14ac:dyDescent="0.25">
      <c r="A32" t="s">
        <v>26</v>
      </c>
      <c r="B32">
        <v>5</v>
      </c>
      <c r="C32">
        <v>4</v>
      </c>
      <c r="D32">
        <v>0</v>
      </c>
      <c r="E32" t="s">
        <v>29</v>
      </c>
      <c r="F32">
        <v>566305</v>
      </c>
      <c r="G32">
        <v>214846923</v>
      </c>
      <c r="H32">
        <v>14</v>
      </c>
      <c r="I32">
        <v>0.99774166666666664</v>
      </c>
      <c r="J32">
        <v>0.98146666666666671</v>
      </c>
      <c r="K32">
        <v>0.98794000000000004</v>
      </c>
      <c r="L32">
        <v>0.97677999999999998</v>
      </c>
      <c r="M32">
        <v>0.95189999999999997</v>
      </c>
      <c r="N32">
        <v>0.98848749999999996</v>
      </c>
      <c r="O32">
        <v>14</v>
      </c>
      <c r="P32">
        <v>661667831.39999998</v>
      </c>
      <c r="Q32">
        <v>566300</v>
      </c>
      <c r="R32">
        <v>56629</v>
      </c>
      <c r="S32">
        <v>0.98070000000000002</v>
      </c>
      <c r="T32">
        <v>0.94791666666666674</v>
      </c>
      <c r="U32">
        <v>0.9907083333333333</v>
      </c>
      <c r="V32">
        <v>14</v>
      </c>
      <c r="W32">
        <v>660517081.20000005</v>
      </c>
      <c r="X32">
        <v>566310</v>
      </c>
      <c r="Y32">
        <v>56630</v>
      </c>
      <c r="Z32" t="s">
        <v>53</v>
      </c>
      <c r="AB32">
        <f>mnist_cnn_all[[#This Row],[kan_params]]</f>
        <v>566305</v>
      </c>
      <c r="AC32">
        <f>mnist_cnn_all[[#This Row],[kan_train_acc]]</f>
        <v>0.99774166666666664</v>
      </c>
      <c r="AD32">
        <f>mnist_cnn_all[[#This Row],[kan_val_acc]]</f>
        <v>0.98146666666666671</v>
      </c>
      <c r="AE32">
        <f>mnist_cnn_all[[#This Row],[kan_test_acc]]</f>
        <v>0.98794000000000004</v>
      </c>
      <c r="AF32">
        <f>mnist_cnn_all[[#This Row],[mlp_test_acc]]</f>
        <v>0.97677999999999998</v>
      </c>
      <c r="AG32">
        <f>mnist_cnn_all[[#This Row],[mlp_val_acc]]</f>
        <v>0.95189999999999997</v>
      </c>
      <c r="AH32">
        <f>mnist_cnn_all[[#This Row],[mlp_train_acc]]</f>
        <v>0.98848749999999996</v>
      </c>
      <c r="AJ32">
        <f>mnist_cnn_all[[#This Row],[kan_params]]</f>
        <v>566305</v>
      </c>
      <c r="AK32">
        <f>mnist_cnn_all[[#This Row],[kan_steps]]</f>
        <v>14</v>
      </c>
      <c r="AL32">
        <f>mnist_cnn_all[[#This Row],[kan_time_difference]]</f>
        <v>214846923</v>
      </c>
      <c r="AM32">
        <f>mnist_cnn_all[[#This Row],[mlp_steps]]</f>
        <v>14</v>
      </c>
      <c r="AN32">
        <f>mnist_cnn_all[[#This Row],[time_difference mlp1]]</f>
        <v>661667831.39999998</v>
      </c>
      <c r="AO32">
        <f>mnist_cnn_all[[#This Row],[mlp2_steps]]</f>
        <v>14</v>
      </c>
      <c r="AP32">
        <f>mnist_cnn_all[[#This Row],[mlp 2 time difference]]</f>
        <v>660517081.20000005</v>
      </c>
      <c r="AR32">
        <f>AJ32</f>
        <v>566305</v>
      </c>
      <c r="AS32">
        <f>AL32/AK32</f>
        <v>15346208.785714285</v>
      </c>
      <c r="AT32">
        <f>AN32/AM32</f>
        <v>47261987.957142852</v>
      </c>
      <c r="AU32">
        <f>AP32/AO32</f>
        <v>47179791.514285721</v>
      </c>
    </row>
    <row r="33" spans="1:47" x14ac:dyDescent="0.25">
      <c r="A33" t="s">
        <v>26</v>
      </c>
      <c r="B33">
        <v>9</v>
      </c>
      <c r="C33">
        <v>4</v>
      </c>
      <c r="D33">
        <v>0</v>
      </c>
      <c r="E33" t="s">
        <v>43</v>
      </c>
      <c r="F33">
        <v>604054</v>
      </c>
      <c r="G33">
        <v>131840658.42857143</v>
      </c>
      <c r="H33">
        <v>8</v>
      </c>
      <c r="I33">
        <v>0.99573214285714284</v>
      </c>
      <c r="J33">
        <v>0.9796785714285714</v>
      </c>
      <c r="K33">
        <v>0.98777142857142852</v>
      </c>
      <c r="L33">
        <v>0.96991428571428573</v>
      </c>
      <c r="M33">
        <v>0.94954761904761908</v>
      </c>
      <c r="N33">
        <v>0.9775625</v>
      </c>
      <c r="O33">
        <v>8</v>
      </c>
      <c r="P33">
        <v>413056310</v>
      </c>
      <c r="Q33">
        <v>604050</v>
      </c>
      <c r="R33">
        <v>60404</v>
      </c>
      <c r="S33">
        <v>0.96992857142857147</v>
      </c>
      <c r="T33">
        <v>0.95077380952380952</v>
      </c>
      <c r="U33">
        <v>0.97838690476190482</v>
      </c>
      <c r="V33">
        <v>8</v>
      </c>
      <c r="W33">
        <v>414629225.14285713</v>
      </c>
      <c r="X33">
        <v>604060</v>
      </c>
      <c r="Y33">
        <v>60405</v>
      </c>
      <c r="Z33" t="s">
        <v>73</v>
      </c>
      <c r="AB33">
        <f>mnist_cnn_all[[#This Row],[kan_params]]</f>
        <v>604054</v>
      </c>
      <c r="AC33">
        <f>mnist_cnn_all[[#This Row],[kan_train_acc]]</f>
        <v>0.99573214285714284</v>
      </c>
      <c r="AD33">
        <f>mnist_cnn_all[[#This Row],[kan_val_acc]]</f>
        <v>0.9796785714285714</v>
      </c>
      <c r="AE33">
        <f>mnist_cnn_all[[#This Row],[kan_test_acc]]</f>
        <v>0.98777142857142852</v>
      </c>
      <c r="AF33">
        <f>mnist_cnn_all[[#This Row],[mlp_test_acc]]</f>
        <v>0.96991428571428573</v>
      </c>
      <c r="AG33">
        <f>mnist_cnn_all[[#This Row],[mlp_val_acc]]</f>
        <v>0.94954761904761908</v>
      </c>
      <c r="AH33">
        <f>mnist_cnn_all[[#This Row],[mlp_train_acc]]</f>
        <v>0.9775625</v>
      </c>
      <c r="AJ33">
        <f>mnist_cnn_all[[#This Row],[kan_params]]</f>
        <v>604054</v>
      </c>
      <c r="AK33">
        <f>mnist_cnn_all[[#This Row],[kan_steps]]</f>
        <v>8</v>
      </c>
      <c r="AL33">
        <f>mnist_cnn_all[[#This Row],[kan_time_difference]]</f>
        <v>131840658.42857143</v>
      </c>
      <c r="AM33">
        <f>mnist_cnn_all[[#This Row],[mlp_steps]]</f>
        <v>8</v>
      </c>
      <c r="AN33">
        <f>mnist_cnn_all[[#This Row],[time_difference mlp1]]</f>
        <v>413056310</v>
      </c>
      <c r="AO33">
        <f>mnist_cnn_all[[#This Row],[mlp2_steps]]</f>
        <v>8</v>
      </c>
      <c r="AP33">
        <f>mnist_cnn_all[[#This Row],[mlp 2 time difference]]</f>
        <v>414629225.14285713</v>
      </c>
      <c r="AR33">
        <f>AJ33</f>
        <v>604054</v>
      </c>
      <c r="AS33">
        <f>AL33/AK33</f>
        <v>16480082.303571429</v>
      </c>
      <c r="AT33">
        <f>AN33/AM33</f>
        <v>51632038.75</v>
      </c>
      <c r="AU33">
        <f>AP33/AO33</f>
        <v>51828653.142857142</v>
      </c>
    </row>
    <row r="34" spans="1:47" x14ac:dyDescent="0.25">
      <c r="A34" t="s">
        <v>26</v>
      </c>
      <c r="B34">
        <v>3</v>
      </c>
      <c r="C34">
        <v>2</v>
      </c>
      <c r="D34">
        <v>0</v>
      </c>
      <c r="E34" t="s">
        <v>31</v>
      </c>
      <c r="F34">
        <v>604066</v>
      </c>
      <c r="G34">
        <v>753127582.42857146</v>
      </c>
      <c r="H34">
        <v>11.714285714285714</v>
      </c>
      <c r="I34">
        <v>0.99654464285714284</v>
      </c>
      <c r="J34">
        <v>0.97357142857142853</v>
      </c>
      <c r="K34">
        <v>0.98868571428571428</v>
      </c>
      <c r="L34">
        <v>0.97825714285714283</v>
      </c>
      <c r="M34">
        <v>0.94721428571428568</v>
      </c>
      <c r="N34">
        <v>0.99043749999999997</v>
      </c>
      <c r="O34">
        <v>11.714285714285714</v>
      </c>
      <c r="P34">
        <v>5719757547.1428576</v>
      </c>
      <c r="Q34">
        <v>604060</v>
      </c>
      <c r="R34">
        <v>60405</v>
      </c>
      <c r="S34">
        <v>0.9781428571428572</v>
      </c>
      <c r="T34">
        <v>0.95083333333333331</v>
      </c>
      <c r="U34">
        <v>0.99033035714285711</v>
      </c>
      <c r="V34">
        <v>11.714285714285714</v>
      </c>
      <c r="W34">
        <v>5605236883.5714283</v>
      </c>
      <c r="X34">
        <v>604070</v>
      </c>
      <c r="Y34">
        <v>60406</v>
      </c>
      <c r="Z34" t="s">
        <v>32</v>
      </c>
      <c r="AB34">
        <f>mnist_cnn_all[[#This Row],[kan_params]]</f>
        <v>604066</v>
      </c>
      <c r="AC34">
        <f>mnist_cnn_all[[#This Row],[kan_train_acc]]</f>
        <v>0.99654464285714284</v>
      </c>
      <c r="AD34">
        <f>mnist_cnn_all[[#This Row],[kan_val_acc]]</f>
        <v>0.97357142857142853</v>
      </c>
      <c r="AE34">
        <f>mnist_cnn_all[[#This Row],[kan_test_acc]]</f>
        <v>0.98868571428571428</v>
      </c>
      <c r="AF34">
        <f>mnist_cnn_all[[#This Row],[mlp_test_acc]]</f>
        <v>0.97825714285714283</v>
      </c>
      <c r="AG34">
        <f>mnist_cnn_all[[#This Row],[mlp_val_acc]]</f>
        <v>0.94721428571428568</v>
      </c>
      <c r="AH34">
        <f>mnist_cnn_all[[#This Row],[mlp_train_acc]]</f>
        <v>0.99043749999999997</v>
      </c>
      <c r="AJ34">
        <f>mnist_cnn_all[[#This Row],[kan_params]]</f>
        <v>604066</v>
      </c>
      <c r="AK34">
        <f>mnist_cnn_all[[#This Row],[kan_steps]]</f>
        <v>11.714285714285714</v>
      </c>
      <c r="AL34">
        <f>mnist_cnn_all[[#This Row],[kan_time_difference]]</f>
        <v>753127582.42857146</v>
      </c>
      <c r="AM34">
        <f>mnist_cnn_all[[#This Row],[mlp_steps]]</f>
        <v>11.714285714285714</v>
      </c>
      <c r="AN34">
        <f>mnist_cnn_all[[#This Row],[time_difference mlp1]]</f>
        <v>5719757547.1428576</v>
      </c>
      <c r="AO34">
        <f>mnist_cnn_all[[#This Row],[mlp2_steps]]</f>
        <v>11.714285714285714</v>
      </c>
      <c r="AP34">
        <f>mnist_cnn_all[[#This Row],[mlp 2 time difference]]</f>
        <v>5605236883.5714283</v>
      </c>
      <c r="AR34">
        <f>AJ34</f>
        <v>604066</v>
      </c>
      <c r="AS34">
        <f>AL34/AK34</f>
        <v>64291378.987804882</v>
      </c>
      <c r="AT34">
        <f>AN34/AM34</f>
        <v>488271985.73170739</v>
      </c>
      <c r="AU34">
        <f>AP34/AO34</f>
        <v>478495831.52439028</v>
      </c>
    </row>
    <row r="35" spans="1:47" x14ac:dyDescent="0.25">
      <c r="A35" t="s">
        <v>26</v>
      </c>
      <c r="B35">
        <v>5</v>
      </c>
      <c r="C35">
        <v>5</v>
      </c>
      <c r="D35">
        <v>0</v>
      </c>
      <c r="E35" t="s">
        <v>29</v>
      </c>
      <c r="F35">
        <v>613495</v>
      </c>
      <c r="G35">
        <v>218957023.59999999</v>
      </c>
      <c r="H35">
        <v>14</v>
      </c>
      <c r="I35">
        <v>0.99748333333333339</v>
      </c>
      <c r="J35">
        <v>0.98045000000000004</v>
      </c>
      <c r="K35">
        <v>0.98816000000000004</v>
      </c>
      <c r="L35">
        <v>0.97918000000000005</v>
      </c>
      <c r="M35">
        <v>0.95306666666666662</v>
      </c>
      <c r="N35">
        <v>0.98935833333333334</v>
      </c>
      <c r="O35">
        <v>14</v>
      </c>
      <c r="P35">
        <v>695013164.60000002</v>
      </c>
      <c r="Q35">
        <v>613490</v>
      </c>
      <c r="R35">
        <v>61348</v>
      </c>
      <c r="S35">
        <v>0.98038000000000003</v>
      </c>
      <c r="T35">
        <v>0.94968333333333332</v>
      </c>
      <c r="U35">
        <v>0.99162083333333328</v>
      </c>
      <c r="V35">
        <v>14</v>
      </c>
      <c r="W35">
        <v>694475823.60000002</v>
      </c>
      <c r="X35">
        <v>613500</v>
      </c>
      <c r="Y35">
        <v>61349</v>
      </c>
      <c r="Z35" t="s">
        <v>59</v>
      </c>
      <c r="AB35">
        <f>mnist_cnn_all[[#This Row],[kan_params]]</f>
        <v>613495</v>
      </c>
      <c r="AC35">
        <f>mnist_cnn_all[[#This Row],[kan_train_acc]]</f>
        <v>0.99748333333333339</v>
      </c>
      <c r="AD35">
        <f>mnist_cnn_all[[#This Row],[kan_val_acc]]</f>
        <v>0.98045000000000004</v>
      </c>
      <c r="AE35">
        <f>mnist_cnn_all[[#This Row],[kan_test_acc]]</f>
        <v>0.98816000000000004</v>
      </c>
      <c r="AF35">
        <f>mnist_cnn_all[[#This Row],[mlp_test_acc]]</f>
        <v>0.97918000000000005</v>
      </c>
      <c r="AG35">
        <f>mnist_cnn_all[[#This Row],[mlp_val_acc]]</f>
        <v>0.95306666666666662</v>
      </c>
      <c r="AH35">
        <f>mnist_cnn_all[[#This Row],[mlp_train_acc]]</f>
        <v>0.98935833333333334</v>
      </c>
      <c r="AJ35">
        <f>mnist_cnn_all[[#This Row],[kan_params]]</f>
        <v>613495</v>
      </c>
      <c r="AK35">
        <f>mnist_cnn_all[[#This Row],[kan_steps]]</f>
        <v>14</v>
      </c>
      <c r="AL35">
        <f>mnist_cnn_all[[#This Row],[kan_time_difference]]</f>
        <v>218957023.59999999</v>
      </c>
      <c r="AM35">
        <f>mnist_cnn_all[[#This Row],[mlp_steps]]</f>
        <v>14</v>
      </c>
      <c r="AN35">
        <f>mnist_cnn_all[[#This Row],[time_difference mlp1]]</f>
        <v>695013164.60000002</v>
      </c>
      <c r="AO35">
        <f>mnist_cnn_all[[#This Row],[mlp2_steps]]</f>
        <v>14</v>
      </c>
      <c r="AP35">
        <f>mnist_cnn_all[[#This Row],[mlp 2 time difference]]</f>
        <v>694475823.60000002</v>
      </c>
      <c r="AR35">
        <f>AJ35</f>
        <v>613495</v>
      </c>
      <c r="AS35">
        <f>AL35/AK35</f>
        <v>15639787.4</v>
      </c>
      <c r="AT35">
        <f>AN35/AM35</f>
        <v>49643797.471428573</v>
      </c>
      <c r="AU35">
        <f>AP35/AO35</f>
        <v>49605415.971428573</v>
      </c>
    </row>
    <row r="36" spans="1:47" x14ac:dyDescent="0.25">
      <c r="A36" t="s">
        <v>26</v>
      </c>
      <c r="B36">
        <v>9</v>
      </c>
      <c r="C36">
        <v>5</v>
      </c>
      <c r="D36">
        <v>0</v>
      </c>
      <c r="E36" t="s">
        <v>43</v>
      </c>
      <c r="F36">
        <v>641806</v>
      </c>
      <c r="G36">
        <v>143928561.59999999</v>
      </c>
      <c r="H36">
        <v>8</v>
      </c>
      <c r="I36">
        <v>0.9976208333333334</v>
      </c>
      <c r="J36">
        <v>0.98140000000000005</v>
      </c>
      <c r="K36">
        <v>0.98863999999999996</v>
      </c>
      <c r="L36">
        <v>0.97314000000000001</v>
      </c>
      <c r="M36">
        <v>0.95701666666666674</v>
      </c>
      <c r="N36">
        <v>0.98266666666666669</v>
      </c>
      <c r="O36">
        <v>8</v>
      </c>
      <c r="P36">
        <v>427543348</v>
      </c>
      <c r="Q36">
        <v>641800</v>
      </c>
      <c r="R36">
        <v>64179</v>
      </c>
      <c r="S36">
        <v>0.96940000000000004</v>
      </c>
      <c r="T36">
        <v>0.9583666666666667</v>
      </c>
      <c r="U36">
        <v>0.97793750000000002</v>
      </c>
      <c r="V36">
        <v>8</v>
      </c>
      <c r="W36">
        <v>428004081.19999999</v>
      </c>
      <c r="X36">
        <v>641810</v>
      </c>
      <c r="Y36">
        <v>64180</v>
      </c>
      <c r="Z36" t="s">
        <v>78</v>
      </c>
      <c r="AB36">
        <f>mnist_cnn_all[[#This Row],[kan_params]]</f>
        <v>641806</v>
      </c>
      <c r="AC36">
        <f>mnist_cnn_all[[#This Row],[kan_train_acc]]</f>
        <v>0.9976208333333334</v>
      </c>
      <c r="AD36">
        <f>mnist_cnn_all[[#This Row],[kan_val_acc]]</f>
        <v>0.98140000000000005</v>
      </c>
      <c r="AE36">
        <f>mnist_cnn_all[[#This Row],[kan_test_acc]]</f>
        <v>0.98863999999999996</v>
      </c>
      <c r="AF36">
        <f>mnist_cnn_all[[#This Row],[mlp_test_acc]]</f>
        <v>0.97314000000000001</v>
      </c>
      <c r="AG36">
        <f>mnist_cnn_all[[#This Row],[mlp_val_acc]]</f>
        <v>0.95701666666666674</v>
      </c>
      <c r="AH36">
        <f>mnist_cnn_all[[#This Row],[mlp_train_acc]]</f>
        <v>0.98266666666666669</v>
      </c>
      <c r="AJ36">
        <f>mnist_cnn_all[[#This Row],[kan_params]]</f>
        <v>641806</v>
      </c>
      <c r="AK36">
        <f>mnist_cnn_all[[#This Row],[kan_steps]]</f>
        <v>8</v>
      </c>
      <c r="AL36">
        <f>mnist_cnn_all[[#This Row],[kan_time_difference]]</f>
        <v>143928561.59999999</v>
      </c>
      <c r="AM36">
        <f>mnist_cnn_all[[#This Row],[mlp_steps]]</f>
        <v>8</v>
      </c>
      <c r="AN36">
        <f>mnist_cnn_all[[#This Row],[time_difference mlp1]]</f>
        <v>427543348</v>
      </c>
      <c r="AO36">
        <f>mnist_cnn_all[[#This Row],[mlp2_steps]]</f>
        <v>8</v>
      </c>
      <c r="AP36">
        <f>mnist_cnn_all[[#This Row],[mlp 2 time difference]]</f>
        <v>428004081.19999999</v>
      </c>
      <c r="AR36">
        <f>AJ36</f>
        <v>641806</v>
      </c>
      <c r="AS36">
        <f>AL36/AK36</f>
        <v>17991070.199999999</v>
      </c>
      <c r="AT36">
        <f>AN36/AM36</f>
        <v>53442918.5</v>
      </c>
      <c r="AU36">
        <f>AP36/AO36</f>
        <v>53500510.149999999</v>
      </c>
    </row>
    <row r="37" spans="1:47" x14ac:dyDescent="0.25">
      <c r="A37" t="s">
        <v>26</v>
      </c>
      <c r="B37">
        <v>9</v>
      </c>
      <c r="C37">
        <v>2</v>
      </c>
      <c r="D37">
        <v>0</v>
      </c>
      <c r="E37" t="s">
        <v>29</v>
      </c>
      <c r="F37">
        <v>660685</v>
      </c>
      <c r="G37">
        <v>197087497.40000001</v>
      </c>
      <c r="H37">
        <v>14</v>
      </c>
      <c r="I37">
        <v>0.99734583333333338</v>
      </c>
      <c r="J37">
        <v>0.98235000000000006</v>
      </c>
      <c r="K37">
        <v>0.98840000000000006</v>
      </c>
      <c r="L37">
        <v>0.97841999999999996</v>
      </c>
      <c r="M37">
        <v>0.95833333333333337</v>
      </c>
      <c r="N37">
        <v>0.98965416666666661</v>
      </c>
      <c r="O37">
        <v>14</v>
      </c>
      <c r="P37">
        <v>756561909</v>
      </c>
      <c r="Q37">
        <v>660680</v>
      </c>
      <c r="R37">
        <v>66067</v>
      </c>
      <c r="S37">
        <v>0.97641999999999995</v>
      </c>
      <c r="T37">
        <v>0.95465</v>
      </c>
      <c r="U37">
        <v>0.98729166666666668</v>
      </c>
      <c r="V37">
        <v>14</v>
      </c>
      <c r="W37">
        <v>753607000.39999998</v>
      </c>
      <c r="X37">
        <v>660690</v>
      </c>
      <c r="Y37">
        <v>66068</v>
      </c>
      <c r="Z37" t="s">
        <v>64</v>
      </c>
      <c r="AB37">
        <f>mnist_cnn_all[[#This Row],[kan_params]]</f>
        <v>660685</v>
      </c>
      <c r="AC37">
        <f>mnist_cnn_all[[#This Row],[kan_train_acc]]</f>
        <v>0.99734583333333338</v>
      </c>
      <c r="AD37">
        <f>mnist_cnn_all[[#This Row],[kan_val_acc]]</f>
        <v>0.98235000000000006</v>
      </c>
      <c r="AE37">
        <f>mnist_cnn_all[[#This Row],[kan_test_acc]]</f>
        <v>0.98840000000000006</v>
      </c>
      <c r="AF37">
        <f>mnist_cnn_all[[#This Row],[mlp_test_acc]]</f>
        <v>0.97841999999999996</v>
      </c>
      <c r="AG37">
        <f>mnist_cnn_all[[#This Row],[mlp_val_acc]]</f>
        <v>0.95833333333333337</v>
      </c>
      <c r="AH37">
        <f>mnist_cnn_all[[#This Row],[mlp_train_acc]]</f>
        <v>0.98965416666666661</v>
      </c>
      <c r="AJ37">
        <f>mnist_cnn_all[[#This Row],[kan_params]]</f>
        <v>660685</v>
      </c>
      <c r="AK37">
        <f>mnist_cnn_all[[#This Row],[kan_steps]]</f>
        <v>14</v>
      </c>
      <c r="AL37">
        <f>mnist_cnn_all[[#This Row],[kan_time_difference]]</f>
        <v>197087497.40000001</v>
      </c>
      <c r="AM37">
        <f>mnist_cnn_all[[#This Row],[mlp_steps]]</f>
        <v>14</v>
      </c>
      <c r="AN37">
        <f>mnist_cnn_all[[#This Row],[time_difference mlp1]]</f>
        <v>756561909</v>
      </c>
      <c r="AO37">
        <f>mnist_cnn_all[[#This Row],[mlp2_steps]]</f>
        <v>14</v>
      </c>
      <c r="AP37">
        <f>mnist_cnn_all[[#This Row],[mlp 2 time difference]]</f>
        <v>753607000.39999998</v>
      </c>
      <c r="AR37">
        <f>AJ37</f>
        <v>660685</v>
      </c>
      <c r="AS37">
        <f>AL37/AK37</f>
        <v>14077678.385714287</v>
      </c>
      <c r="AT37">
        <f>AN37/AM37</f>
        <v>54040136.357142858</v>
      </c>
      <c r="AU37">
        <f>AP37/AO37</f>
        <v>53829071.457142852</v>
      </c>
    </row>
    <row r="38" spans="1:47" x14ac:dyDescent="0.25">
      <c r="A38" t="s">
        <v>26</v>
      </c>
      <c r="B38">
        <v>3</v>
      </c>
      <c r="C38">
        <v>3</v>
      </c>
      <c r="D38">
        <v>0</v>
      </c>
      <c r="E38" t="s">
        <v>31</v>
      </c>
      <c r="F38">
        <v>679570</v>
      </c>
      <c r="G38">
        <v>200959887.40000001</v>
      </c>
      <c r="H38">
        <v>14</v>
      </c>
      <c r="I38">
        <v>0.99784583333333332</v>
      </c>
      <c r="J38">
        <v>0.98421666666666663</v>
      </c>
      <c r="K38">
        <v>0.98819999999999997</v>
      </c>
      <c r="L38">
        <v>0.97075999999999996</v>
      </c>
      <c r="M38">
        <v>0.95516666666666661</v>
      </c>
      <c r="N38">
        <v>0.98277916666666665</v>
      </c>
      <c r="O38">
        <v>14</v>
      </c>
      <c r="P38">
        <v>801476496</v>
      </c>
      <c r="Q38">
        <v>679560</v>
      </c>
      <c r="R38">
        <v>67955</v>
      </c>
      <c r="S38">
        <v>0.98105999999999993</v>
      </c>
      <c r="T38">
        <v>0.95453333333333334</v>
      </c>
      <c r="U38">
        <v>0.9919958333333333</v>
      </c>
      <c r="V38">
        <v>14</v>
      </c>
      <c r="W38">
        <v>800238023.60000002</v>
      </c>
      <c r="X38">
        <v>679570</v>
      </c>
      <c r="Y38">
        <v>67956</v>
      </c>
      <c r="Z38" t="s">
        <v>35</v>
      </c>
      <c r="AB38">
        <f>mnist_cnn_all[[#This Row],[kan_params]]</f>
        <v>679570</v>
      </c>
      <c r="AC38">
        <f>mnist_cnn_all[[#This Row],[kan_train_acc]]</f>
        <v>0.99784583333333332</v>
      </c>
      <c r="AD38">
        <f>mnist_cnn_all[[#This Row],[kan_val_acc]]</f>
        <v>0.98421666666666663</v>
      </c>
      <c r="AE38">
        <f>mnist_cnn_all[[#This Row],[kan_test_acc]]</f>
        <v>0.98819999999999997</v>
      </c>
      <c r="AF38">
        <f>mnist_cnn_all[[#This Row],[mlp_test_acc]]</f>
        <v>0.97075999999999996</v>
      </c>
      <c r="AG38">
        <f>mnist_cnn_all[[#This Row],[mlp_val_acc]]</f>
        <v>0.95516666666666661</v>
      </c>
      <c r="AH38">
        <f>mnist_cnn_all[[#This Row],[mlp_train_acc]]</f>
        <v>0.98277916666666665</v>
      </c>
      <c r="AJ38">
        <f>mnist_cnn_all[[#This Row],[kan_params]]</f>
        <v>679570</v>
      </c>
      <c r="AK38">
        <f>mnist_cnn_all[[#This Row],[kan_steps]]</f>
        <v>14</v>
      </c>
      <c r="AL38">
        <f>mnist_cnn_all[[#This Row],[kan_time_difference]]</f>
        <v>200959887.40000001</v>
      </c>
      <c r="AM38">
        <f>mnist_cnn_all[[#This Row],[mlp_steps]]</f>
        <v>14</v>
      </c>
      <c r="AN38">
        <f>mnist_cnn_all[[#This Row],[time_difference mlp1]]</f>
        <v>801476496</v>
      </c>
      <c r="AO38">
        <f>mnist_cnn_all[[#This Row],[mlp2_steps]]</f>
        <v>14</v>
      </c>
      <c r="AP38">
        <f>mnist_cnn_all[[#This Row],[mlp 2 time difference]]</f>
        <v>800238023.60000002</v>
      </c>
      <c r="AR38">
        <f>AJ38</f>
        <v>679570</v>
      </c>
      <c r="AS38">
        <f>AL38/AK38</f>
        <v>14354277.671428572</v>
      </c>
      <c r="AT38">
        <f>AN38/AM38</f>
        <v>57248321.142857142</v>
      </c>
      <c r="AU38">
        <f>AP38/AO38</f>
        <v>57159858.828571431</v>
      </c>
    </row>
    <row r="39" spans="1:47" x14ac:dyDescent="0.25">
      <c r="A39" t="s">
        <v>26</v>
      </c>
      <c r="B39">
        <v>9</v>
      </c>
      <c r="C39">
        <v>3</v>
      </c>
      <c r="D39">
        <v>0</v>
      </c>
      <c r="E39" t="s">
        <v>29</v>
      </c>
      <c r="F39">
        <v>707875</v>
      </c>
      <c r="G39">
        <v>167970150</v>
      </c>
      <c r="H39">
        <v>11.6</v>
      </c>
      <c r="I39">
        <v>0.9979041666666667</v>
      </c>
      <c r="J39">
        <v>0.98001666666666665</v>
      </c>
      <c r="K39">
        <v>0.98860000000000003</v>
      </c>
      <c r="L39">
        <v>0.97167999999999999</v>
      </c>
      <c r="M39">
        <v>0.96201666666666663</v>
      </c>
      <c r="N39">
        <v>0.98282083333333337</v>
      </c>
      <c r="O39">
        <v>11.6</v>
      </c>
      <c r="P39">
        <v>641463261.20000005</v>
      </c>
      <c r="Q39">
        <v>707870</v>
      </c>
      <c r="R39">
        <v>70786</v>
      </c>
      <c r="S39">
        <v>0.96614</v>
      </c>
      <c r="T39">
        <v>0.95628333333333337</v>
      </c>
      <c r="U39">
        <v>0.97666666666666668</v>
      </c>
      <c r="V39">
        <v>11.6</v>
      </c>
      <c r="W39">
        <v>641961795.39999998</v>
      </c>
      <c r="X39">
        <v>707880</v>
      </c>
      <c r="Y39">
        <v>70787</v>
      </c>
      <c r="Z39" t="s">
        <v>69</v>
      </c>
      <c r="AB39">
        <f>mnist_cnn_all[[#This Row],[kan_params]]</f>
        <v>707875</v>
      </c>
      <c r="AC39">
        <f>mnist_cnn_all[[#This Row],[kan_train_acc]]</f>
        <v>0.9979041666666667</v>
      </c>
      <c r="AD39">
        <f>mnist_cnn_all[[#This Row],[kan_val_acc]]</f>
        <v>0.98001666666666665</v>
      </c>
      <c r="AE39">
        <f>mnist_cnn_all[[#This Row],[kan_test_acc]]</f>
        <v>0.98860000000000003</v>
      </c>
      <c r="AF39">
        <f>mnist_cnn_all[[#This Row],[mlp_test_acc]]</f>
        <v>0.97167999999999999</v>
      </c>
      <c r="AG39">
        <f>mnist_cnn_all[[#This Row],[mlp_val_acc]]</f>
        <v>0.96201666666666663</v>
      </c>
      <c r="AH39">
        <f>mnist_cnn_all[[#This Row],[mlp_train_acc]]</f>
        <v>0.98282083333333337</v>
      </c>
      <c r="AJ39">
        <f>mnist_cnn_all[[#This Row],[kan_params]]</f>
        <v>707875</v>
      </c>
      <c r="AK39">
        <f>mnist_cnn_all[[#This Row],[kan_steps]]</f>
        <v>11.6</v>
      </c>
      <c r="AL39">
        <f>mnist_cnn_all[[#This Row],[kan_time_difference]]</f>
        <v>167970150</v>
      </c>
      <c r="AM39">
        <f>mnist_cnn_all[[#This Row],[mlp_steps]]</f>
        <v>11.6</v>
      </c>
      <c r="AN39">
        <f>mnist_cnn_all[[#This Row],[time_difference mlp1]]</f>
        <v>641463261.20000005</v>
      </c>
      <c r="AO39">
        <f>mnist_cnn_all[[#This Row],[mlp2_steps]]</f>
        <v>11.6</v>
      </c>
      <c r="AP39">
        <f>mnist_cnn_all[[#This Row],[mlp 2 time difference]]</f>
        <v>641961795.39999998</v>
      </c>
      <c r="AR39">
        <f>AJ39</f>
        <v>707875</v>
      </c>
      <c r="AS39">
        <f>AL39/AK39</f>
        <v>14480185.344827587</v>
      </c>
      <c r="AT39">
        <f>AN39/AM39</f>
        <v>55298557.000000007</v>
      </c>
      <c r="AU39">
        <f>AP39/AO39</f>
        <v>55341534.086206898</v>
      </c>
    </row>
    <row r="40" spans="1:47" x14ac:dyDescent="0.25">
      <c r="A40" t="s">
        <v>26</v>
      </c>
      <c r="B40">
        <v>9</v>
      </c>
      <c r="C40">
        <v>4</v>
      </c>
      <c r="D40">
        <v>0</v>
      </c>
      <c r="E40" t="s">
        <v>29</v>
      </c>
      <c r="F40">
        <v>755065</v>
      </c>
      <c r="G40">
        <v>117282105.40000001</v>
      </c>
      <c r="H40">
        <v>8</v>
      </c>
      <c r="I40">
        <v>0.99725833333333336</v>
      </c>
      <c r="J40">
        <v>0.97886666666666666</v>
      </c>
      <c r="K40">
        <v>0.98768</v>
      </c>
      <c r="L40">
        <v>0.97014</v>
      </c>
      <c r="M40">
        <v>0.96663333333333334</v>
      </c>
      <c r="N40">
        <v>0.97967083333333338</v>
      </c>
      <c r="O40">
        <v>8</v>
      </c>
      <c r="P40">
        <v>403610290.19999999</v>
      </c>
      <c r="Q40">
        <v>755060</v>
      </c>
      <c r="R40">
        <v>75505</v>
      </c>
      <c r="S40">
        <v>0.96079999999999999</v>
      </c>
      <c r="T40">
        <v>0.97083333333333333</v>
      </c>
      <c r="U40">
        <v>0.97112083333333332</v>
      </c>
      <c r="V40">
        <v>8</v>
      </c>
      <c r="W40">
        <v>404125641.60000002</v>
      </c>
      <c r="X40">
        <v>755070</v>
      </c>
      <c r="Y40">
        <v>75506</v>
      </c>
      <c r="Z40" t="s">
        <v>74</v>
      </c>
      <c r="AB40">
        <f>mnist_cnn_all[[#This Row],[kan_params]]</f>
        <v>755065</v>
      </c>
      <c r="AC40">
        <f>mnist_cnn_all[[#This Row],[kan_train_acc]]</f>
        <v>0.99725833333333336</v>
      </c>
      <c r="AD40">
        <f>mnist_cnn_all[[#This Row],[kan_val_acc]]</f>
        <v>0.97886666666666666</v>
      </c>
      <c r="AE40">
        <f>mnist_cnn_all[[#This Row],[kan_test_acc]]</f>
        <v>0.98768</v>
      </c>
      <c r="AF40">
        <f>mnist_cnn_all[[#This Row],[mlp_test_acc]]</f>
        <v>0.97014</v>
      </c>
      <c r="AG40">
        <f>mnist_cnn_all[[#This Row],[mlp_val_acc]]</f>
        <v>0.96663333333333334</v>
      </c>
      <c r="AH40">
        <f>mnist_cnn_all[[#This Row],[mlp_train_acc]]</f>
        <v>0.97967083333333338</v>
      </c>
      <c r="AJ40">
        <f>mnist_cnn_all[[#This Row],[kan_params]]</f>
        <v>755065</v>
      </c>
      <c r="AK40">
        <f>mnist_cnn_all[[#This Row],[kan_steps]]</f>
        <v>8</v>
      </c>
      <c r="AL40">
        <f>mnist_cnn_all[[#This Row],[kan_time_difference]]</f>
        <v>117282105.40000001</v>
      </c>
      <c r="AM40">
        <f>mnist_cnn_all[[#This Row],[mlp_steps]]</f>
        <v>8</v>
      </c>
      <c r="AN40">
        <f>mnist_cnn_all[[#This Row],[time_difference mlp1]]</f>
        <v>403610290.19999999</v>
      </c>
      <c r="AO40">
        <f>mnist_cnn_all[[#This Row],[mlp2_steps]]</f>
        <v>8</v>
      </c>
      <c r="AP40">
        <f>mnist_cnn_all[[#This Row],[mlp 2 time difference]]</f>
        <v>404125641.60000002</v>
      </c>
      <c r="AR40">
        <f>AJ40</f>
        <v>755065</v>
      </c>
      <c r="AS40">
        <f>AL40/AK40</f>
        <v>14660263.175000001</v>
      </c>
      <c r="AT40">
        <f>AN40/AM40</f>
        <v>50451286.274999999</v>
      </c>
      <c r="AU40">
        <f>AP40/AO40</f>
        <v>50515705.200000003</v>
      </c>
    </row>
    <row r="41" spans="1:47" x14ac:dyDescent="0.25">
      <c r="A41" t="s">
        <v>26</v>
      </c>
      <c r="B41">
        <v>3</v>
      </c>
      <c r="C41">
        <v>4</v>
      </c>
      <c r="D41">
        <v>0</v>
      </c>
      <c r="E41" t="s">
        <v>31</v>
      </c>
      <c r="F41">
        <v>755074</v>
      </c>
      <c r="G41">
        <v>214654575.40000001</v>
      </c>
      <c r="H41">
        <v>14</v>
      </c>
      <c r="I41">
        <v>0.99805416666666669</v>
      </c>
      <c r="J41">
        <v>0.98339999999999994</v>
      </c>
      <c r="K41">
        <v>0.98885999999999996</v>
      </c>
      <c r="L41">
        <v>0.97887999999999997</v>
      </c>
      <c r="M41">
        <v>0.95494999999999997</v>
      </c>
      <c r="N41">
        <v>0.98954166666666665</v>
      </c>
      <c r="O41">
        <v>14</v>
      </c>
      <c r="P41">
        <v>882839937.60000002</v>
      </c>
      <c r="Q41">
        <v>755070</v>
      </c>
      <c r="R41">
        <v>75506</v>
      </c>
      <c r="S41">
        <v>0.97709999999999997</v>
      </c>
      <c r="T41">
        <v>0.95699999999999996</v>
      </c>
      <c r="U41">
        <v>0.98845833333333333</v>
      </c>
      <c r="V41">
        <v>14</v>
      </c>
      <c r="W41">
        <v>882691568.79999995</v>
      </c>
      <c r="X41">
        <v>755080</v>
      </c>
      <c r="Y41">
        <v>75507</v>
      </c>
      <c r="Z41" t="s">
        <v>38</v>
      </c>
      <c r="AB41">
        <f>mnist_cnn_all[[#This Row],[kan_params]]</f>
        <v>755074</v>
      </c>
      <c r="AC41">
        <f>mnist_cnn_all[[#This Row],[kan_train_acc]]</f>
        <v>0.99805416666666669</v>
      </c>
      <c r="AD41">
        <f>mnist_cnn_all[[#This Row],[kan_val_acc]]</f>
        <v>0.98339999999999994</v>
      </c>
      <c r="AE41">
        <f>mnist_cnn_all[[#This Row],[kan_test_acc]]</f>
        <v>0.98885999999999996</v>
      </c>
      <c r="AF41">
        <f>mnist_cnn_all[[#This Row],[mlp_test_acc]]</f>
        <v>0.97887999999999997</v>
      </c>
      <c r="AG41">
        <f>mnist_cnn_all[[#This Row],[mlp_val_acc]]</f>
        <v>0.95494999999999997</v>
      </c>
      <c r="AH41">
        <f>mnist_cnn_all[[#This Row],[mlp_train_acc]]</f>
        <v>0.98954166666666665</v>
      </c>
      <c r="AJ41">
        <f>mnist_cnn_all[[#This Row],[kan_params]]</f>
        <v>755074</v>
      </c>
      <c r="AK41">
        <f>mnist_cnn_all[[#This Row],[kan_steps]]</f>
        <v>14</v>
      </c>
      <c r="AL41">
        <f>mnist_cnn_all[[#This Row],[kan_time_difference]]</f>
        <v>214654575.40000001</v>
      </c>
      <c r="AM41">
        <f>mnist_cnn_all[[#This Row],[mlp_steps]]</f>
        <v>14</v>
      </c>
      <c r="AN41">
        <f>mnist_cnn_all[[#This Row],[time_difference mlp1]]</f>
        <v>882839937.60000002</v>
      </c>
      <c r="AO41">
        <f>mnist_cnn_all[[#This Row],[mlp2_steps]]</f>
        <v>14</v>
      </c>
      <c r="AP41">
        <f>mnist_cnn_all[[#This Row],[mlp 2 time difference]]</f>
        <v>882691568.79999995</v>
      </c>
      <c r="AR41">
        <f>AJ41</f>
        <v>755074</v>
      </c>
      <c r="AS41">
        <f>AL41/AK41</f>
        <v>15332469.671428572</v>
      </c>
      <c r="AT41">
        <f>AN41/AM41</f>
        <v>63059995.542857148</v>
      </c>
      <c r="AU41">
        <f>AP41/AO41</f>
        <v>63049397.77142857</v>
      </c>
    </row>
    <row r="42" spans="1:47" x14ac:dyDescent="0.25">
      <c r="A42" t="s">
        <v>26</v>
      </c>
      <c r="B42">
        <v>5</v>
      </c>
      <c r="C42">
        <v>2</v>
      </c>
      <c r="D42">
        <v>0</v>
      </c>
      <c r="E42" t="s">
        <v>31</v>
      </c>
      <c r="F42">
        <v>755074</v>
      </c>
      <c r="G42">
        <v>186210430.40000001</v>
      </c>
      <c r="H42">
        <v>14</v>
      </c>
      <c r="I42">
        <v>0.99741666666666673</v>
      </c>
      <c r="J42">
        <v>0.98478333333333334</v>
      </c>
      <c r="K42">
        <v>0.98807999999999996</v>
      </c>
      <c r="L42">
        <v>0.97938000000000003</v>
      </c>
      <c r="M42">
        <v>0.95109999999999995</v>
      </c>
      <c r="N42">
        <v>0.9901416666666667</v>
      </c>
      <c r="O42">
        <v>14</v>
      </c>
      <c r="P42">
        <v>883776043.20000005</v>
      </c>
      <c r="Q42">
        <v>755070</v>
      </c>
      <c r="R42">
        <v>75506</v>
      </c>
      <c r="S42">
        <v>0.97916000000000003</v>
      </c>
      <c r="T42">
        <v>0.95474999999999999</v>
      </c>
      <c r="U42">
        <v>0.99115833333333336</v>
      </c>
      <c r="V42">
        <v>14</v>
      </c>
      <c r="W42">
        <v>884480859.60000002</v>
      </c>
      <c r="X42">
        <v>755080</v>
      </c>
      <c r="Y42">
        <v>75507</v>
      </c>
      <c r="Z42" t="s">
        <v>46</v>
      </c>
      <c r="AB42">
        <f>mnist_cnn_all[[#This Row],[kan_params]]</f>
        <v>755074</v>
      </c>
      <c r="AC42">
        <f>mnist_cnn_all[[#This Row],[kan_train_acc]]</f>
        <v>0.99741666666666673</v>
      </c>
      <c r="AD42">
        <f>mnist_cnn_all[[#This Row],[kan_val_acc]]</f>
        <v>0.98478333333333334</v>
      </c>
      <c r="AE42">
        <f>mnist_cnn_all[[#This Row],[kan_test_acc]]</f>
        <v>0.98807999999999996</v>
      </c>
      <c r="AF42">
        <f>mnist_cnn_all[[#This Row],[mlp_test_acc]]</f>
        <v>0.97938000000000003</v>
      </c>
      <c r="AG42">
        <f>mnist_cnn_all[[#This Row],[mlp_val_acc]]</f>
        <v>0.95109999999999995</v>
      </c>
      <c r="AH42">
        <f>mnist_cnn_all[[#This Row],[mlp_train_acc]]</f>
        <v>0.9901416666666667</v>
      </c>
      <c r="AJ42">
        <f>mnist_cnn_all[[#This Row],[kan_params]]</f>
        <v>755074</v>
      </c>
      <c r="AK42">
        <f>mnist_cnn_all[[#This Row],[kan_steps]]</f>
        <v>14</v>
      </c>
      <c r="AL42">
        <f>mnist_cnn_all[[#This Row],[kan_time_difference]]</f>
        <v>186210430.40000001</v>
      </c>
      <c r="AM42">
        <f>mnist_cnn_all[[#This Row],[mlp_steps]]</f>
        <v>14</v>
      </c>
      <c r="AN42">
        <f>mnist_cnn_all[[#This Row],[time_difference mlp1]]</f>
        <v>883776043.20000005</v>
      </c>
      <c r="AO42">
        <f>mnist_cnn_all[[#This Row],[mlp2_steps]]</f>
        <v>14</v>
      </c>
      <c r="AP42">
        <f>mnist_cnn_all[[#This Row],[mlp 2 time difference]]</f>
        <v>884480859.60000002</v>
      </c>
      <c r="AR42">
        <f>AJ42</f>
        <v>755074</v>
      </c>
      <c r="AS42">
        <f>AL42/AK42</f>
        <v>13300745.028571429</v>
      </c>
      <c r="AT42">
        <f>AN42/AM42</f>
        <v>63126860.22857143</v>
      </c>
      <c r="AU42">
        <f>AP42/AO42</f>
        <v>63177204.257142857</v>
      </c>
    </row>
    <row r="43" spans="1:47" x14ac:dyDescent="0.25">
      <c r="A43" t="s">
        <v>26</v>
      </c>
      <c r="B43">
        <v>9</v>
      </c>
      <c r="C43">
        <v>5</v>
      </c>
      <c r="D43">
        <v>0</v>
      </c>
      <c r="E43" t="s">
        <v>29</v>
      </c>
      <c r="F43">
        <v>802255</v>
      </c>
      <c r="G43">
        <v>133825184.59999999</v>
      </c>
      <c r="H43">
        <v>8</v>
      </c>
      <c r="I43">
        <v>0.9975208333333333</v>
      </c>
      <c r="J43">
        <v>0.97911666666666664</v>
      </c>
      <c r="K43">
        <v>0.98853999999999997</v>
      </c>
      <c r="L43">
        <v>0.96730000000000005</v>
      </c>
      <c r="M43">
        <v>0.96863333333333335</v>
      </c>
      <c r="N43">
        <v>0.97741666666666671</v>
      </c>
      <c r="O43">
        <v>8</v>
      </c>
      <c r="P43">
        <v>379078356.19999999</v>
      </c>
      <c r="Q43">
        <v>802250</v>
      </c>
      <c r="R43">
        <v>80224</v>
      </c>
      <c r="S43">
        <v>0.95982000000000001</v>
      </c>
      <c r="T43">
        <v>0.9718</v>
      </c>
      <c r="U43">
        <v>0.96987083333333335</v>
      </c>
      <c r="V43">
        <v>8</v>
      </c>
      <c r="W43">
        <v>380645932.80000001</v>
      </c>
      <c r="X43">
        <v>802260</v>
      </c>
      <c r="Y43">
        <v>80225</v>
      </c>
      <c r="Z43" t="s">
        <v>79</v>
      </c>
      <c r="AB43">
        <f>mnist_cnn_all[[#This Row],[kan_params]]</f>
        <v>802255</v>
      </c>
      <c r="AC43">
        <f>mnist_cnn_all[[#This Row],[kan_train_acc]]</f>
        <v>0.9975208333333333</v>
      </c>
      <c r="AD43">
        <f>mnist_cnn_all[[#This Row],[kan_val_acc]]</f>
        <v>0.97911666666666664</v>
      </c>
      <c r="AE43">
        <f>mnist_cnn_all[[#This Row],[kan_test_acc]]</f>
        <v>0.98853999999999997</v>
      </c>
      <c r="AF43">
        <f>mnist_cnn_all[[#This Row],[mlp_test_acc]]</f>
        <v>0.96730000000000005</v>
      </c>
      <c r="AG43">
        <f>mnist_cnn_all[[#This Row],[mlp_val_acc]]</f>
        <v>0.96863333333333335</v>
      </c>
      <c r="AH43">
        <f>mnist_cnn_all[[#This Row],[mlp_train_acc]]</f>
        <v>0.97741666666666671</v>
      </c>
      <c r="AJ43">
        <f>mnist_cnn_all[[#This Row],[kan_params]]</f>
        <v>802255</v>
      </c>
      <c r="AK43">
        <f>mnist_cnn_all[[#This Row],[kan_steps]]</f>
        <v>8</v>
      </c>
      <c r="AL43">
        <f>mnist_cnn_all[[#This Row],[kan_time_difference]]</f>
        <v>133825184.59999999</v>
      </c>
      <c r="AM43">
        <f>mnist_cnn_all[[#This Row],[mlp_steps]]</f>
        <v>8</v>
      </c>
      <c r="AN43">
        <f>mnist_cnn_all[[#This Row],[time_difference mlp1]]</f>
        <v>379078356.19999999</v>
      </c>
      <c r="AO43">
        <f>mnist_cnn_all[[#This Row],[mlp2_steps]]</f>
        <v>8</v>
      </c>
      <c r="AP43">
        <f>mnist_cnn_all[[#This Row],[mlp 2 time difference]]</f>
        <v>380645932.80000001</v>
      </c>
      <c r="AR43">
        <f>AJ43</f>
        <v>802255</v>
      </c>
      <c r="AS43">
        <f>AL43/AK43</f>
        <v>16728148.074999999</v>
      </c>
      <c r="AT43">
        <f>AN43/AM43</f>
        <v>47384794.524999999</v>
      </c>
      <c r="AU43">
        <f>AP43/AO43</f>
        <v>47580741.600000001</v>
      </c>
    </row>
    <row r="44" spans="1:47" x14ac:dyDescent="0.25">
      <c r="A44" t="s">
        <v>26</v>
      </c>
      <c r="B44">
        <v>3</v>
      </c>
      <c r="C44">
        <v>5</v>
      </c>
      <c r="D44">
        <v>0</v>
      </c>
      <c r="E44" t="s">
        <v>31</v>
      </c>
      <c r="F44">
        <v>830578</v>
      </c>
      <c r="G44">
        <v>231242217.40000001</v>
      </c>
      <c r="H44">
        <v>14</v>
      </c>
      <c r="I44">
        <v>0.99867499999999998</v>
      </c>
      <c r="J44">
        <v>0.98263333333333336</v>
      </c>
      <c r="K44">
        <v>0.98960000000000004</v>
      </c>
      <c r="L44">
        <v>0.97575999999999996</v>
      </c>
      <c r="M44">
        <v>0.95020000000000004</v>
      </c>
      <c r="N44">
        <v>0.98727500000000001</v>
      </c>
      <c r="O44">
        <v>14</v>
      </c>
      <c r="P44">
        <v>992295839.39999998</v>
      </c>
      <c r="Q44">
        <v>830570</v>
      </c>
      <c r="R44">
        <v>83056</v>
      </c>
      <c r="S44">
        <v>0.97731999999999997</v>
      </c>
      <c r="T44">
        <v>0.94664999999999999</v>
      </c>
      <c r="U44">
        <v>0.98865833333333331</v>
      </c>
      <c r="V44">
        <v>14</v>
      </c>
      <c r="W44">
        <v>995550193.79999995</v>
      </c>
      <c r="X44">
        <v>830580</v>
      </c>
      <c r="Y44">
        <v>83057</v>
      </c>
      <c r="Z44" t="s">
        <v>41</v>
      </c>
      <c r="AB44">
        <f>mnist_cnn_all[[#This Row],[kan_params]]</f>
        <v>830578</v>
      </c>
      <c r="AC44">
        <f>mnist_cnn_all[[#This Row],[kan_train_acc]]</f>
        <v>0.99867499999999998</v>
      </c>
      <c r="AD44">
        <f>mnist_cnn_all[[#This Row],[kan_val_acc]]</f>
        <v>0.98263333333333336</v>
      </c>
      <c r="AE44">
        <f>mnist_cnn_all[[#This Row],[kan_test_acc]]</f>
        <v>0.98960000000000004</v>
      </c>
      <c r="AF44">
        <f>mnist_cnn_all[[#This Row],[mlp_test_acc]]</f>
        <v>0.97575999999999996</v>
      </c>
      <c r="AG44">
        <f>mnist_cnn_all[[#This Row],[mlp_val_acc]]</f>
        <v>0.95020000000000004</v>
      </c>
      <c r="AH44">
        <f>mnist_cnn_all[[#This Row],[mlp_train_acc]]</f>
        <v>0.98727500000000001</v>
      </c>
      <c r="AJ44">
        <f>mnist_cnn_all[[#This Row],[kan_params]]</f>
        <v>830578</v>
      </c>
      <c r="AK44">
        <f>mnist_cnn_all[[#This Row],[kan_steps]]</f>
        <v>14</v>
      </c>
      <c r="AL44">
        <f>mnist_cnn_all[[#This Row],[kan_time_difference]]</f>
        <v>231242217.40000001</v>
      </c>
      <c r="AM44">
        <f>mnist_cnn_all[[#This Row],[mlp_steps]]</f>
        <v>14</v>
      </c>
      <c r="AN44">
        <f>mnist_cnn_all[[#This Row],[time_difference mlp1]]</f>
        <v>992295839.39999998</v>
      </c>
      <c r="AO44">
        <f>mnist_cnn_all[[#This Row],[mlp2_steps]]</f>
        <v>14</v>
      </c>
      <c r="AP44">
        <f>mnist_cnn_all[[#This Row],[mlp 2 time difference]]</f>
        <v>995550193.79999995</v>
      </c>
      <c r="AR44">
        <f>AJ44</f>
        <v>830578</v>
      </c>
      <c r="AS44">
        <f>AL44/AK44</f>
        <v>16517301.242857143</v>
      </c>
      <c r="AT44">
        <f>AN44/AM44</f>
        <v>70878274.242857143</v>
      </c>
      <c r="AU44">
        <f>AP44/AO44</f>
        <v>71110728.128571421</v>
      </c>
    </row>
    <row r="45" spans="1:47" x14ac:dyDescent="0.25">
      <c r="A45" t="s">
        <v>26</v>
      </c>
      <c r="B45">
        <v>5</v>
      </c>
      <c r="C45">
        <v>3</v>
      </c>
      <c r="D45">
        <v>0</v>
      </c>
      <c r="E45" t="s">
        <v>31</v>
      </c>
      <c r="F45">
        <v>830578</v>
      </c>
      <c r="G45">
        <v>203010487.40000001</v>
      </c>
      <c r="H45">
        <v>14</v>
      </c>
      <c r="I45">
        <v>0.99870000000000003</v>
      </c>
      <c r="J45">
        <v>0.98198333333333332</v>
      </c>
      <c r="K45">
        <v>0.99002000000000001</v>
      </c>
      <c r="L45">
        <v>0.97408000000000006</v>
      </c>
      <c r="M45">
        <v>0.95945000000000003</v>
      </c>
      <c r="N45">
        <v>0.98522083333333332</v>
      </c>
      <c r="O45">
        <v>14</v>
      </c>
      <c r="P45">
        <v>978590407.60000002</v>
      </c>
      <c r="Q45">
        <v>830570</v>
      </c>
      <c r="R45">
        <v>83056</v>
      </c>
      <c r="S45">
        <v>0.98052000000000006</v>
      </c>
      <c r="T45">
        <v>0.94950000000000001</v>
      </c>
      <c r="U45">
        <v>0.99134583333333337</v>
      </c>
      <c r="V45">
        <v>14</v>
      </c>
      <c r="W45">
        <v>985430178.79999995</v>
      </c>
      <c r="X45">
        <v>830580</v>
      </c>
      <c r="Y45">
        <v>83057</v>
      </c>
      <c r="Z45" t="s">
        <v>50</v>
      </c>
      <c r="AB45">
        <f>mnist_cnn_all[[#This Row],[kan_params]]</f>
        <v>830578</v>
      </c>
      <c r="AC45">
        <f>mnist_cnn_all[[#This Row],[kan_train_acc]]</f>
        <v>0.99870000000000003</v>
      </c>
      <c r="AD45">
        <f>mnist_cnn_all[[#This Row],[kan_val_acc]]</f>
        <v>0.98198333333333332</v>
      </c>
      <c r="AE45">
        <f>mnist_cnn_all[[#This Row],[kan_test_acc]]</f>
        <v>0.99002000000000001</v>
      </c>
      <c r="AF45">
        <f>mnist_cnn_all[[#This Row],[mlp_test_acc]]</f>
        <v>0.97408000000000006</v>
      </c>
      <c r="AG45">
        <f>mnist_cnn_all[[#This Row],[mlp_val_acc]]</f>
        <v>0.95945000000000003</v>
      </c>
      <c r="AH45">
        <f>mnist_cnn_all[[#This Row],[mlp_train_acc]]</f>
        <v>0.98522083333333332</v>
      </c>
      <c r="AJ45">
        <f>mnist_cnn_all[[#This Row],[kan_params]]</f>
        <v>830578</v>
      </c>
      <c r="AK45">
        <f>mnist_cnn_all[[#This Row],[kan_steps]]</f>
        <v>14</v>
      </c>
      <c r="AL45">
        <f>mnist_cnn_all[[#This Row],[kan_time_difference]]</f>
        <v>203010487.40000001</v>
      </c>
      <c r="AM45">
        <f>mnist_cnn_all[[#This Row],[mlp_steps]]</f>
        <v>14</v>
      </c>
      <c r="AN45">
        <f>mnist_cnn_all[[#This Row],[time_difference mlp1]]</f>
        <v>978590407.60000002</v>
      </c>
      <c r="AO45">
        <f>mnist_cnn_all[[#This Row],[mlp2_steps]]</f>
        <v>14</v>
      </c>
      <c r="AP45">
        <f>mnist_cnn_all[[#This Row],[mlp 2 time difference]]</f>
        <v>985430178.79999995</v>
      </c>
      <c r="AR45">
        <f>AJ45</f>
        <v>830578</v>
      </c>
      <c r="AS45">
        <f>AL45/AK45</f>
        <v>14500749.1</v>
      </c>
      <c r="AT45">
        <f>AN45/AM45</f>
        <v>69899314.828571424</v>
      </c>
      <c r="AU45">
        <f>AP45/AO45</f>
        <v>70387869.914285704</v>
      </c>
    </row>
    <row r="46" spans="1:47" x14ac:dyDescent="0.25">
      <c r="A46" t="s">
        <v>26</v>
      </c>
      <c r="B46">
        <v>5</v>
      </c>
      <c r="C46">
        <v>4</v>
      </c>
      <c r="D46">
        <v>0</v>
      </c>
      <c r="E46" t="s">
        <v>31</v>
      </c>
      <c r="F46">
        <v>906082</v>
      </c>
      <c r="G46">
        <v>222040120.40000001</v>
      </c>
      <c r="H46">
        <v>14</v>
      </c>
      <c r="I46">
        <v>0.99754583333333335</v>
      </c>
      <c r="J46">
        <v>0.98275000000000001</v>
      </c>
      <c r="K46">
        <v>0.98839999999999995</v>
      </c>
      <c r="L46">
        <v>0.97884000000000004</v>
      </c>
      <c r="M46">
        <v>0.95453333333333334</v>
      </c>
      <c r="N46">
        <v>0.98993333333333333</v>
      </c>
      <c r="O46">
        <v>14</v>
      </c>
      <c r="P46">
        <v>1015116519</v>
      </c>
      <c r="Q46">
        <v>906080</v>
      </c>
      <c r="R46">
        <v>90607</v>
      </c>
      <c r="S46">
        <v>0.97865999999999997</v>
      </c>
      <c r="T46">
        <v>0.94064999999999999</v>
      </c>
      <c r="U46">
        <v>0.99060833333333331</v>
      </c>
      <c r="V46">
        <v>14</v>
      </c>
      <c r="W46">
        <v>1014401230.4</v>
      </c>
      <c r="X46">
        <v>906090</v>
      </c>
      <c r="Y46">
        <v>90608</v>
      </c>
      <c r="Z46" t="s">
        <v>54</v>
      </c>
      <c r="AB46">
        <f>mnist_cnn_all[[#This Row],[kan_params]]</f>
        <v>906082</v>
      </c>
      <c r="AC46">
        <f>mnist_cnn_all[[#This Row],[kan_train_acc]]</f>
        <v>0.99754583333333335</v>
      </c>
      <c r="AD46">
        <f>mnist_cnn_all[[#This Row],[kan_val_acc]]</f>
        <v>0.98275000000000001</v>
      </c>
      <c r="AE46">
        <f>mnist_cnn_all[[#This Row],[kan_test_acc]]</f>
        <v>0.98839999999999995</v>
      </c>
      <c r="AF46">
        <f>mnist_cnn_all[[#This Row],[mlp_test_acc]]</f>
        <v>0.97884000000000004</v>
      </c>
      <c r="AG46">
        <f>mnist_cnn_all[[#This Row],[mlp_val_acc]]</f>
        <v>0.95453333333333334</v>
      </c>
      <c r="AH46">
        <f>mnist_cnn_all[[#This Row],[mlp_train_acc]]</f>
        <v>0.98993333333333333</v>
      </c>
      <c r="AJ46">
        <f>mnist_cnn_all[[#This Row],[kan_params]]</f>
        <v>906082</v>
      </c>
      <c r="AK46">
        <f>mnist_cnn_all[[#This Row],[kan_steps]]</f>
        <v>14</v>
      </c>
      <c r="AL46">
        <f>mnist_cnn_all[[#This Row],[kan_time_difference]]</f>
        <v>222040120.40000001</v>
      </c>
      <c r="AM46">
        <f>mnist_cnn_all[[#This Row],[mlp_steps]]</f>
        <v>14</v>
      </c>
      <c r="AN46">
        <f>mnist_cnn_all[[#This Row],[time_difference mlp1]]</f>
        <v>1015116519</v>
      </c>
      <c r="AO46">
        <f>mnist_cnn_all[[#This Row],[mlp2_steps]]</f>
        <v>14</v>
      </c>
      <c r="AP46">
        <f>mnist_cnn_all[[#This Row],[mlp 2 time difference]]</f>
        <v>1014401230.4</v>
      </c>
      <c r="AR46">
        <f>AJ46</f>
        <v>906082</v>
      </c>
      <c r="AS46">
        <f>AL46/AK46</f>
        <v>15860008.6</v>
      </c>
      <c r="AT46">
        <f>AN46/AM46</f>
        <v>72508322.785714284</v>
      </c>
      <c r="AU46">
        <f>AP46/AO46</f>
        <v>72457230.742857143</v>
      </c>
    </row>
    <row r="47" spans="1:47" x14ac:dyDescent="0.25">
      <c r="A47" t="s">
        <v>26</v>
      </c>
      <c r="B47">
        <v>5</v>
      </c>
      <c r="C47">
        <v>5</v>
      </c>
      <c r="D47">
        <v>0</v>
      </c>
      <c r="E47" t="s">
        <v>31</v>
      </c>
      <c r="F47">
        <v>981586</v>
      </c>
      <c r="G47">
        <v>220083363.19999999</v>
      </c>
      <c r="H47">
        <v>14</v>
      </c>
      <c r="I47">
        <v>0.99839999999999995</v>
      </c>
      <c r="J47">
        <v>0.98261666666666669</v>
      </c>
      <c r="K47">
        <v>0.98824000000000001</v>
      </c>
      <c r="L47">
        <v>0.97458</v>
      </c>
      <c r="M47">
        <v>0.95604999999999996</v>
      </c>
      <c r="N47">
        <v>0.98534583333333337</v>
      </c>
      <c r="O47">
        <v>14</v>
      </c>
      <c r="P47">
        <v>1086394640.8</v>
      </c>
      <c r="Q47">
        <v>981580</v>
      </c>
      <c r="R47">
        <v>98157</v>
      </c>
      <c r="S47">
        <v>0.97063999999999995</v>
      </c>
      <c r="T47">
        <v>0.95491666666666664</v>
      </c>
      <c r="U47">
        <v>0.98340416666666663</v>
      </c>
      <c r="V47">
        <v>14</v>
      </c>
      <c r="W47">
        <v>1085206539.8</v>
      </c>
      <c r="X47">
        <v>981590</v>
      </c>
      <c r="Y47">
        <v>98158</v>
      </c>
      <c r="Z47" t="s">
        <v>60</v>
      </c>
      <c r="AB47">
        <f>mnist_cnn_all[[#This Row],[kan_params]]</f>
        <v>981586</v>
      </c>
      <c r="AC47">
        <f>mnist_cnn_all[[#This Row],[kan_train_acc]]</f>
        <v>0.99839999999999995</v>
      </c>
      <c r="AD47">
        <f>mnist_cnn_all[[#This Row],[kan_val_acc]]</f>
        <v>0.98261666666666669</v>
      </c>
      <c r="AE47">
        <f>mnist_cnn_all[[#This Row],[kan_test_acc]]</f>
        <v>0.98824000000000001</v>
      </c>
      <c r="AF47">
        <f>mnist_cnn_all[[#This Row],[mlp_test_acc]]</f>
        <v>0.97458</v>
      </c>
      <c r="AG47">
        <f>mnist_cnn_all[[#This Row],[mlp_val_acc]]</f>
        <v>0.95604999999999996</v>
      </c>
      <c r="AH47">
        <f>mnist_cnn_all[[#This Row],[mlp_train_acc]]</f>
        <v>0.98534583333333337</v>
      </c>
      <c r="AJ47">
        <f>mnist_cnn_all[[#This Row],[kan_params]]</f>
        <v>981586</v>
      </c>
      <c r="AK47">
        <f>mnist_cnn_all[[#This Row],[kan_steps]]</f>
        <v>14</v>
      </c>
      <c r="AL47">
        <f>mnist_cnn_all[[#This Row],[kan_time_difference]]</f>
        <v>220083363.19999999</v>
      </c>
      <c r="AM47">
        <f>mnist_cnn_all[[#This Row],[mlp_steps]]</f>
        <v>14</v>
      </c>
      <c r="AN47">
        <f>mnist_cnn_all[[#This Row],[time_difference mlp1]]</f>
        <v>1086394640.8</v>
      </c>
      <c r="AO47">
        <f>mnist_cnn_all[[#This Row],[mlp2_steps]]</f>
        <v>14</v>
      </c>
      <c r="AP47">
        <f>mnist_cnn_all[[#This Row],[mlp 2 time difference]]</f>
        <v>1085206539.8</v>
      </c>
      <c r="AR47">
        <f>AJ47</f>
        <v>981586</v>
      </c>
      <c r="AS47">
        <f>AL47/AK47</f>
        <v>15720240.228571428</v>
      </c>
      <c r="AT47">
        <f>AN47/AM47</f>
        <v>77599617.200000003</v>
      </c>
      <c r="AU47">
        <f>AP47/AO47</f>
        <v>77514752.842857137</v>
      </c>
    </row>
    <row r="48" spans="1:47" x14ac:dyDescent="0.25">
      <c r="A48" t="s">
        <v>26</v>
      </c>
      <c r="B48">
        <v>9</v>
      </c>
      <c r="C48">
        <v>2</v>
      </c>
      <c r="D48">
        <v>0</v>
      </c>
      <c r="E48" t="s">
        <v>31</v>
      </c>
      <c r="F48">
        <v>1057090</v>
      </c>
      <c r="G48">
        <v>110245985.8</v>
      </c>
      <c r="H48">
        <v>8</v>
      </c>
      <c r="I48">
        <v>0.99829999999999997</v>
      </c>
      <c r="J48">
        <v>0.9798</v>
      </c>
      <c r="K48">
        <v>0.98918000000000006</v>
      </c>
      <c r="L48">
        <v>0.96633999999999998</v>
      </c>
      <c r="M48">
        <v>0.96533333333333338</v>
      </c>
      <c r="N48">
        <v>0.97416666666666663</v>
      </c>
      <c r="O48">
        <v>8</v>
      </c>
      <c r="P48">
        <v>632103353.39999998</v>
      </c>
      <c r="Q48">
        <v>1057080</v>
      </c>
      <c r="R48">
        <v>105707</v>
      </c>
      <c r="S48">
        <v>0.96882000000000001</v>
      </c>
      <c r="T48">
        <v>0.96548333333333336</v>
      </c>
      <c r="U48">
        <v>0.97740833333333332</v>
      </c>
      <c r="V48">
        <v>8</v>
      </c>
      <c r="W48">
        <v>630993554.60000002</v>
      </c>
      <c r="X48">
        <v>1057090</v>
      </c>
      <c r="Y48">
        <v>105708</v>
      </c>
      <c r="Z48" t="s">
        <v>65</v>
      </c>
      <c r="AB48">
        <f>mnist_cnn_all[[#This Row],[kan_params]]</f>
        <v>1057090</v>
      </c>
      <c r="AC48">
        <f>mnist_cnn_all[[#This Row],[kan_train_acc]]</f>
        <v>0.99829999999999997</v>
      </c>
      <c r="AD48">
        <f>mnist_cnn_all[[#This Row],[kan_val_acc]]</f>
        <v>0.9798</v>
      </c>
      <c r="AE48">
        <f>mnist_cnn_all[[#This Row],[kan_test_acc]]</f>
        <v>0.98918000000000006</v>
      </c>
      <c r="AF48">
        <f>mnist_cnn_all[[#This Row],[mlp_test_acc]]</f>
        <v>0.96633999999999998</v>
      </c>
      <c r="AG48">
        <f>mnist_cnn_all[[#This Row],[mlp_val_acc]]</f>
        <v>0.96533333333333338</v>
      </c>
      <c r="AH48">
        <f>mnist_cnn_all[[#This Row],[mlp_train_acc]]</f>
        <v>0.97416666666666663</v>
      </c>
      <c r="AJ48">
        <f>mnist_cnn_all[[#This Row],[kan_params]]</f>
        <v>1057090</v>
      </c>
      <c r="AK48">
        <f>mnist_cnn_all[[#This Row],[kan_steps]]</f>
        <v>8</v>
      </c>
      <c r="AL48">
        <f>mnist_cnn_all[[#This Row],[kan_time_difference]]</f>
        <v>110245985.8</v>
      </c>
      <c r="AM48">
        <f>mnist_cnn_all[[#This Row],[mlp_steps]]</f>
        <v>8</v>
      </c>
      <c r="AN48">
        <f>mnist_cnn_all[[#This Row],[time_difference mlp1]]</f>
        <v>632103353.39999998</v>
      </c>
      <c r="AO48">
        <f>mnist_cnn_all[[#This Row],[mlp2_steps]]</f>
        <v>8</v>
      </c>
      <c r="AP48">
        <f>mnist_cnn_all[[#This Row],[mlp 2 time difference]]</f>
        <v>630993554.60000002</v>
      </c>
      <c r="AR48">
        <f>AJ48</f>
        <v>1057090</v>
      </c>
      <c r="AS48">
        <f>AL48/AK48</f>
        <v>13780748.225</v>
      </c>
      <c r="AT48">
        <f>AN48/AM48</f>
        <v>79012919.174999997</v>
      </c>
      <c r="AU48">
        <f>AP48/AO48</f>
        <v>78874194.325000003</v>
      </c>
    </row>
    <row r="49" spans="1:47" x14ac:dyDescent="0.25">
      <c r="A49" t="s">
        <v>26</v>
      </c>
      <c r="B49">
        <v>9</v>
      </c>
      <c r="C49">
        <v>3</v>
      </c>
      <c r="D49">
        <v>0</v>
      </c>
      <c r="E49" t="s">
        <v>31</v>
      </c>
      <c r="F49">
        <v>1132594</v>
      </c>
      <c r="G49">
        <v>118857139.2</v>
      </c>
      <c r="H49">
        <v>8</v>
      </c>
      <c r="I49">
        <v>0.99770000000000003</v>
      </c>
      <c r="J49">
        <v>0.98283333333333334</v>
      </c>
      <c r="K49">
        <v>0.98817999999999995</v>
      </c>
      <c r="L49">
        <v>0.97033999999999998</v>
      </c>
      <c r="M49">
        <v>0.96856666666666669</v>
      </c>
      <c r="N49">
        <v>0.97690416666666668</v>
      </c>
      <c r="O49">
        <v>8</v>
      </c>
      <c r="P49">
        <v>676827358.79999995</v>
      </c>
      <c r="Q49">
        <v>1132590</v>
      </c>
      <c r="R49">
        <v>113258</v>
      </c>
      <c r="S49">
        <v>0.96448</v>
      </c>
      <c r="T49">
        <v>0.97031666666666672</v>
      </c>
      <c r="U49">
        <v>0.97175833333333339</v>
      </c>
      <c r="V49">
        <v>8</v>
      </c>
      <c r="W49">
        <v>675910497.20000005</v>
      </c>
      <c r="X49">
        <v>1132600</v>
      </c>
      <c r="Y49">
        <v>113259</v>
      </c>
      <c r="Z49" t="s">
        <v>70</v>
      </c>
      <c r="AB49">
        <f>mnist_cnn_all[[#This Row],[kan_params]]</f>
        <v>1132594</v>
      </c>
      <c r="AC49">
        <f>mnist_cnn_all[[#This Row],[kan_train_acc]]</f>
        <v>0.99770000000000003</v>
      </c>
      <c r="AD49">
        <f>mnist_cnn_all[[#This Row],[kan_val_acc]]</f>
        <v>0.98283333333333334</v>
      </c>
      <c r="AE49">
        <f>mnist_cnn_all[[#This Row],[kan_test_acc]]</f>
        <v>0.98817999999999995</v>
      </c>
      <c r="AF49">
        <f>mnist_cnn_all[[#This Row],[mlp_test_acc]]</f>
        <v>0.97033999999999998</v>
      </c>
      <c r="AG49">
        <f>mnist_cnn_all[[#This Row],[mlp_val_acc]]</f>
        <v>0.96856666666666669</v>
      </c>
      <c r="AH49">
        <f>mnist_cnn_all[[#This Row],[mlp_train_acc]]</f>
        <v>0.97690416666666668</v>
      </c>
      <c r="AJ49">
        <f>mnist_cnn_all[[#This Row],[kan_params]]</f>
        <v>1132594</v>
      </c>
      <c r="AK49">
        <f>mnist_cnn_all[[#This Row],[kan_steps]]</f>
        <v>8</v>
      </c>
      <c r="AL49">
        <f>mnist_cnn_all[[#This Row],[kan_time_difference]]</f>
        <v>118857139.2</v>
      </c>
      <c r="AM49">
        <f>mnist_cnn_all[[#This Row],[mlp_steps]]</f>
        <v>8</v>
      </c>
      <c r="AN49">
        <f>mnist_cnn_all[[#This Row],[time_difference mlp1]]</f>
        <v>676827358.79999995</v>
      </c>
      <c r="AO49">
        <f>mnist_cnn_all[[#This Row],[mlp2_steps]]</f>
        <v>8</v>
      </c>
      <c r="AP49">
        <f>mnist_cnn_all[[#This Row],[mlp 2 time difference]]</f>
        <v>675910497.20000005</v>
      </c>
      <c r="AR49">
        <f>AJ49</f>
        <v>1132594</v>
      </c>
      <c r="AS49">
        <f>AL49/AK49</f>
        <v>14857142.4</v>
      </c>
      <c r="AT49">
        <f>AN49/AM49</f>
        <v>84603419.849999994</v>
      </c>
      <c r="AU49">
        <f>AP49/AO49</f>
        <v>84488812.150000006</v>
      </c>
    </row>
    <row r="50" spans="1:47" x14ac:dyDescent="0.25">
      <c r="A50" t="s">
        <v>26</v>
      </c>
      <c r="B50">
        <v>9</v>
      </c>
      <c r="C50">
        <v>4</v>
      </c>
      <c r="D50">
        <v>0</v>
      </c>
      <c r="E50" t="s">
        <v>31</v>
      </c>
      <c r="F50">
        <v>1208098</v>
      </c>
      <c r="G50">
        <v>126370396.59999999</v>
      </c>
      <c r="H50">
        <v>8</v>
      </c>
      <c r="I50">
        <v>0.9986666666666667</v>
      </c>
      <c r="J50">
        <v>0.98175000000000001</v>
      </c>
      <c r="K50">
        <v>0.98983999999999994</v>
      </c>
      <c r="L50">
        <v>0.96006000000000002</v>
      </c>
      <c r="M50">
        <v>0.96791666666666665</v>
      </c>
      <c r="N50">
        <v>0.96780416666666669</v>
      </c>
      <c r="O50">
        <v>8</v>
      </c>
      <c r="P50">
        <v>707753562.60000002</v>
      </c>
      <c r="Q50">
        <v>1208090</v>
      </c>
      <c r="R50">
        <v>120808</v>
      </c>
      <c r="S50">
        <v>0.96797999999999995</v>
      </c>
      <c r="T50">
        <v>0.96461666666666668</v>
      </c>
      <c r="U50">
        <v>0.97526250000000003</v>
      </c>
      <c r="V50">
        <v>8</v>
      </c>
      <c r="W50">
        <v>704794312</v>
      </c>
      <c r="X50">
        <v>1208100</v>
      </c>
      <c r="Y50">
        <v>120809</v>
      </c>
      <c r="Z50" t="s">
        <v>75</v>
      </c>
      <c r="AB50">
        <f>mnist_cnn_all[[#This Row],[kan_params]]</f>
        <v>1208098</v>
      </c>
      <c r="AC50">
        <f>mnist_cnn_all[[#This Row],[kan_train_acc]]</f>
        <v>0.9986666666666667</v>
      </c>
      <c r="AD50">
        <f>mnist_cnn_all[[#This Row],[kan_val_acc]]</f>
        <v>0.98175000000000001</v>
      </c>
      <c r="AE50">
        <f>mnist_cnn_all[[#This Row],[kan_test_acc]]</f>
        <v>0.98983999999999994</v>
      </c>
      <c r="AF50">
        <f>mnist_cnn_all[[#This Row],[mlp_test_acc]]</f>
        <v>0.96006000000000002</v>
      </c>
      <c r="AG50">
        <f>mnist_cnn_all[[#This Row],[mlp_val_acc]]</f>
        <v>0.96791666666666665</v>
      </c>
      <c r="AH50">
        <f>mnist_cnn_all[[#This Row],[mlp_train_acc]]</f>
        <v>0.96780416666666669</v>
      </c>
      <c r="AJ50">
        <f>mnist_cnn_all[[#This Row],[kan_params]]</f>
        <v>1208098</v>
      </c>
      <c r="AK50">
        <f>mnist_cnn_all[[#This Row],[kan_steps]]</f>
        <v>8</v>
      </c>
      <c r="AL50">
        <f>mnist_cnn_all[[#This Row],[kan_time_difference]]</f>
        <v>126370396.59999999</v>
      </c>
      <c r="AM50">
        <f>mnist_cnn_all[[#This Row],[mlp_steps]]</f>
        <v>8</v>
      </c>
      <c r="AN50">
        <f>mnist_cnn_all[[#This Row],[time_difference mlp1]]</f>
        <v>707753562.60000002</v>
      </c>
      <c r="AO50">
        <f>mnist_cnn_all[[#This Row],[mlp2_steps]]</f>
        <v>8</v>
      </c>
      <c r="AP50">
        <f>mnist_cnn_all[[#This Row],[mlp 2 time difference]]</f>
        <v>704794312</v>
      </c>
      <c r="AR50">
        <f>AJ50</f>
        <v>1208098</v>
      </c>
      <c r="AS50">
        <f>AL50/AK50</f>
        <v>15796299.574999999</v>
      </c>
      <c r="AT50">
        <f>AN50/AM50</f>
        <v>88469195.325000003</v>
      </c>
      <c r="AU50">
        <f>AP50/AO50</f>
        <v>88099289</v>
      </c>
    </row>
    <row r="51" spans="1:47" x14ac:dyDescent="0.25">
      <c r="A51" t="s">
        <v>26</v>
      </c>
      <c r="B51">
        <v>9</v>
      </c>
      <c r="C51">
        <v>5</v>
      </c>
      <c r="D51">
        <v>0</v>
      </c>
      <c r="E51" t="s">
        <v>31</v>
      </c>
      <c r="F51">
        <v>1283602</v>
      </c>
      <c r="G51">
        <v>139298233</v>
      </c>
      <c r="H51">
        <v>8</v>
      </c>
      <c r="I51">
        <v>0.99886458333333328</v>
      </c>
      <c r="J51">
        <v>0.97991666666666666</v>
      </c>
      <c r="K51">
        <v>0.98944999999999994</v>
      </c>
      <c r="L51">
        <v>0.96155000000000002</v>
      </c>
      <c r="M51">
        <v>0.97137499999999999</v>
      </c>
      <c r="N51">
        <v>0.96658333333333335</v>
      </c>
      <c r="O51">
        <v>8</v>
      </c>
      <c r="P51">
        <v>744948091.75</v>
      </c>
      <c r="Q51">
        <v>1283600</v>
      </c>
      <c r="R51">
        <v>128359</v>
      </c>
      <c r="S51">
        <v>0.96899999999999997</v>
      </c>
      <c r="T51">
        <v>0.9639375</v>
      </c>
      <c r="U51">
        <v>0.97778125000000005</v>
      </c>
      <c r="V51">
        <v>8</v>
      </c>
      <c r="W51">
        <v>744029826</v>
      </c>
      <c r="X51">
        <v>1283610</v>
      </c>
      <c r="Y51">
        <v>128360</v>
      </c>
      <c r="Z51" t="s">
        <v>80</v>
      </c>
      <c r="AB51">
        <f>mnist_cnn_all[[#This Row],[kan_params]]</f>
        <v>1283602</v>
      </c>
      <c r="AC51">
        <f>mnist_cnn_all[[#This Row],[kan_train_acc]]</f>
        <v>0.99886458333333328</v>
      </c>
      <c r="AD51">
        <f>mnist_cnn_all[[#This Row],[kan_val_acc]]</f>
        <v>0.97991666666666666</v>
      </c>
      <c r="AE51">
        <f>mnist_cnn_all[[#This Row],[kan_test_acc]]</f>
        <v>0.98944999999999994</v>
      </c>
      <c r="AF51">
        <f>mnist_cnn_all[[#This Row],[mlp_test_acc]]</f>
        <v>0.96155000000000002</v>
      </c>
      <c r="AG51">
        <f>mnist_cnn_all[[#This Row],[mlp_val_acc]]</f>
        <v>0.97137499999999999</v>
      </c>
      <c r="AH51">
        <f>mnist_cnn_all[[#This Row],[mlp_train_acc]]</f>
        <v>0.96658333333333335</v>
      </c>
      <c r="AJ51">
        <f>mnist_cnn_all[[#This Row],[kan_params]]</f>
        <v>1283602</v>
      </c>
      <c r="AK51">
        <f>mnist_cnn_all[[#This Row],[kan_steps]]</f>
        <v>8</v>
      </c>
      <c r="AL51">
        <f>mnist_cnn_all[[#This Row],[kan_time_difference]]</f>
        <v>139298233</v>
      </c>
      <c r="AM51">
        <f>mnist_cnn_all[[#This Row],[mlp_steps]]</f>
        <v>8</v>
      </c>
      <c r="AN51">
        <f>mnist_cnn_all[[#This Row],[time_difference mlp1]]</f>
        <v>744948091.75</v>
      </c>
      <c r="AO51">
        <f>mnist_cnn_all[[#This Row],[mlp2_steps]]</f>
        <v>8</v>
      </c>
      <c r="AP51">
        <f>mnist_cnn_all[[#This Row],[mlp 2 time difference]]</f>
        <v>744029826</v>
      </c>
      <c r="AR51">
        <f>AJ51</f>
        <v>1283602</v>
      </c>
      <c r="AS51">
        <f>AL51/AK51</f>
        <v>17412279.125</v>
      </c>
      <c r="AT51">
        <f>AN51/AM51</f>
        <v>93118511.46875</v>
      </c>
      <c r="AU51">
        <f>AP51/AO51</f>
        <v>93003728.25</v>
      </c>
    </row>
  </sheetData>
  <sortState xmlns:xlrd2="http://schemas.microsoft.com/office/spreadsheetml/2017/richdata2" ref="AR2:AU51">
    <sortCondition ref="AR2:AR51"/>
  </sortState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6E9AFD5-36CF-46C6-810A-9E0F1B37E71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mnist cnn 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Marta Chadała</dc:creator>
  <cp:lastModifiedBy>Marta Chadała</cp:lastModifiedBy>
  <dcterms:created xsi:type="dcterms:W3CDTF">2025-07-10T05:42:14Z</dcterms:created>
  <dcterms:modified xsi:type="dcterms:W3CDTF">2025-09-02T15:48:25Z</dcterms:modified>
</cp:coreProperties>
</file>
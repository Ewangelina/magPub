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 D\Desktop\"/>
    </mc:Choice>
  </mc:AlternateContent>
  <xr:revisionPtr revIDLastSave="0" documentId="13_ncr:1_{AE63CB7E-4ACB-4828-A1F9-92C67DFECF53}" xr6:coauthVersionLast="47" xr6:coauthVersionMax="47" xr10:uidLastSave="{00000000-0000-0000-0000-000000000000}"/>
  <bookViews>
    <workbookView xWindow="0" yWindow="225" windowWidth="29040" windowHeight="15990" firstSheet="1" activeTab="1" xr2:uid="{7DD8A87A-6049-480E-BA2F-642910F98060}"/>
  </bookViews>
  <sheets>
    <sheet name="27_text_logs_full_output max" sheetId="9" r:id="rId1"/>
    <sheet name="Cancer" sheetId="15" r:id="rId2"/>
    <sheet name="Iris" sheetId="16" r:id="rId3"/>
    <sheet name="Wine" sheetId="17" r:id="rId4"/>
  </sheets>
  <definedNames>
    <definedName name="ExternalData_1" localSheetId="0" hidden="1">'27_text_logs_full_output max'!$A$1:$AC$530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4" i="17" l="1"/>
  <c r="AH3" i="17"/>
  <c r="AF3" i="17"/>
  <c r="AG3" i="17"/>
  <c r="AI3" i="17"/>
  <c r="AF4" i="17"/>
  <c r="AG4" i="17"/>
  <c r="AI4" i="17"/>
  <c r="AF5" i="17"/>
  <c r="AG5" i="17"/>
  <c r="AH5" i="17"/>
  <c r="AI5" i="17"/>
  <c r="AF6" i="17"/>
  <c r="AG6" i="17"/>
  <c r="AH6" i="17"/>
  <c r="AI6" i="17"/>
  <c r="AF7" i="17"/>
  <c r="AG7" i="17"/>
  <c r="AH7" i="17"/>
  <c r="AI7" i="17"/>
  <c r="AF8" i="17"/>
  <c r="AG8" i="17"/>
  <c r="AH8" i="17"/>
  <c r="AI8" i="17"/>
  <c r="AF9" i="17"/>
  <c r="AG9" i="17"/>
  <c r="AH9" i="17"/>
  <c r="AI9" i="17"/>
  <c r="AF10" i="17"/>
  <c r="AG10" i="17"/>
  <c r="AH10" i="17"/>
  <c r="AI10" i="17"/>
  <c r="AF11" i="17"/>
  <c r="AG11" i="17"/>
  <c r="AH11" i="17"/>
  <c r="AI11" i="17"/>
  <c r="AF12" i="17"/>
  <c r="AG12" i="17"/>
  <c r="AH12" i="17"/>
  <c r="AI12" i="17"/>
  <c r="AF13" i="17"/>
  <c r="AG13" i="17"/>
  <c r="AH13" i="17"/>
  <c r="AI13" i="17"/>
  <c r="AF14" i="17"/>
  <c r="AG14" i="17"/>
  <c r="AH14" i="17"/>
  <c r="AI14" i="17"/>
  <c r="AF15" i="17"/>
  <c r="AG15" i="17"/>
  <c r="AH15" i="17"/>
  <c r="AI15" i="17"/>
  <c r="AF16" i="17"/>
  <c r="AG16" i="17"/>
  <c r="AH16" i="17"/>
  <c r="AI16" i="17"/>
  <c r="AF17" i="17"/>
  <c r="AG17" i="17"/>
  <c r="AH17" i="17"/>
  <c r="AI17" i="17"/>
  <c r="AF18" i="17"/>
  <c r="AG18" i="17"/>
  <c r="AH18" i="17"/>
  <c r="AI18" i="17"/>
  <c r="AF19" i="17"/>
  <c r="AG19" i="17"/>
  <c r="AH19" i="17"/>
  <c r="AI19" i="17"/>
  <c r="AF20" i="17"/>
  <c r="AG20" i="17"/>
  <c r="AH20" i="17"/>
  <c r="AI20" i="17"/>
  <c r="AF21" i="17"/>
  <c r="AG21" i="17"/>
  <c r="AH21" i="17"/>
  <c r="AI21" i="17"/>
  <c r="AF22" i="17"/>
  <c r="AG22" i="17"/>
  <c r="AH22" i="17"/>
  <c r="AI22" i="17"/>
  <c r="AF23" i="17"/>
  <c r="AG23" i="17"/>
  <c r="AH23" i="17"/>
  <c r="AI23" i="17"/>
  <c r="AF24" i="17"/>
  <c r="AG24" i="17"/>
  <c r="AH24" i="17"/>
  <c r="AI24" i="17"/>
  <c r="AF25" i="17"/>
  <c r="AG25" i="17"/>
  <c r="AH25" i="17"/>
  <c r="AI25" i="17"/>
  <c r="AF26" i="17"/>
  <c r="AG26" i="17"/>
  <c r="AH26" i="17"/>
  <c r="AI26" i="17"/>
  <c r="AF27" i="17"/>
  <c r="AG27" i="17"/>
  <c r="AH27" i="17"/>
  <c r="AI27" i="17"/>
  <c r="AF28" i="17"/>
  <c r="AG28" i="17"/>
  <c r="AH28" i="17"/>
  <c r="AI28" i="17"/>
  <c r="AF29" i="17"/>
  <c r="AG29" i="17"/>
  <c r="AH29" i="17"/>
  <c r="AI29" i="17"/>
  <c r="AF30" i="17"/>
  <c r="AG30" i="17"/>
  <c r="AH30" i="17"/>
  <c r="AI30" i="17"/>
  <c r="AF31" i="17"/>
  <c r="AG31" i="17"/>
  <c r="AH31" i="17"/>
  <c r="AI31" i="17"/>
  <c r="AF32" i="17"/>
  <c r="AG32" i="17"/>
  <c r="AH32" i="17"/>
  <c r="AI32" i="17"/>
  <c r="AF33" i="17"/>
  <c r="AG33" i="17"/>
  <c r="AH33" i="17"/>
  <c r="AI33" i="17"/>
  <c r="AF34" i="17"/>
  <c r="AG34" i="17"/>
  <c r="AH34" i="17"/>
  <c r="AI34" i="17"/>
  <c r="AF35" i="17"/>
  <c r="AG35" i="17"/>
  <c r="AH35" i="17"/>
  <c r="AI35" i="17"/>
  <c r="AF36" i="17"/>
  <c r="AG36" i="17"/>
  <c r="AH36" i="17"/>
  <c r="AI36" i="17"/>
  <c r="AF37" i="17"/>
  <c r="AG37" i="17"/>
  <c r="AH37" i="17"/>
  <c r="AI37" i="17"/>
  <c r="AF38" i="17"/>
  <c r="AG38" i="17"/>
  <c r="AH38" i="17"/>
  <c r="AI38" i="17"/>
  <c r="AF39" i="17"/>
  <c r="AG39" i="17"/>
  <c r="AH39" i="17"/>
  <c r="AI39" i="17"/>
  <c r="AF40" i="17"/>
  <c r="AG40" i="17"/>
  <c r="AH40" i="17"/>
  <c r="AI40" i="17"/>
  <c r="AF41" i="17"/>
  <c r="AG41" i="17"/>
  <c r="AH41" i="17"/>
  <c r="AI41" i="17"/>
  <c r="AF42" i="17"/>
  <c r="AG42" i="17"/>
  <c r="AH42" i="17"/>
  <c r="AI42" i="17"/>
  <c r="AF43" i="17"/>
  <c r="AG43" i="17"/>
  <c r="AH43" i="17"/>
  <c r="AI43" i="17"/>
  <c r="AF44" i="17"/>
  <c r="AG44" i="17"/>
  <c r="AH44" i="17"/>
  <c r="AI44" i="17"/>
  <c r="AF45" i="17"/>
  <c r="AG45" i="17"/>
  <c r="AH45" i="17"/>
  <c r="AI45" i="17"/>
  <c r="AF46" i="17"/>
  <c r="AG46" i="17"/>
  <c r="AH46" i="17"/>
  <c r="AI46" i="17"/>
  <c r="AF47" i="17"/>
  <c r="AG47" i="17"/>
  <c r="AH47" i="17"/>
  <c r="AI47" i="17"/>
  <c r="AF48" i="17"/>
  <c r="AG48" i="17"/>
  <c r="AH48" i="17"/>
  <c r="AI48" i="17"/>
  <c r="AF49" i="17"/>
  <c r="AG49" i="17"/>
  <c r="AH49" i="17"/>
  <c r="AI49" i="17"/>
  <c r="AF50" i="17"/>
  <c r="AG50" i="17"/>
  <c r="AH50" i="17"/>
  <c r="AI50" i="17"/>
  <c r="AF51" i="17"/>
  <c r="AG51" i="17"/>
  <c r="AH51" i="17"/>
  <c r="AI51" i="17"/>
  <c r="AF52" i="17"/>
  <c r="AG52" i="17"/>
  <c r="AH52" i="17"/>
  <c r="AI52" i="17"/>
  <c r="AF53" i="17"/>
  <c r="AG53" i="17"/>
  <c r="AH53" i="17"/>
  <c r="AI53" i="17"/>
  <c r="AF54" i="17"/>
  <c r="AG54" i="17"/>
  <c r="AH54" i="17"/>
  <c r="AI54" i="17"/>
  <c r="AF55" i="17"/>
  <c r="AG55" i="17"/>
  <c r="AH55" i="17"/>
  <c r="AI55" i="17"/>
  <c r="AF56" i="17"/>
  <c r="AG56" i="17"/>
  <c r="AH56" i="17"/>
  <c r="AI56" i="17"/>
  <c r="AF57" i="17"/>
  <c r="AG57" i="17"/>
  <c r="AH57" i="17"/>
  <c r="AI57" i="17"/>
  <c r="AF58" i="17"/>
  <c r="AG58" i="17"/>
  <c r="AH58" i="17"/>
  <c r="AI58" i="17"/>
  <c r="AF59" i="17"/>
  <c r="AG59" i="17"/>
  <c r="AH59" i="17"/>
  <c r="AI59" i="17"/>
  <c r="AF60" i="17"/>
  <c r="AG60" i="17"/>
  <c r="AH60" i="17"/>
  <c r="AI60" i="17"/>
  <c r="AF61" i="17"/>
  <c r="AG61" i="17"/>
  <c r="AH61" i="17"/>
  <c r="AI61" i="17"/>
  <c r="AF62" i="17"/>
  <c r="AG62" i="17"/>
  <c r="AH62" i="17"/>
  <c r="AI62" i="17"/>
  <c r="AF63" i="17"/>
  <c r="AG63" i="17"/>
  <c r="AH63" i="17"/>
  <c r="AI63" i="17"/>
  <c r="AF64" i="17"/>
  <c r="AG64" i="17"/>
  <c r="AH64" i="17"/>
  <c r="AI64" i="17"/>
  <c r="AF65" i="17"/>
  <c r="AG65" i="17"/>
  <c r="AH65" i="17"/>
  <c r="AI65" i="17"/>
  <c r="AF66" i="17"/>
  <c r="AG66" i="17"/>
  <c r="AH66" i="17"/>
  <c r="AI66" i="17"/>
  <c r="AF67" i="17"/>
  <c r="AG67" i="17"/>
  <c r="AH67" i="17"/>
  <c r="AI67" i="17"/>
  <c r="AF68" i="17"/>
  <c r="AG68" i="17"/>
  <c r="AH68" i="17"/>
  <c r="AI68" i="17"/>
  <c r="AF69" i="17"/>
  <c r="AG69" i="17"/>
  <c r="AH69" i="17"/>
  <c r="AI69" i="17"/>
  <c r="AF70" i="17"/>
  <c r="AG70" i="17"/>
  <c r="AH70" i="17"/>
  <c r="AI70" i="17"/>
  <c r="AF71" i="17"/>
  <c r="AG71" i="17"/>
  <c r="AH71" i="17"/>
  <c r="AI71" i="17"/>
  <c r="AF72" i="17"/>
  <c r="AG72" i="17"/>
  <c r="AH72" i="17"/>
  <c r="AI72" i="17"/>
  <c r="AF73" i="17"/>
  <c r="AG73" i="17"/>
  <c r="AH73" i="17"/>
  <c r="AI73" i="17"/>
  <c r="AF74" i="17"/>
  <c r="AG74" i="17"/>
  <c r="AH74" i="17"/>
  <c r="AI74" i="17"/>
  <c r="AF75" i="17"/>
  <c r="AG75" i="17"/>
  <c r="AH75" i="17"/>
  <c r="AI75" i="17"/>
  <c r="AF76" i="17"/>
  <c r="AG76" i="17"/>
  <c r="AH76" i="17"/>
  <c r="AI76" i="17"/>
  <c r="AF77" i="17"/>
  <c r="AG77" i="17"/>
  <c r="AH77" i="17"/>
  <c r="AI77" i="17"/>
  <c r="AF78" i="17"/>
  <c r="AG78" i="17"/>
  <c r="AH78" i="17"/>
  <c r="AI78" i="17"/>
  <c r="AF79" i="17"/>
  <c r="AG79" i="17"/>
  <c r="AH79" i="17"/>
  <c r="AI79" i="17"/>
  <c r="AF80" i="17"/>
  <c r="AG80" i="17"/>
  <c r="AH80" i="17"/>
  <c r="AI80" i="17"/>
  <c r="AF81" i="17"/>
  <c r="AG81" i="17"/>
  <c r="AH81" i="17"/>
  <c r="AI81" i="17"/>
  <c r="AF82" i="17"/>
  <c r="AG82" i="17"/>
  <c r="AH82" i="17"/>
  <c r="AI82" i="17"/>
  <c r="AF83" i="17"/>
  <c r="AG83" i="17"/>
  <c r="AH83" i="17"/>
  <c r="AI83" i="17"/>
  <c r="AF84" i="17"/>
  <c r="AG84" i="17"/>
  <c r="AH84" i="17"/>
  <c r="AI84" i="17"/>
  <c r="AF85" i="17"/>
  <c r="AG85" i="17"/>
  <c r="AH85" i="17"/>
  <c r="AI85" i="17"/>
  <c r="AF86" i="17"/>
  <c r="AG86" i="17"/>
  <c r="AH86" i="17"/>
  <c r="AI86" i="17"/>
  <c r="AF87" i="17"/>
  <c r="AG87" i="17"/>
  <c r="AH87" i="17"/>
  <c r="AI87" i="17"/>
  <c r="AF88" i="17"/>
  <c r="AG88" i="17"/>
  <c r="AH88" i="17"/>
  <c r="AI88" i="17"/>
  <c r="AF89" i="17"/>
  <c r="AG89" i="17"/>
  <c r="AH89" i="17"/>
  <c r="AI89" i="17"/>
  <c r="AF90" i="17"/>
  <c r="AG90" i="17"/>
  <c r="AH90" i="17"/>
  <c r="AI90" i="17"/>
  <c r="AF91" i="17"/>
  <c r="AG91" i="17"/>
  <c r="AH91" i="17"/>
  <c r="AI91" i="17"/>
  <c r="AF92" i="17"/>
  <c r="AG92" i="17"/>
  <c r="AH92" i="17"/>
  <c r="AI92" i="17"/>
  <c r="AF93" i="17"/>
  <c r="AG93" i="17"/>
  <c r="AH93" i="17"/>
  <c r="AI93" i="17"/>
  <c r="AF94" i="17"/>
  <c r="AG94" i="17"/>
  <c r="AH94" i="17"/>
  <c r="AI94" i="17"/>
  <c r="AF95" i="17"/>
  <c r="AG95" i="17"/>
  <c r="AH95" i="17"/>
  <c r="AI95" i="17"/>
  <c r="AF96" i="17"/>
  <c r="AG96" i="17"/>
  <c r="AH96" i="17"/>
  <c r="AI96" i="17"/>
  <c r="AF97" i="17"/>
  <c r="AG97" i="17"/>
  <c r="AH97" i="17"/>
  <c r="AI97" i="17"/>
  <c r="AF98" i="17"/>
  <c r="AG98" i="17"/>
  <c r="AH98" i="17"/>
  <c r="AI98" i="17"/>
  <c r="AF99" i="17"/>
  <c r="AG99" i="17"/>
  <c r="AH99" i="17"/>
  <c r="AI99" i="17"/>
  <c r="AF100" i="17"/>
  <c r="AG100" i="17"/>
  <c r="AH100" i="17"/>
  <c r="AI100" i="17"/>
  <c r="AF101" i="17"/>
  <c r="AG101" i="17"/>
  <c r="AH101" i="17"/>
  <c r="AI101" i="17"/>
  <c r="AF102" i="17"/>
  <c r="AG102" i="17"/>
  <c r="AH102" i="17"/>
  <c r="AI102" i="17"/>
  <c r="AF103" i="17"/>
  <c r="AG103" i="17"/>
  <c r="AH103" i="17"/>
  <c r="AI103" i="17"/>
  <c r="AF104" i="17"/>
  <c r="AG104" i="17"/>
  <c r="AH104" i="17"/>
  <c r="AI104" i="17"/>
  <c r="AF105" i="17"/>
  <c r="AG105" i="17"/>
  <c r="AH105" i="17"/>
  <c r="AI105" i="17"/>
  <c r="AF106" i="17"/>
  <c r="AG106" i="17"/>
  <c r="AH106" i="17"/>
  <c r="AI106" i="17"/>
  <c r="AF107" i="17"/>
  <c r="AG107" i="17"/>
  <c r="AH107" i="17"/>
  <c r="AI107" i="17"/>
  <c r="AF108" i="17"/>
  <c r="AG108" i="17"/>
  <c r="AH108" i="17"/>
  <c r="AI108" i="17"/>
  <c r="AF109" i="17"/>
  <c r="AG109" i="17"/>
  <c r="AH109" i="17"/>
  <c r="AI109" i="17"/>
  <c r="AF110" i="17"/>
  <c r="AG110" i="17"/>
  <c r="AH110" i="17"/>
  <c r="AI110" i="17"/>
  <c r="AF111" i="17"/>
  <c r="AG111" i="17"/>
  <c r="AH111" i="17"/>
  <c r="AI111" i="17"/>
  <c r="AF112" i="17"/>
  <c r="AG112" i="17"/>
  <c r="AH112" i="17"/>
  <c r="AI112" i="17"/>
  <c r="AF113" i="17"/>
  <c r="AG113" i="17"/>
  <c r="AH113" i="17"/>
  <c r="AI113" i="17"/>
  <c r="AF114" i="17"/>
  <c r="AG114" i="17"/>
  <c r="AH114" i="17"/>
  <c r="AI114" i="17"/>
  <c r="AF115" i="17"/>
  <c r="AG115" i="17"/>
  <c r="AH115" i="17"/>
  <c r="AI115" i="17"/>
  <c r="AF116" i="17"/>
  <c r="AG116" i="17"/>
  <c r="AH116" i="17"/>
  <c r="AI116" i="17"/>
  <c r="AF117" i="17"/>
  <c r="AG117" i="17"/>
  <c r="AH117" i="17"/>
  <c r="AI117" i="17"/>
  <c r="AF118" i="17"/>
  <c r="AG118" i="17"/>
  <c r="AH118" i="17"/>
  <c r="AI118" i="17"/>
  <c r="AF119" i="17"/>
  <c r="AG119" i="17"/>
  <c r="AH119" i="17"/>
  <c r="AI119" i="17"/>
  <c r="AF120" i="17"/>
  <c r="AG120" i="17"/>
  <c r="AH120" i="17"/>
  <c r="AI120" i="17"/>
  <c r="AF121" i="17"/>
  <c r="AG121" i="17"/>
  <c r="AH121" i="17"/>
  <c r="AI121" i="17"/>
  <c r="AF122" i="17"/>
  <c r="AG122" i="17"/>
  <c r="AH122" i="17"/>
  <c r="AI122" i="17"/>
  <c r="AF123" i="17"/>
  <c r="AG123" i="17"/>
  <c r="AH123" i="17"/>
  <c r="AI123" i="17"/>
  <c r="AF124" i="17"/>
  <c r="AG124" i="17"/>
  <c r="AH124" i="17"/>
  <c r="AI124" i="17"/>
  <c r="AF125" i="17"/>
  <c r="AG125" i="17"/>
  <c r="AH125" i="17"/>
  <c r="AI125" i="17"/>
  <c r="AF126" i="17"/>
  <c r="AG126" i="17"/>
  <c r="AH126" i="17"/>
  <c r="AI126" i="17"/>
  <c r="AF127" i="17"/>
  <c r="AG127" i="17"/>
  <c r="AH127" i="17"/>
  <c r="AI127" i="17"/>
  <c r="AF128" i="17"/>
  <c r="AG128" i="17"/>
  <c r="AH128" i="17"/>
  <c r="AI128" i="17"/>
  <c r="AF129" i="17"/>
  <c r="AG129" i="17"/>
  <c r="AH129" i="17"/>
  <c r="AI129" i="17"/>
  <c r="AF130" i="17"/>
  <c r="AG130" i="17"/>
  <c r="AH130" i="17"/>
  <c r="AI130" i="17"/>
  <c r="AF131" i="17"/>
  <c r="AG131" i="17"/>
  <c r="AH131" i="17"/>
  <c r="AI131" i="17"/>
  <c r="AF132" i="17"/>
  <c r="AG132" i="17"/>
  <c r="AH132" i="17"/>
  <c r="AI132" i="17"/>
  <c r="AF133" i="17"/>
  <c r="AG133" i="17"/>
  <c r="AH133" i="17"/>
  <c r="AI133" i="17"/>
  <c r="AF134" i="17"/>
  <c r="AG134" i="17"/>
  <c r="AH134" i="17"/>
  <c r="AI134" i="17"/>
  <c r="AF135" i="17"/>
  <c r="AG135" i="17"/>
  <c r="AH135" i="17"/>
  <c r="AI135" i="17"/>
  <c r="AF136" i="17"/>
  <c r="AG136" i="17"/>
  <c r="AH136" i="17"/>
  <c r="AI136" i="17"/>
  <c r="AF137" i="17"/>
  <c r="AG137" i="17"/>
  <c r="AH137" i="17"/>
  <c r="AI137" i="17"/>
  <c r="AF138" i="17"/>
  <c r="AG138" i="17"/>
  <c r="AH138" i="17"/>
  <c r="AI138" i="17"/>
  <c r="AF139" i="17"/>
  <c r="AG139" i="17"/>
  <c r="AH139" i="17"/>
  <c r="AI139" i="17"/>
  <c r="AF140" i="17"/>
  <c r="AG140" i="17"/>
  <c r="AH140" i="17"/>
  <c r="AI140" i="17"/>
  <c r="AF141" i="17"/>
  <c r="AG141" i="17"/>
  <c r="AH141" i="17"/>
  <c r="AI141" i="17"/>
  <c r="AF142" i="17"/>
  <c r="AG142" i="17"/>
  <c r="AH142" i="17"/>
  <c r="AI142" i="17"/>
  <c r="AF143" i="17"/>
  <c r="AG143" i="17"/>
  <c r="AH143" i="17"/>
  <c r="AI143" i="17"/>
  <c r="AF144" i="17"/>
  <c r="AG144" i="17"/>
  <c r="AH144" i="17"/>
  <c r="AI144" i="17"/>
  <c r="AF145" i="17"/>
  <c r="AG145" i="17"/>
  <c r="AH145" i="17"/>
  <c r="AI145" i="17"/>
  <c r="AF146" i="17"/>
  <c r="AG146" i="17"/>
  <c r="AH146" i="17"/>
  <c r="AI146" i="17"/>
  <c r="AF147" i="17"/>
  <c r="AG147" i="17"/>
  <c r="AH147" i="17"/>
  <c r="AI147" i="17"/>
  <c r="AF148" i="17"/>
  <c r="AG148" i="17"/>
  <c r="AH148" i="17"/>
  <c r="AI148" i="17"/>
  <c r="AF149" i="17"/>
  <c r="AG149" i="17"/>
  <c r="AH149" i="17"/>
  <c r="AI149" i="17"/>
  <c r="AF150" i="17"/>
  <c r="AG150" i="17"/>
  <c r="AH150" i="17"/>
  <c r="AI150" i="17"/>
  <c r="AF151" i="17"/>
  <c r="AG151" i="17"/>
  <c r="AH151" i="17"/>
  <c r="AI151" i="17"/>
  <c r="AF152" i="17"/>
  <c r="AG152" i="17"/>
  <c r="AH152" i="17"/>
  <c r="AI152" i="17"/>
  <c r="AF153" i="17"/>
  <c r="AG153" i="17"/>
  <c r="AH153" i="17"/>
  <c r="AI153" i="17"/>
  <c r="AF154" i="17"/>
  <c r="AG154" i="17"/>
  <c r="AH154" i="17"/>
  <c r="AI154" i="17"/>
  <c r="AF155" i="17"/>
  <c r="AG155" i="17"/>
  <c r="AH155" i="17"/>
  <c r="AI155" i="17"/>
  <c r="AF156" i="17"/>
  <c r="AG156" i="17"/>
  <c r="AH156" i="17"/>
  <c r="AI156" i="17"/>
  <c r="AF157" i="17"/>
  <c r="AG157" i="17"/>
  <c r="AH157" i="17"/>
  <c r="AI157" i="17"/>
  <c r="AF158" i="17"/>
  <c r="AG158" i="17"/>
  <c r="AH158" i="17"/>
  <c r="AI158" i="17"/>
  <c r="AF159" i="17"/>
  <c r="AG159" i="17"/>
  <c r="AH159" i="17"/>
  <c r="AI159" i="17"/>
  <c r="AF160" i="17"/>
  <c r="AG160" i="17"/>
  <c r="AH160" i="17"/>
  <c r="AI160" i="17"/>
  <c r="AF161" i="17"/>
  <c r="AG161" i="17"/>
  <c r="AH161" i="17"/>
  <c r="AI161" i="17"/>
  <c r="AF162" i="17"/>
  <c r="AG162" i="17"/>
  <c r="AH162" i="17"/>
  <c r="AI162" i="17"/>
  <c r="AF163" i="17"/>
  <c r="AG163" i="17"/>
  <c r="AH163" i="17"/>
  <c r="AI163" i="17"/>
  <c r="AF164" i="17"/>
  <c r="AG164" i="17"/>
  <c r="AH164" i="17"/>
  <c r="AI164" i="17"/>
  <c r="AF165" i="17"/>
  <c r="AG165" i="17"/>
  <c r="AH165" i="17"/>
  <c r="AI165" i="17"/>
  <c r="AF166" i="17"/>
  <c r="AG166" i="17"/>
  <c r="AH166" i="17"/>
  <c r="AI166" i="17"/>
  <c r="AF167" i="17"/>
  <c r="AG167" i="17"/>
  <c r="AH167" i="17"/>
  <c r="AI167" i="17"/>
  <c r="AF168" i="17"/>
  <c r="AG168" i="17"/>
  <c r="AH168" i="17"/>
  <c r="AI168" i="17"/>
  <c r="AF169" i="17"/>
  <c r="AG169" i="17"/>
  <c r="AH169" i="17"/>
  <c r="AI169" i="17"/>
  <c r="AF170" i="17"/>
  <c r="AG170" i="17"/>
  <c r="AH170" i="17"/>
  <c r="AI170" i="17"/>
  <c r="AF171" i="17"/>
  <c r="AG171" i="17"/>
  <c r="AH171" i="17"/>
  <c r="AI171" i="17"/>
  <c r="AF172" i="17"/>
  <c r="AG172" i="17"/>
  <c r="AH172" i="17"/>
  <c r="AI172" i="17"/>
  <c r="AF173" i="17"/>
  <c r="AG173" i="17"/>
  <c r="AH173" i="17"/>
  <c r="AI173" i="17"/>
  <c r="AF174" i="17"/>
  <c r="AG174" i="17"/>
  <c r="AH174" i="17"/>
  <c r="AI174" i="17"/>
  <c r="AF175" i="17"/>
  <c r="AG175" i="17"/>
  <c r="AH175" i="17"/>
  <c r="AI175" i="17"/>
  <c r="AF176" i="17"/>
  <c r="AG176" i="17"/>
  <c r="AH176" i="17"/>
  <c r="AI176" i="17"/>
  <c r="AF177" i="17"/>
  <c r="AG177" i="17"/>
  <c r="AH177" i="17"/>
  <c r="AI177" i="17"/>
  <c r="AF178" i="17"/>
  <c r="AG178" i="17"/>
  <c r="AH178" i="17"/>
  <c r="AI178" i="17"/>
  <c r="AF179" i="17"/>
  <c r="AG179" i="17"/>
  <c r="AH179" i="17"/>
  <c r="AI179" i="17"/>
  <c r="AF180" i="17"/>
  <c r="AG180" i="17"/>
  <c r="AH180" i="17"/>
  <c r="AI180" i="17"/>
  <c r="AF181" i="17"/>
  <c r="AG181" i="17"/>
  <c r="AH181" i="17"/>
  <c r="AI181" i="17"/>
  <c r="AF182" i="17"/>
  <c r="AG182" i="17"/>
  <c r="AH182" i="17"/>
  <c r="AI182" i="17"/>
  <c r="AF183" i="17"/>
  <c r="AG183" i="17"/>
  <c r="AH183" i="17"/>
  <c r="AI183" i="17"/>
  <c r="AF184" i="17"/>
  <c r="AG184" i="17"/>
  <c r="AH184" i="17"/>
  <c r="AI184" i="17"/>
  <c r="AF185" i="17"/>
  <c r="AG185" i="17"/>
  <c r="AH185" i="17"/>
  <c r="AI185" i="17"/>
  <c r="AF186" i="17"/>
  <c r="AG186" i="17"/>
  <c r="AH186" i="17"/>
  <c r="AI186" i="17"/>
  <c r="AF187" i="17"/>
  <c r="AG187" i="17"/>
  <c r="AH187" i="17"/>
  <c r="AI187" i="17"/>
  <c r="AF188" i="17"/>
  <c r="AG188" i="17"/>
  <c r="AH188" i="17"/>
  <c r="AI188" i="17"/>
  <c r="AF189" i="17"/>
  <c r="AG189" i="17"/>
  <c r="AH189" i="17"/>
  <c r="AI189" i="17"/>
  <c r="AF190" i="17"/>
  <c r="AG190" i="17"/>
  <c r="AH190" i="17"/>
  <c r="AI190" i="17"/>
  <c r="AF191" i="17"/>
  <c r="AG191" i="17"/>
  <c r="AH191" i="17"/>
  <c r="AI191" i="17"/>
  <c r="AF192" i="17"/>
  <c r="AG192" i="17"/>
  <c r="AH192" i="17"/>
  <c r="AI192" i="17"/>
  <c r="AF193" i="17"/>
  <c r="AG193" i="17"/>
  <c r="AH193" i="17"/>
  <c r="AI193" i="17"/>
  <c r="AF194" i="17"/>
  <c r="AG194" i="17"/>
  <c r="AH194" i="17"/>
  <c r="AI194" i="17"/>
  <c r="AF195" i="17"/>
  <c r="AG195" i="17"/>
  <c r="AH195" i="17"/>
  <c r="AI195" i="17"/>
  <c r="AF196" i="17"/>
  <c r="AG196" i="17"/>
  <c r="AH196" i="17"/>
  <c r="AI196" i="17"/>
  <c r="AF197" i="17"/>
  <c r="AG197" i="17"/>
  <c r="AH197" i="17"/>
  <c r="AI197" i="17"/>
  <c r="AF198" i="17"/>
  <c r="AG198" i="17"/>
  <c r="AH198" i="17"/>
  <c r="AI198" i="17"/>
  <c r="AF199" i="17"/>
  <c r="AG199" i="17"/>
  <c r="AH199" i="17"/>
  <c r="AI199" i="17"/>
  <c r="AF200" i="17"/>
  <c r="AG200" i="17"/>
  <c r="AH200" i="17"/>
  <c r="AI200" i="17"/>
  <c r="AF201" i="17"/>
  <c r="AG201" i="17"/>
  <c r="AH201" i="17"/>
  <c r="AI201" i="17"/>
  <c r="AF202" i="17"/>
  <c r="AG202" i="17"/>
  <c r="AH202" i="17"/>
  <c r="AI202" i="17"/>
  <c r="AF203" i="17"/>
  <c r="AG203" i="17"/>
  <c r="AH203" i="17"/>
  <c r="AI203" i="17"/>
  <c r="AF204" i="17"/>
  <c r="AG204" i="17"/>
  <c r="AH204" i="17"/>
  <c r="AI204" i="17"/>
  <c r="AF205" i="17"/>
  <c r="AG205" i="17"/>
  <c r="AH205" i="17"/>
  <c r="AI205" i="17"/>
  <c r="AF206" i="17"/>
  <c r="AG206" i="17"/>
  <c r="AH206" i="17"/>
  <c r="AI206" i="17"/>
  <c r="AF207" i="17"/>
  <c r="AG207" i="17"/>
  <c r="AH207" i="17"/>
  <c r="AI207" i="17"/>
  <c r="AF208" i="17"/>
  <c r="AG208" i="17"/>
  <c r="AH208" i="17"/>
  <c r="AI208" i="17"/>
  <c r="AF209" i="17"/>
  <c r="AG209" i="17"/>
  <c r="AH209" i="17"/>
  <c r="AI209" i="17"/>
  <c r="AF210" i="17"/>
  <c r="AG210" i="17"/>
  <c r="AH210" i="17"/>
  <c r="AI210" i="17"/>
  <c r="AF211" i="17"/>
  <c r="AG211" i="17"/>
  <c r="AH211" i="17"/>
  <c r="AI211" i="17"/>
  <c r="AF212" i="17"/>
  <c r="AG212" i="17"/>
  <c r="AH212" i="17"/>
  <c r="AI212" i="17"/>
  <c r="AF213" i="17"/>
  <c r="AG213" i="17"/>
  <c r="AH213" i="17"/>
  <c r="AI213" i="17"/>
  <c r="AF214" i="17"/>
  <c r="AG214" i="17"/>
  <c r="AH214" i="17"/>
  <c r="AI214" i="17"/>
  <c r="AF215" i="17"/>
  <c r="AG215" i="17"/>
  <c r="AH215" i="17"/>
  <c r="AI215" i="17"/>
  <c r="AF216" i="17"/>
  <c r="AG216" i="17"/>
  <c r="AH216" i="17"/>
  <c r="AI216" i="17"/>
  <c r="AF217" i="17"/>
  <c r="AG217" i="17"/>
  <c r="AH217" i="17"/>
  <c r="AI217" i="17"/>
  <c r="AF218" i="17"/>
  <c r="AG218" i="17"/>
  <c r="AH218" i="17"/>
  <c r="AI218" i="17"/>
  <c r="AF219" i="17"/>
  <c r="AG219" i="17"/>
  <c r="AH219" i="17"/>
  <c r="AI219" i="17"/>
  <c r="AF220" i="17"/>
  <c r="AG220" i="17"/>
  <c r="AH220" i="17"/>
  <c r="AI220" i="17"/>
  <c r="AF221" i="17"/>
  <c r="AG221" i="17"/>
  <c r="AH221" i="17"/>
  <c r="AI221" i="17"/>
  <c r="AF222" i="17"/>
  <c r="AG222" i="17"/>
  <c r="AH222" i="17"/>
  <c r="AI222" i="17"/>
  <c r="AF223" i="17"/>
  <c r="AG223" i="17"/>
  <c r="AH223" i="17"/>
  <c r="AI223" i="17"/>
  <c r="AF224" i="17"/>
  <c r="AG224" i="17"/>
  <c r="AH224" i="17"/>
  <c r="AI224" i="17"/>
  <c r="AF225" i="17"/>
  <c r="AG225" i="17"/>
  <c r="AH225" i="17"/>
  <c r="AI225" i="17"/>
  <c r="AF226" i="17"/>
  <c r="AG226" i="17"/>
  <c r="AH226" i="17"/>
  <c r="AI226" i="17"/>
  <c r="AF227" i="17"/>
  <c r="AG227" i="17"/>
  <c r="AH227" i="17"/>
  <c r="AI227" i="17"/>
  <c r="AF228" i="17"/>
  <c r="AG228" i="17"/>
  <c r="AH228" i="17"/>
  <c r="AI228" i="17"/>
  <c r="AF229" i="17"/>
  <c r="AG229" i="17"/>
  <c r="AH229" i="17"/>
  <c r="AI229" i="17"/>
  <c r="AI2" i="17"/>
  <c r="AG2" i="17"/>
  <c r="AH2" i="17"/>
  <c r="AF2" i="17"/>
  <c r="AF3" i="16"/>
  <c r="AG3" i="16"/>
  <c r="AH3" i="16"/>
  <c r="AI3" i="16"/>
  <c r="AF4" i="16"/>
  <c r="AG4" i="16"/>
  <c r="AH4" i="16"/>
  <c r="AI4" i="16"/>
  <c r="AF5" i="16"/>
  <c r="AG5" i="16"/>
  <c r="AH5" i="16"/>
  <c r="AI5" i="16"/>
  <c r="AF6" i="16"/>
  <c r="AG6" i="16"/>
  <c r="AH6" i="16"/>
  <c r="AI6" i="16"/>
  <c r="AF7" i="16"/>
  <c r="AG7" i="16"/>
  <c r="AH7" i="16"/>
  <c r="AI7" i="16"/>
  <c r="AF8" i="16"/>
  <c r="AG8" i="16"/>
  <c r="AH8" i="16"/>
  <c r="AI8" i="16"/>
  <c r="AF9" i="16"/>
  <c r="AG9" i="16"/>
  <c r="AH9" i="16"/>
  <c r="AI9" i="16"/>
  <c r="AF10" i="16"/>
  <c r="AG10" i="16"/>
  <c r="AH10" i="16"/>
  <c r="AI10" i="16"/>
  <c r="AF11" i="16"/>
  <c r="AG11" i="16"/>
  <c r="AH11" i="16"/>
  <c r="AI11" i="16"/>
  <c r="AF12" i="16"/>
  <c r="AG12" i="16"/>
  <c r="AH12" i="16"/>
  <c r="AI12" i="16"/>
  <c r="AF13" i="16"/>
  <c r="AG13" i="16"/>
  <c r="AH13" i="16"/>
  <c r="AI13" i="16"/>
  <c r="AF14" i="16"/>
  <c r="AG14" i="16"/>
  <c r="AH14" i="16"/>
  <c r="AI14" i="16"/>
  <c r="AF15" i="16"/>
  <c r="AG15" i="16"/>
  <c r="AH15" i="16"/>
  <c r="AI15" i="16"/>
  <c r="AF16" i="16"/>
  <c r="AG16" i="16"/>
  <c r="AH16" i="16"/>
  <c r="AI16" i="16"/>
  <c r="AF17" i="16"/>
  <c r="AG17" i="16"/>
  <c r="AH17" i="16"/>
  <c r="AI17" i="16"/>
  <c r="AF18" i="16"/>
  <c r="AG18" i="16"/>
  <c r="AH18" i="16"/>
  <c r="AI18" i="16"/>
  <c r="AF19" i="16"/>
  <c r="AG19" i="16"/>
  <c r="AH19" i="16"/>
  <c r="AI19" i="16"/>
  <c r="AF20" i="16"/>
  <c r="AG20" i="16"/>
  <c r="AH20" i="16"/>
  <c r="AI20" i="16"/>
  <c r="AF21" i="16"/>
  <c r="AG21" i="16"/>
  <c r="AH21" i="16"/>
  <c r="AI21" i="16"/>
  <c r="AF22" i="16"/>
  <c r="AG22" i="16"/>
  <c r="AH22" i="16"/>
  <c r="AI22" i="16"/>
  <c r="AF23" i="16"/>
  <c r="AG23" i="16"/>
  <c r="AH23" i="16"/>
  <c r="AI23" i="16"/>
  <c r="AF24" i="16"/>
  <c r="AG24" i="16"/>
  <c r="AH24" i="16"/>
  <c r="AI24" i="16"/>
  <c r="AF25" i="16"/>
  <c r="AG25" i="16"/>
  <c r="AH25" i="16"/>
  <c r="AI25" i="16"/>
  <c r="AF26" i="16"/>
  <c r="AG26" i="16"/>
  <c r="AH26" i="16"/>
  <c r="AI26" i="16"/>
  <c r="AF27" i="16"/>
  <c r="AG27" i="16"/>
  <c r="AH27" i="16"/>
  <c r="AI27" i="16"/>
  <c r="AF28" i="16"/>
  <c r="AG28" i="16"/>
  <c r="AH28" i="16"/>
  <c r="AI28" i="16"/>
  <c r="AF29" i="16"/>
  <c r="AG29" i="16"/>
  <c r="AH29" i="16"/>
  <c r="AI29" i="16"/>
  <c r="AF30" i="16"/>
  <c r="AG30" i="16"/>
  <c r="AH30" i="16"/>
  <c r="AI30" i="16"/>
  <c r="AF31" i="16"/>
  <c r="AG31" i="16"/>
  <c r="AH31" i="16"/>
  <c r="AI31" i="16"/>
  <c r="AF32" i="16"/>
  <c r="AG32" i="16"/>
  <c r="AH32" i="16"/>
  <c r="AI32" i="16"/>
  <c r="AF33" i="16"/>
  <c r="AG33" i="16"/>
  <c r="AH33" i="16"/>
  <c r="AI33" i="16"/>
  <c r="AF34" i="16"/>
  <c r="AG34" i="16"/>
  <c r="AH34" i="16"/>
  <c r="AI34" i="16"/>
  <c r="AF35" i="16"/>
  <c r="AG35" i="16"/>
  <c r="AH35" i="16"/>
  <c r="AI35" i="16"/>
  <c r="AF36" i="16"/>
  <c r="AG36" i="16"/>
  <c r="AH36" i="16"/>
  <c r="AI36" i="16"/>
  <c r="AF37" i="16"/>
  <c r="AG37" i="16"/>
  <c r="AH37" i="16"/>
  <c r="AI37" i="16"/>
  <c r="AF38" i="16"/>
  <c r="AG38" i="16"/>
  <c r="AH38" i="16"/>
  <c r="AI38" i="16"/>
  <c r="AF39" i="16"/>
  <c r="AG39" i="16"/>
  <c r="AH39" i="16"/>
  <c r="AI39" i="16"/>
  <c r="AF40" i="16"/>
  <c r="AG40" i="16"/>
  <c r="AH40" i="16"/>
  <c r="AI40" i="16"/>
  <c r="AF41" i="16"/>
  <c r="AG41" i="16"/>
  <c r="AH41" i="16"/>
  <c r="AI41" i="16"/>
  <c r="AF42" i="16"/>
  <c r="AG42" i="16"/>
  <c r="AH42" i="16"/>
  <c r="AI42" i="16"/>
  <c r="AF43" i="16"/>
  <c r="AG43" i="16"/>
  <c r="AH43" i="16"/>
  <c r="AI43" i="16"/>
  <c r="AF44" i="16"/>
  <c r="AG44" i="16"/>
  <c r="AH44" i="16"/>
  <c r="AI44" i="16"/>
  <c r="AF45" i="16"/>
  <c r="AG45" i="16"/>
  <c r="AH45" i="16"/>
  <c r="AI45" i="16"/>
  <c r="AF46" i="16"/>
  <c r="AG46" i="16"/>
  <c r="AH46" i="16"/>
  <c r="AI46" i="16"/>
  <c r="AF47" i="16"/>
  <c r="AG47" i="16"/>
  <c r="AH47" i="16"/>
  <c r="AI47" i="16"/>
  <c r="AF48" i="16"/>
  <c r="AG48" i="16"/>
  <c r="AH48" i="16"/>
  <c r="AI48" i="16"/>
  <c r="AF49" i="16"/>
  <c r="AG49" i="16"/>
  <c r="AH49" i="16"/>
  <c r="AI49" i="16"/>
  <c r="AF50" i="16"/>
  <c r="AG50" i="16"/>
  <c r="AH50" i="16"/>
  <c r="AI50" i="16"/>
  <c r="AF51" i="16"/>
  <c r="AG51" i="16"/>
  <c r="AH51" i="16"/>
  <c r="AI51" i="16"/>
  <c r="AF52" i="16"/>
  <c r="AG52" i="16"/>
  <c r="AH52" i="16"/>
  <c r="AI52" i="16"/>
  <c r="AF53" i="16"/>
  <c r="AG53" i="16"/>
  <c r="AH53" i="16"/>
  <c r="AI53" i="16"/>
  <c r="AF54" i="16"/>
  <c r="AG54" i="16"/>
  <c r="AH54" i="16"/>
  <c r="AI54" i="16"/>
  <c r="AF55" i="16"/>
  <c r="AG55" i="16"/>
  <c r="AH55" i="16"/>
  <c r="AI55" i="16"/>
  <c r="AF56" i="16"/>
  <c r="AG56" i="16"/>
  <c r="AH56" i="16"/>
  <c r="AI56" i="16"/>
  <c r="AF57" i="16"/>
  <c r="AG57" i="16"/>
  <c r="AH57" i="16"/>
  <c r="AI57" i="16"/>
  <c r="AF58" i="16"/>
  <c r="AG58" i="16"/>
  <c r="AH58" i="16"/>
  <c r="AI58" i="16"/>
  <c r="AF59" i="16"/>
  <c r="AG59" i="16"/>
  <c r="AH59" i="16"/>
  <c r="AI59" i="16"/>
  <c r="AF60" i="16"/>
  <c r="AG60" i="16"/>
  <c r="AH60" i="16"/>
  <c r="AI60" i="16"/>
  <c r="AF61" i="16"/>
  <c r="AG61" i="16"/>
  <c r="AH61" i="16"/>
  <c r="AI61" i="16"/>
  <c r="AF62" i="16"/>
  <c r="AG62" i="16"/>
  <c r="AH62" i="16"/>
  <c r="AI62" i="16"/>
  <c r="AF63" i="16"/>
  <c r="AG63" i="16"/>
  <c r="AH63" i="16"/>
  <c r="AI63" i="16"/>
  <c r="AF64" i="16"/>
  <c r="AG64" i="16"/>
  <c r="AH64" i="16"/>
  <c r="AI64" i="16"/>
  <c r="AF65" i="16"/>
  <c r="AG65" i="16"/>
  <c r="AH65" i="16"/>
  <c r="AI65" i="16"/>
  <c r="AF66" i="16"/>
  <c r="AG66" i="16"/>
  <c r="AH66" i="16"/>
  <c r="AI66" i="16"/>
  <c r="AF67" i="16"/>
  <c r="AG67" i="16"/>
  <c r="AH67" i="16"/>
  <c r="AI67" i="16"/>
  <c r="AF68" i="16"/>
  <c r="AG68" i="16"/>
  <c r="AH68" i="16"/>
  <c r="AI68" i="16"/>
  <c r="AF69" i="16"/>
  <c r="AG69" i="16"/>
  <c r="AH69" i="16"/>
  <c r="AI69" i="16"/>
  <c r="AF70" i="16"/>
  <c r="AG70" i="16"/>
  <c r="AH70" i="16"/>
  <c r="AI70" i="16"/>
  <c r="AF71" i="16"/>
  <c r="AG71" i="16"/>
  <c r="AH71" i="16"/>
  <c r="AI71" i="16"/>
  <c r="AF72" i="16"/>
  <c r="AG72" i="16"/>
  <c r="AH72" i="16"/>
  <c r="AI72" i="16"/>
  <c r="AF73" i="16"/>
  <c r="AG73" i="16"/>
  <c r="AH73" i="16"/>
  <c r="AI73" i="16"/>
  <c r="AF74" i="16"/>
  <c r="AG74" i="16"/>
  <c r="AH74" i="16"/>
  <c r="AI74" i="16"/>
  <c r="AF75" i="16"/>
  <c r="AG75" i="16"/>
  <c r="AH75" i="16"/>
  <c r="AI75" i="16"/>
  <c r="AF76" i="16"/>
  <c r="AG76" i="16"/>
  <c r="AH76" i="16"/>
  <c r="AI76" i="16"/>
  <c r="AF77" i="16"/>
  <c r="AG77" i="16"/>
  <c r="AH77" i="16"/>
  <c r="AI77" i="16"/>
  <c r="AF78" i="16"/>
  <c r="AG78" i="16"/>
  <c r="AH78" i="16"/>
  <c r="AI78" i="16"/>
  <c r="AF79" i="16"/>
  <c r="AG79" i="16"/>
  <c r="AH79" i="16"/>
  <c r="AI79" i="16"/>
  <c r="AF80" i="16"/>
  <c r="AG80" i="16"/>
  <c r="AH80" i="16"/>
  <c r="AI80" i="16"/>
  <c r="AF81" i="16"/>
  <c r="AG81" i="16"/>
  <c r="AH81" i="16"/>
  <c r="AI81" i="16"/>
  <c r="AF82" i="16"/>
  <c r="AG82" i="16"/>
  <c r="AH82" i="16"/>
  <c r="AI82" i="16"/>
  <c r="AF83" i="16"/>
  <c r="AG83" i="16"/>
  <c r="AH83" i="16"/>
  <c r="AI83" i="16"/>
  <c r="AF84" i="16"/>
  <c r="AG84" i="16"/>
  <c r="AH84" i="16"/>
  <c r="AI84" i="16"/>
  <c r="AF85" i="16"/>
  <c r="AG85" i="16"/>
  <c r="AH85" i="16"/>
  <c r="AI85" i="16"/>
  <c r="AF86" i="16"/>
  <c r="AG86" i="16"/>
  <c r="AH86" i="16"/>
  <c r="AI86" i="16"/>
  <c r="AF87" i="16"/>
  <c r="AG87" i="16"/>
  <c r="AH87" i="16"/>
  <c r="AI87" i="16"/>
  <c r="AF88" i="16"/>
  <c r="AG88" i="16"/>
  <c r="AH88" i="16"/>
  <c r="AI88" i="16"/>
  <c r="AF89" i="16"/>
  <c r="AG89" i="16"/>
  <c r="AH89" i="16"/>
  <c r="AI89" i="16"/>
  <c r="AF90" i="16"/>
  <c r="AG90" i="16"/>
  <c r="AH90" i="16"/>
  <c r="AI90" i="16"/>
  <c r="AF91" i="16"/>
  <c r="AG91" i="16"/>
  <c r="AH91" i="16"/>
  <c r="AI91" i="16"/>
  <c r="AF92" i="16"/>
  <c r="AG92" i="16"/>
  <c r="AH92" i="16"/>
  <c r="AI92" i="16"/>
  <c r="AF93" i="16"/>
  <c r="AG93" i="16"/>
  <c r="AH93" i="16"/>
  <c r="AI93" i="16"/>
  <c r="AF94" i="16"/>
  <c r="AG94" i="16"/>
  <c r="AH94" i="16"/>
  <c r="AI94" i="16"/>
  <c r="AF95" i="16"/>
  <c r="AG95" i="16"/>
  <c r="AH95" i="16"/>
  <c r="AI95" i="16"/>
  <c r="AF96" i="16"/>
  <c r="AG96" i="16"/>
  <c r="AH96" i="16"/>
  <c r="AI96" i="16"/>
  <c r="AF97" i="16"/>
  <c r="AG97" i="16"/>
  <c r="AH97" i="16"/>
  <c r="AI97" i="16"/>
  <c r="AF98" i="16"/>
  <c r="AG98" i="16"/>
  <c r="AH98" i="16"/>
  <c r="AI98" i="16"/>
  <c r="AF99" i="16"/>
  <c r="AG99" i="16"/>
  <c r="AH99" i="16"/>
  <c r="AI99" i="16"/>
  <c r="AF100" i="16"/>
  <c r="AG100" i="16"/>
  <c r="AH100" i="16"/>
  <c r="AI100" i="16"/>
  <c r="AF101" i="16"/>
  <c r="AG101" i="16"/>
  <c r="AH101" i="16"/>
  <c r="AI101" i="16"/>
  <c r="AF102" i="16"/>
  <c r="AG102" i="16"/>
  <c r="AH102" i="16"/>
  <c r="AI102" i="16"/>
  <c r="AF103" i="16"/>
  <c r="AG103" i="16"/>
  <c r="AH103" i="16"/>
  <c r="AI103" i="16"/>
  <c r="AF104" i="16"/>
  <c r="AG104" i="16"/>
  <c r="AH104" i="16"/>
  <c r="AI104" i="16"/>
  <c r="AF105" i="16"/>
  <c r="AG105" i="16"/>
  <c r="AH105" i="16"/>
  <c r="AI105" i="16"/>
  <c r="AF106" i="16"/>
  <c r="AG106" i="16"/>
  <c r="AH106" i="16"/>
  <c r="AI106" i="16"/>
  <c r="AF107" i="16"/>
  <c r="AG107" i="16"/>
  <c r="AH107" i="16"/>
  <c r="AI107" i="16"/>
  <c r="AF108" i="16"/>
  <c r="AG108" i="16"/>
  <c r="AH108" i="16"/>
  <c r="AI108" i="16"/>
  <c r="AF109" i="16"/>
  <c r="AG109" i="16"/>
  <c r="AH109" i="16"/>
  <c r="AI109" i="16"/>
  <c r="AF110" i="16"/>
  <c r="AG110" i="16"/>
  <c r="AH110" i="16"/>
  <c r="AI110" i="16"/>
  <c r="AF111" i="16"/>
  <c r="AG111" i="16"/>
  <c r="AH111" i="16"/>
  <c r="AI111" i="16"/>
  <c r="AF112" i="16"/>
  <c r="AG112" i="16"/>
  <c r="AH112" i="16"/>
  <c r="AI112" i="16"/>
  <c r="AF113" i="16"/>
  <c r="AG113" i="16"/>
  <c r="AH113" i="16"/>
  <c r="AI113" i="16"/>
  <c r="AF114" i="16"/>
  <c r="AG114" i="16"/>
  <c r="AH114" i="16"/>
  <c r="AI114" i="16"/>
  <c r="AF115" i="16"/>
  <c r="AG115" i="16"/>
  <c r="AH115" i="16"/>
  <c r="AI115" i="16"/>
  <c r="AF116" i="16"/>
  <c r="AG116" i="16"/>
  <c r="AH116" i="16"/>
  <c r="AI116" i="16"/>
  <c r="AF117" i="16"/>
  <c r="AG117" i="16"/>
  <c r="AH117" i="16"/>
  <c r="AI117" i="16"/>
  <c r="AF118" i="16"/>
  <c r="AG118" i="16"/>
  <c r="AH118" i="16"/>
  <c r="AI118" i="16"/>
  <c r="AF119" i="16"/>
  <c r="AG119" i="16"/>
  <c r="AH119" i="16"/>
  <c r="AI119" i="16"/>
  <c r="AF120" i="16"/>
  <c r="AG120" i="16"/>
  <c r="AH120" i="16"/>
  <c r="AI120" i="16"/>
  <c r="AF121" i="16"/>
  <c r="AG121" i="16"/>
  <c r="AH121" i="16"/>
  <c r="AI121" i="16"/>
  <c r="AF122" i="16"/>
  <c r="AG122" i="16"/>
  <c r="AH122" i="16"/>
  <c r="AI122" i="16"/>
  <c r="AF123" i="16"/>
  <c r="AG123" i="16"/>
  <c r="AH123" i="16"/>
  <c r="AI123" i="16"/>
  <c r="AF124" i="16"/>
  <c r="AG124" i="16"/>
  <c r="AH124" i="16"/>
  <c r="AI124" i="16"/>
  <c r="AF125" i="16"/>
  <c r="AG125" i="16"/>
  <c r="AH125" i="16"/>
  <c r="AI125" i="16"/>
  <c r="AF126" i="16"/>
  <c r="AG126" i="16"/>
  <c r="AH126" i="16"/>
  <c r="AI126" i="16"/>
  <c r="AF127" i="16"/>
  <c r="AG127" i="16"/>
  <c r="AH127" i="16"/>
  <c r="AI127" i="16"/>
  <c r="AF128" i="16"/>
  <c r="AG128" i="16"/>
  <c r="AH128" i="16"/>
  <c r="AI128" i="16"/>
  <c r="AF129" i="16"/>
  <c r="AG129" i="16"/>
  <c r="AH129" i="16"/>
  <c r="AI129" i="16"/>
  <c r="AF130" i="16"/>
  <c r="AG130" i="16"/>
  <c r="AH130" i="16"/>
  <c r="AI130" i="16"/>
  <c r="AF131" i="16"/>
  <c r="AG131" i="16"/>
  <c r="AH131" i="16"/>
  <c r="AI131" i="16"/>
  <c r="AF132" i="16"/>
  <c r="AG132" i="16"/>
  <c r="AH132" i="16"/>
  <c r="AI132" i="16"/>
  <c r="AF133" i="16"/>
  <c r="AG133" i="16"/>
  <c r="AH133" i="16"/>
  <c r="AI133" i="16"/>
  <c r="AF134" i="16"/>
  <c r="AG134" i="16"/>
  <c r="AH134" i="16"/>
  <c r="AI134" i="16"/>
  <c r="AF135" i="16"/>
  <c r="AG135" i="16"/>
  <c r="AH135" i="16"/>
  <c r="AI135" i="16"/>
  <c r="AF136" i="16"/>
  <c r="AG136" i="16"/>
  <c r="AH136" i="16"/>
  <c r="AI136" i="16"/>
  <c r="AF137" i="16"/>
  <c r="AG137" i="16"/>
  <c r="AH137" i="16"/>
  <c r="AI137" i="16"/>
  <c r="AF138" i="16"/>
  <c r="AG138" i="16"/>
  <c r="AH138" i="16"/>
  <c r="AI138" i="16"/>
  <c r="AF139" i="16"/>
  <c r="AG139" i="16"/>
  <c r="AH139" i="16"/>
  <c r="AI139" i="16"/>
  <c r="AF140" i="16"/>
  <c r="AG140" i="16"/>
  <c r="AH140" i="16"/>
  <c r="AI140" i="16"/>
  <c r="AF141" i="16"/>
  <c r="AG141" i="16"/>
  <c r="AH141" i="16"/>
  <c r="AI141" i="16"/>
  <c r="AF142" i="16"/>
  <c r="AG142" i="16"/>
  <c r="AH142" i="16"/>
  <c r="AI142" i="16"/>
  <c r="AF143" i="16"/>
  <c r="AG143" i="16"/>
  <c r="AH143" i="16"/>
  <c r="AI143" i="16"/>
  <c r="AF144" i="16"/>
  <c r="AG144" i="16"/>
  <c r="AH144" i="16"/>
  <c r="AI144" i="16"/>
  <c r="AF145" i="16"/>
  <c r="AG145" i="16"/>
  <c r="AH145" i="16"/>
  <c r="AI145" i="16"/>
  <c r="AI2" i="16"/>
  <c r="AH2" i="16"/>
  <c r="AG2" i="16"/>
  <c r="AF2" i="16"/>
  <c r="AF3" i="15"/>
  <c r="AG3" i="15"/>
  <c r="AH3" i="15"/>
  <c r="AI3" i="15"/>
  <c r="AF4" i="15"/>
  <c r="AG4" i="15"/>
  <c r="AH4" i="15"/>
  <c r="AI4" i="15"/>
  <c r="AF5" i="15"/>
  <c r="AG5" i="15"/>
  <c r="AH5" i="15"/>
  <c r="AI5" i="15"/>
  <c r="AF6" i="15"/>
  <c r="AG6" i="15"/>
  <c r="AH6" i="15"/>
  <c r="AI6" i="15"/>
  <c r="AF7" i="15"/>
  <c r="AG7" i="15"/>
  <c r="AH7" i="15"/>
  <c r="AI7" i="15"/>
  <c r="AF8" i="15"/>
  <c r="AG8" i="15"/>
  <c r="AH8" i="15"/>
  <c r="AI8" i="15"/>
  <c r="AF9" i="15"/>
  <c r="AG9" i="15"/>
  <c r="AH9" i="15"/>
  <c r="AI9" i="15"/>
  <c r="AF10" i="15"/>
  <c r="AG10" i="15"/>
  <c r="AH10" i="15"/>
  <c r="AI10" i="15"/>
  <c r="AF11" i="15"/>
  <c r="AG11" i="15"/>
  <c r="AH11" i="15"/>
  <c r="AI11" i="15"/>
  <c r="AF12" i="15"/>
  <c r="AG12" i="15"/>
  <c r="AH12" i="15"/>
  <c r="AI12" i="15"/>
  <c r="AF13" i="15"/>
  <c r="AG13" i="15"/>
  <c r="AH13" i="15"/>
  <c r="AI13" i="15"/>
  <c r="AF14" i="15"/>
  <c r="AG14" i="15"/>
  <c r="AH14" i="15"/>
  <c r="AI14" i="15"/>
  <c r="AF15" i="15"/>
  <c r="AG15" i="15"/>
  <c r="AH15" i="15"/>
  <c r="AI15" i="15"/>
  <c r="AF16" i="15"/>
  <c r="AG16" i="15"/>
  <c r="AH16" i="15"/>
  <c r="AI16" i="15"/>
  <c r="AF17" i="15"/>
  <c r="AG17" i="15"/>
  <c r="AH17" i="15"/>
  <c r="AI17" i="15"/>
  <c r="AF18" i="15"/>
  <c r="AG18" i="15"/>
  <c r="AH18" i="15"/>
  <c r="AI18" i="15"/>
  <c r="AF19" i="15"/>
  <c r="AG19" i="15"/>
  <c r="AH19" i="15"/>
  <c r="AI19" i="15"/>
  <c r="AF20" i="15"/>
  <c r="AG20" i="15"/>
  <c r="AH20" i="15"/>
  <c r="AI20" i="15"/>
  <c r="AF21" i="15"/>
  <c r="AG21" i="15"/>
  <c r="AH21" i="15"/>
  <c r="AI21" i="15"/>
  <c r="AF22" i="15"/>
  <c r="AG22" i="15"/>
  <c r="AH22" i="15"/>
  <c r="AI22" i="15"/>
  <c r="AF23" i="15"/>
  <c r="AG23" i="15"/>
  <c r="AH23" i="15"/>
  <c r="AI23" i="15"/>
  <c r="AF24" i="15"/>
  <c r="AG24" i="15"/>
  <c r="AH24" i="15"/>
  <c r="AI24" i="15"/>
  <c r="AF25" i="15"/>
  <c r="AG25" i="15"/>
  <c r="AH25" i="15"/>
  <c r="AI25" i="15"/>
  <c r="AF26" i="15"/>
  <c r="AG26" i="15"/>
  <c r="AH26" i="15"/>
  <c r="AI26" i="15"/>
  <c r="AF27" i="15"/>
  <c r="AG27" i="15"/>
  <c r="AH27" i="15"/>
  <c r="AI27" i="15"/>
  <c r="AF28" i="15"/>
  <c r="AG28" i="15"/>
  <c r="AH28" i="15"/>
  <c r="AI28" i="15"/>
  <c r="AF29" i="15"/>
  <c r="AG29" i="15"/>
  <c r="AH29" i="15"/>
  <c r="AI29" i="15"/>
  <c r="AF30" i="15"/>
  <c r="AG30" i="15"/>
  <c r="AH30" i="15"/>
  <c r="AI30" i="15"/>
  <c r="AF31" i="15"/>
  <c r="AG31" i="15"/>
  <c r="AH31" i="15"/>
  <c r="AI31" i="15"/>
  <c r="AF32" i="15"/>
  <c r="AG32" i="15"/>
  <c r="AH32" i="15"/>
  <c r="AI32" i="15"/>
  <c r="AF33" i="15"/>
  <c r="AG33" i="15"/>
  <c r="AH33" i="15"/>
  <c r="AI33" i="15"/>
  <c r="AF34" i="15"/>
  <c r="AG34" i="15"/>
  <c r="AH34" i="15"/>
  <c r="AI34" i="15"/>
  <c r="AF35" i="15"/>
  <c r="AG35" i="15"/>
  <c r="AH35" i="15"/>
  <c r="AI35" i="15"/>
  <c r="AF36" i="15"/>
  <c r="AG36" i="15"/>
  <c r="AH36" i="15"/>
  <c r="AI36" i="15"/>
  <c r="AF37" i="15"/>
  <c r="AG37" i="15"/>
  <c r="AH37" i="15"/>
  <c r="AI37" i="15"/>
  <c r="AF38" i="15"/>
  <c r="AG38" i="15"/>
  <c r="AH38" i="15"/>
  <c r="AI38" i="15"/>
  <c r="AF39" i="15"/>
  <c r="AG39" i="15"/>
  <c r="AH39" i="15"/>
  <c r="AI39" i="15"/>
  <c r="AF40" i="15"/>
  <c r="AG40" i="15"/>
  <c r="AH40" i="15"/>
  <c r="AI40" i="15"/>
  <c r="AF41" i="15"/>
  <c r="AG41" i="15"/>
  <c r="AH41" i="15"/>
  <c r="AI41" i="15"/>
  <c r="AF42" i="15"/>
  <c r="AG42" i="15"/>
  <c r="AH42" i="15"/>
  <c r="AI42" i="15"/>
  <c r="AF43" i="15"/>
  <c r="AG43" i="15"/>
  <c r="AH43" i="15"/>
  <c r="AI43" i="15"/>
  <c r="AF44" i="15"/>
  <c r="AG44" i="15"/>
  <c r="AH44" i="15"/>
  <c r="AI44" i="15"/>
  <c r="AF45" i="15"/>
  <c r="AG45" i="15"/>
  <c r="AH45" i="15"/>
  <c r="AI45" i="15"/>
  <c r="AF46" i="15"/>
  <c r="AG46" i="15"/>
  <c r="AH46" i="15"/>
  <c r="AI46" i="15"/>
  <c r="AF47" i="15"/>
  <c r="AG47" i="15"/>
  <c r="AH47" i="15"/>
  <c r="AI47" i="15"/>
  <c r="AF48" i="15"/>
  <c r="AG48" i="15"/>
  <c r="AH48" i="15"/>
  <c r="AI48" i="15"/>
  <c r="AF49" i="15"/>
  <c r="AG49" i="15"/>
  <c r="AH49" i="15"/>
  <c r="AI49" i="15"/>
  <c r="AF50" i="15"/>
  <c r="AG50" i="15"/>
  <c r="AH50" i="15"/>
  <c r="AI50" i="15"/>
  <c r="AF51" i="15"/>
  <c r="AG51" i="15"/>
  <c r="AH51" i="15"/>
  <c r="AI51" i="15"/>
  <c r="AF52" i="15"/>
  <c r="AG52" i="15"/>
  <c r="AH52" i="15"/>
  <c r="AI52" i="15"/>
  <c r="AF53" i="15"/>
  <c r="AG53" i="15"/>
  <c r="AH53" i="15"/>
  <c r="AI53" i="15"/>
  <c r="AF54" i="15"/>
  <c r="AG54" i="15"/>
  <c r="AH54" i="15"/>
  <c r="AI54" i="15"/>
  <c r="AF55" i="15"/>
  <c r="AG55" i="15"/>
  <c r="AH55" i="15"/>
  <c r="AI55" i="15"/>
  <c r="AF56" i="15"/>
  <c r="AG56" i="15"/>
  <c r="AH56" i="15"/>
  <c r="AI56" i="15"/>
  <c r="AF57" i="15"/>
  <c r="AG57" i="15"/>
  <c r="AH57" i="15"/>
  <c r="AI57" i="15"/>
  <c r="AF58" i="15"/>
  <c r="AG58" i="15"/>
  <c r="AH58" i="15"/>
  <c r="AI58" i="15"/>
  <c r="AF59" i="15"/>
  <c r="AG59" i="15"/>
  <c r="AH59" i="15"/>
  <c r="AI59" i="15"/>
  <c r="AF60" i="15"/>
  <c r="AG60" i="15"/>
  <c r="AH60" i="15"/>
  <c r="AI60" i="15"/>
  <c r="AF61" i="15"/>
  <c r="AG61" i="15"/>
  <c r="AH61" i="15"/>
  <c r="AI61" i="15"/>
  <c r="AF62" i="15"/>
  <c r="AG62" i="15"/>
  <c r="AH62" i="15"/>
  <c r="AI62" i="15"/>
  <c r="AF63" i="15"/>
  <c r="AG63" i="15"/>
  <c r="AH63" i="15"/>
  <c r="AI63" i="15"/>
  <c r="AF64" i="15"/>
  <c r="AG64" i="15"/>
  <c r="AH64" i="15"/>
  <c r="AI64" i="15"/>
  <c r="AF65" i="15"/>
  <c r="AG65" i="15"/>
  <c r="AH65" i="15"/>
  <c r="AI65" i="15"/>
  <c r="AF66" i="15"/>
  <c r="AG66" i="15"/>
  <c r="AH66" i="15"/>
  <c r="AI66" i="15"/>
  <c r="AF67" i="15"/>
  <c r="AG67" i="15"/>
  <c r="AH67" i="15"/>
  <c r="AI67" i="15"/>
  <c r="AF68" i="15"/>
  <c r="AG68" i="15"/>
  <c r="AH68" i="15"/>
  <c r="AI68" i="15"/>
  <c r="AF69" i="15"/>
  <c r="AG69" i="15"/>
  <c r="AH69" i="15"/>
  <c r="AI69" i="15"/>
  <c r="AF70" i="15"/>
  <c r="AG70" i="15"/>
  <c r="AH70" i="15"/>
  <c r="AI70" i="15"/>
  <c r="AF71" i="15"/>
  <c r="AG71" i="15"/>
  <c r="AH71" i="15"/>
  <c r="AI71" i="15"/>
  <c r="AF72" i="15"/>
  <c r="AG72" i="15"/>
  <c r="AH72" i="15"/>
  <c r="AI72" i="15"/>
  <c r="AF73" i="15"/>
  <c r="AG73" i="15"/>
  <c r="AH73" i="15"/>
  <c r="AI73" i="15"/>
  <c r="AF74" i="15"/>
  <c r="AG74" i="15"/>
  <c r="AH74" i="15"/>
  <c r="AI74" i="15"/>
  <c r="AF75" i="15"/>
  <c r="AG75" i="15"/>
  <c r="AH75" i="15"/>
  <c r="AI75" i="15"/>
  <c r="AF76" i="15"/>
  <c r="AG76" i="15"/>
  <c r="AH76" i="15"/>
  <c r="AI76" i="15"/>
  <c r="AF77" i="15"/>
  <c r="AG77" i="15"/>
  <c r="AH77" i="15"/>
  <c r="AI77" i="15"/>
  <c r="AF78" i="15"/>
  <c r="AG78" i="15"/>
  <c r="AH78" i="15"/>
  <c r="AI78" i="15"/>
  <c r="AF79" i="15"/>
  <c r="AG79" i="15"/>
  <c r="AH79" i="15"/>
  <c r="AI79" i="15"/>
  <c r="AF80" i="15"/>
  <c r="AG80" i="15"/>
  <c r="AH80" i="15"/>
  <c r="AI80" i="15"/>
  <c r="AF81" i="15"/>
  <c r="AG81" i="15"/>
  <c r="AH81" i="15"/>
  <c r="AI81" i="15"/>
  <c r="AF82" i="15"/>
  <c r="AG82" i="15"/>
  <c r="AH82" i="15"/>
  <c r="AI82" i="15"/>
  <c r="AF83" i="15"/>
  <c r="AG83" i="15"/>
  <c r="AH83" i="15"/>
  <c r="AI83" i="15"/>
  <c r="AF84" i="15"/>
  <c r="AG84" i="15"/>
  <c r="AH84" i="15"/>
  <c r="AI84" i="15"/>
  <c r="AF85" i="15"/>
  <c r="AG85" i="15"/>
  <c r="AH85" i="15"/>
  <c r="AI85" i="15"/>
  <c r="AF86" i="15"/>
  <c r="AG86" i="15"/>
  <c r="AH86" i="15"/>
  <c r="AI86" i="15"/>
  <c r="AF87" i="15"/>
  <c r="AG87" i="15"/>
  <c r="AH87" i="15"/>
  <c r="AI87" i="15"/>
  <c r="AF88" i="15"/>
  <c r="AG88" i="15"/>
  <c r="AH88" i="15"/>
  <c r="AI88" i="15"/>
  <c r="AF89" i="15"/>
  <c r="AG89" i="15"/>
  <c r="AH89" i="15"/>
  <c r="AI89" i="15"/>
  <c r="AF90" i="15"/>
  <c r="AG90" i="15"/>
  <c r="AH90" i="15"/>
  <c r="AI90" i="15"/>
  <c r="AF91" i="15"/>
  <c r="AG91" i="15"/>
  <c r="AH91" i="15"/>
  <c r="AI91" i="15"/>
  <c r="AF92" i="15"/>
  <c r="AG92" i="15"/>
  <c r="AH92" i="15"/>
  <c r="AI92" i="15"/>
  <c r="AF93" i="15"/>
  <c r="AG93" i="15"/>
  <c r="AH93" i="15"/>
  <c r="AI93" i="15"/>
  <c r="AF94" i="15"/>
  <c r="AG94" i="15"/>
  <c r="AH94" i="15"/>
  <c r="AI94" i="15"/>
  <c r="AF95" i="15"/>
  <c r="AG95" i="15"/>
  <c r="AH95" i="15"/>
  <c r="AI95" i="15"/>
  <c r="AF96" i="15"/>
  <c r="AG96" i="15"/>
  <c r="AH96" i="15"/>
  <c r="AI96" i="15"/>
  <c r="AF97" i="15"/>
  <c r="AG97" i="15"/>
  <c r="AH97" i="15"/>
  <c r="AI97" i="15"/>
  <c r="AF98" i="15"/>
  <c r="AG98" i="15"/>
  <c r="AH98" i="15"/>
  <c r="AI98" i="15"/>
  <c r="AF99" i="15"/>
  <c r="AG99" i="15"/>
  <c r="AH99" i="15"/>
  <c r="AI99" i="15"/>
  <c r="AF100" i="15"/>
  <c r="AG100" i="15"/>
  <c r="AH100" i="15"/>
  <c r="AI100" i="15"/>
  <c r="AF101" i="15"/>
  <c r="AG101" i="15"/>
  <c r="AH101" i="15"/>
  <c r="AI101" i="15"/>
  <c r="AF102" i="15"/>
  <c r="AG102" i="15"/>
  <c r="AH102" i="15"/>
  <c r="AI102" i="15"/>
  <c r="AF103" i="15"/>
  <c r="AG103" i="15"/>
  <c r="AH103" i="15"/>
  <c r="AI103" i="15"/>
  <c r="AF104" i="15"/>
  <c r="AG104" i="15"/>
  <c r="AH104" i="15"/>
  <c r="AI104" i="15"/>
  <c r="AF105" i="15"/>
  <c r="AG105" i="15"/>
  <c r="AH105" i="15"/>
  <c r="AI105" i="15"/>
  <c r="AF106" i="15"/>
  <c r="AG106" i="15"/>
  <c r="AH106" i="15"/>
  <c r="AI106" i="15"/>
  <c r="AF107" i="15"/>
  <c r="AG107" i="15"/>
  <c r="AH107" i="15"/>
  <c r="AI107" i="15"/>
  <c r="AF108" i="15"/>
  <c r="AG108" i="15"/>
  <c r="AH108" i="15"/>
  <c r="AI108" i="15"/>
  <c r="AF109" i="15"/>
  <c r="AG109" i="15"/>
  <c r="AH109" i="15"/>
  <c r="AI109" i="15"/>
  <c r="AF110" i="15"/>
  <c r="AG110" i="15"/>
  <c r="AH110" i="15"/>
  <c r="AI110" i="15"/>
  <c r="AF111" i="15"/>
  <c r="AG111" i="15"/>
  <c r="AH111" i="15"/>
  <c r="AI111" i="15"/>
  <c r="AF112" i="15"/>
  <c r="AG112" i="15"/>
  <c r="AH112" i="15"/>
  <c r="AI112" i="15"/>
  <c r="AF113" i="15"/>
  <c r="AG113" i="15"/>
  <c r="AH113" i="15"/>
  <c r="AI113" i="15"/>
  <c r="AF114" i="15"/>
  <c r="AG114" i="15"/>
  <c r="AH114" i="15"/>
  <c r="AI114" i="15"/>
  <c r="AF115" i="15"/>
  <c r="AG115" i="15"/>
  <c r="AH115" i="15"/>
  <c r="AI115" i="15"/>
  <c r="AF116" i="15"/>
  <c r="AG116" i="15"/>
  <c r="AH116" i="15"/>
  <c r="AI116" i="15"/>
  <c r="AF117" i="15"/>
  <c r="AG117" i="15"/>
  <c r="AH117" i="15"/>
  <c r="AI117" i="15"/>
  <c r="AF118" i="15"/>
  <c r="AG118" i="15"/>
  <c r="AH118" i="15"/>
  <c r="AI118" i="15"/>
  <c r="AF119" i="15"/>
  <c r="AG119" i="15"/>
  <c r="AH119" i="15"/>
  <c r="AI119" i="15"/>
  <c r="AF120" i="15"/>
  <c r="AG120" i="15"/>
  <c r="AH120" i="15"/>
  <c r="AI120" i="15"/>
  <c r="AF121" i="15"/>
  <c r="AG121" i="15"/>
  <c r="AH121" i="15"/>
  <c r="AI121" i="15"/>
  <c r="AF122" i="15"/>
  <c r="AG122" i="15"/>
  <c r="AH122" i="15"/>
  <c r="AI122" i="15"/>
  <c r="AF123" i="15"/>
  <c r="AG123" i="15"/>
  <c r="AH123" i="15"/>
  <c r="AI123" i="15"/>
  <c r="AF124" i="15"/>
  <c r="AG124" i="15"/>
  <c r="AH124" i="15"/>
  <c r="AI124" i="15"/>
  <c r="AF125" i="15"/>
  <c r="AG125" i="15"/>
  <c r="AH125" i="15"/>
  <c r="AI125" i="15"/>
  <c r="AF126" i="15"/>
  <c r="AG126" i="15"/>
  <c r="AH126" i="15"/>
  <c r="AI126" i="15"/>
  <c r="AF127" i="15"/>
  <c r="AG127" i="15"/>
  <c r="AH127" i="15"/>
  <c r="AI127" i="15"/>
  <c r="AF128" i="15"/>
  <c r="AG128" i="15"/>
  <c r="AH128" i="15"/>
  <c r="AI128" i="15"/>
  <c r="AF129" i="15"/>
  <c r="AG129" i="15"/>
  <c r="AH129" i="15"/>
  <c r="AI129" i="15"/>
  <c r="AF130" i="15"/>
  <c r="AG130" i="15"/>
  <c r="AH130" i="15"/>
  <c r="AI130" i="15"/>
  <c r="AF131" i="15"/>
  <c r="AG131" i="15"/>
  <c r="AH131" i="15"/>
  <c r="AI131" i="15"/>
  <c r="AF132" i="15"/>
  <c r="AG132" i="15"/>
  <c r="AH132" i="15"/>
  <c r="AI132" i="15"/>
  <c r="AF133" i="15"/>
  <c r="AG133" i="15"/>
  <c r="AH133" i="15"/>
  <c r="AI133" i="15"/>
  <c r="AF134" i="15"/>
  <c r="AG134" i="15"/>
  <c r="AH134" i="15"/>
  <c r="AI134" i="15"/>
  <c r="AF135" i="15"/>
  <c r="AG135" i="15"/>
  <c r="AH135" i="15"/>
  <c r="AI135" i="15"/>
  <c r="AF136" i="15"/>
  <c r="AG136" i="15"/>
  <c r="AH136" i="15"/>
  <c r="AI136" i="15"/>
  <c r="AF137" i="15"/>
  <c r="AG137" i="15"/>
  <c r="AH137" i="15"/>
  <c r="AI137" i="15"/>
  <c r="AF138" i="15"/>
  <c r="AG138" i="15"/>
  <c r="AH138" i="15"/>
  <c r="AI138" i="15"/>
  <c r="AF139" i="15"/>
  <c r="AG139" i="15"/>
  <c r="AH139" i="15"/>
  <c r="AI139" i="15"/>
  <c r="AF140" i="15"/>
  <c r="AG140" i="15"/>
  <c r="AH140" i="15"/>
  <c r="AI140" i="15"/>
  <c r="AF141" i="15"/>
  <c r="AG141" i="15"/>
  <c r="AH141" i="15"/>
  <c r="AI141" i="15"/>
  <c r="AF142" i="15"/>
  <c r="AG142" i="15"/>
  <c r="AH142" i="15"/>
  <c r="AI142" i="15"/>
  <c r="AF143" i="15"/>
  <c r="AG143" i="15"/>
  <c r="AH143" i="15"/>
  <c r="AI143" i="15"/>
  <c r="AF144" i="15"/>
  <c r="AG144" i="15"/>
  <c r="AH144" i="15"/>
  <c r="AI144" i="15"/>
  <c r="AF145" i="15"/>
  <c r="AG145" i="15"/>
  <c r="AH145" i="15"/>
  <c r="AI145" i="15"/>
  <c r="AF146" i="15"/>
  <c r="AG146" i="15"/>
  <c r="AH146" i="15"/>
  <c r="AI146" i="15"/>
  <c r="AF147" i="15"/>
  <c r="AG147" i="15"/>
  <c r="AH147" i="15"/>
  <c r="AI147" i="15"/>
  <c r="AF148" i="15"/>
  <c r="AG148" i="15"/>
  <c r="AH148" i="15"/>
  <c r="AI148" i="15"/>
  <c r="AF149" i="15"/>
  <c r="AG149" i="15"/>
  <c r="AH149" i="15"/>
  <c r="AI149" i="15"/>
  <c r="AF150" i="15"/>
  <c r="AG150" i="15"/>
  <c r="AH150" i="15"/>
  <c r="AI150" i="15"/>
  <c r="AF151" i="15"/>
  <c r="AG151" i="15"/>
  <c r="AH151" i="15"/>
  <c r="AI151" i="15"/>
  <c r="AF152" i="15"/>
  <c r="AG152" i="15"/>
  <c r="AH152" i="15"/>
  <c r="AI152" i="15"/>
  <c r="AF153" i="15"/>
  <c r="AG153" i="15"/>
  <c r="AH153" i="15"/>
  <c r="AI153" i="15"/>
  <c r="AF154" i="15"/>
  <c r="AG154" i="15"/>
  <c r="AH154" i="15"/>
  <c r="AI154" i="15"/>
  <c r="AF155" i="15"/>
  <c r="AG155" i="15"/>
  <c r="AH155" i="15"/>
  <c r="AI155" i="15"/>
  <c r="AF156" i="15"/>
  <c r="AG156" i="15"/>
  <c r="AH156" i="15"/>
  <c r="AI156" i="15"/>
  <c r="AF157" i="15"/>
  <c r="AG157" i="15"/>
  <c r="AH157" i="15"/>
  <c r="AI157" i="15"/>
  <c r="AF158" i="15"/>
  <c r="AG158" i="15"/>
  <c r="AH158" i="15"/>
  <c r="AI158" i="15"/>
  <c r="AI2" i="15"/>
  <c r="AH2" i="15"/>
  <c r="AG2" i="15"/>
  <c r="AF2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769F15-6FC3-446A-BEC3-052BFF7A347F}" keepAlive="1" name="Zapytanie — 27_text_logs_full_output" description="Połączenie z zapytaniem „27_text_logs_full_output” w skoroszycie." type="5" refreshedVersion="8" background="1" saveData="1">
    <dbPr connection="Provider=Microsoft.Mashup.OleDb.1;Data Source=$Workbook$;Location=27_text_logs_full_output;Extended Properties=&quot;&quot;" command="SELECT * FROM [27_text_logs_full_output]"/>
  </connection>
  <connection id="2" xr16:uid="{42405E08-29CC-4194-B249-3819075121BB}" keepAlive="1" name="Zapytanie — 27_text_logs_full_output max" description="Połączenie z zapytaniem „27_text_logs_full_output max” w skoroszycie." type="5" refreshedVersion="8" background="1" saveData="1">
    <dbPr connection="Provider=Microsoft.Mashup.OleDb.1;Data Source=$Workbook$;Location=&quot;27_text_logs_full_output max&quot;;Extended Properties=&quot;&quot;" command="SELECT * FROM [27_text_logs_full_output max]"/>
  </connection>
  <connection id="3" xr16:uid="{4661A6BD-2C06-400C-9DCC-B79BEE9DFFF6}" keepAlive="1" name="Zapytanie — 27_text_logs_full_output merged" description="Połączenie z zapytaniem „27_text_logs_full_output merged” w skoroszycie." type="5" refreshedVersion="8" background="1" saveData="1">
    <dbPr connection="Provider=Microsoft.Mashup.OleDb.1;Data Source=$Workbook$;Location=&quot;27_text_logs_full_output merged&quot;;Extended Properties=&quot;&quot;" command="SELECT * FROM [27_text_logs_full_output merged]"/>
  </connection>
</connections>
</file>

<file path=xl/sharedStrings.xml><?xml version="1.0" encoding="utf-8"?>
<sst xmlns="http://schemas.openxmlformats.org/spreadsheetml/2006/main" count="30810" uniqueCount="4095">
  <si>
    <t>dataset_name</t>
  </si>
  <si>
    <t>kan_grid</t>
  </si>
  <si>
    <t>kan_grid_passed_parameter</t>
  </si>
  <si>
    <t>kan_degree</t>
  </si>
  <si>
    <t>kan_lam</t>
  </si>
  <si>
    <t>kan_width</t>
  </si>
  <si>
    <t>kan_params</t>
  </si>
  <si>
    <t>kan_time_difference</t>
  </si>
  <si>
    <t>kan_steps</t>
  </si>
  <si>
    <t>kan_train_acc</t>
  </si>
  <si>
    <t>kan_val_acc</t>
  </si>
  <si>
    <t>kan_test_acc</t>
  </si>
  <si>
    <t>mlp_test_acc</t>
  </si>
  <si>
    <t>mlp_val_acc</t>
  </si>
  <si>
    <t>mlp_train_acc</t>
  </si>
  <si>
    <t>mlp_steps</t>
  </si>
  <si>
    <t>mlp_time_difference</t>
  </si>
  <si>
    <t>mlp_params</t>
  </si>
  <si>
    <t>mlp_no_layers</t>
  </si>
  <si>
    <t>mlp_width_layers</t>
  </si>
  <si>
    <t>mlp2_test_acc</t>
  </si>
  <si>
    <t>mlp2_val_acc</t>
  </si>
  <si>
    <t>mlp2_train_acc</t>
  </si>
  <si>
    <t>mlp2_steps</t>
  </si>
  <si>
    <t>mlp2_time_difference</t>
  </si>
  <si>
    <t>mlp2_params</t>
  </si>
  <si>
    <t>no_layers2</t>
  </si>
  <si>
    <t>width_layers2</t>
  </si>
  <si>
    <t>Cancer</t>
  </si>
  <si>
    <t>[30, 22, 2]</t>
  </si>
  <si>
    <t>[30, 27, 2]</t>
  </si>
  <si>
    <t>[30, 32, 2]</t>
  </si>
  <si>
    <t>[30, 37, 2]</t>
  </si>
  <si>
    <t>[30, 42, 2]</t>
  </si>
  <si>
    <t>[30, 47, 2]</t>
  </si>
  <si>
    <t>[30, 52, 2]</t>
  </si>
  <si>
    <t>[30, 57, 2]</t>
  </si>
  <si>
    <t>[30, 62, 2]</t>
  </si>
  <si>
    <t>[30, 34, 35, 2]</t>
  </si>
  <si>
    <t>[30, 34, 40, 2]</t>
  </si>
  <si>
    <t>[30, 34, 45, 2]</t>
  </si>
  <si>
    <t>[30, 34, 50, 2]</t>
  </si>
  <si>
    <t>[30, 30, 30, 2]</t>
  </si>
  <si>
    <t>[30, 30, 35, 2]</t>
  </si>
  <si>
    <t>Iris</t>
  </si>
  <si>
    <t>[4, 10, 4, 3]</t>
  </si>
  <si>
    <t>[4, 10, 9, 3]</t>
  </si>
  <si>
    <t>[4, 12, 4, 3]</t>
  </si>
  <si>
    <t>[4, 12, 9, 3]</t>
  </si>
  <si>
    <t>[4, 3, 3]</t>
  </si>
  <si>
    <t>[4, 4, 4, 3]</t>
  </si>
  <si>
    <t>[4, 4, 9, 3]</t>
  </si>
  <si>
    <t>[4, 6, 4, 3]</t>
  </si>
  <si>
    <t>[4, 6, 9, 3]</t>
  </si>
  <si>
    <t>[4, 8, 3]</t>
  </si>
  <si>
    <t>[4, 8, 4, 3]</t>
  </si>
  <si>
    <t>[4, 8, 9, 3]</t>
  </si>
  <si>
    <t>Wine</t>
  </si>
  <si>
    <t>[13, 13, 13, 3]</t>
  </si>
  <si>
    <t>[13, 13, 18, 3]</t>
  </si>
  <si>
    <t>[13, 13, 23, 3]</t>
  </si>
  <si>
    <t>[13, 14, 3]</t>
  </si>
  <si>
    <t>[13, 15, 13, 3]</t>
  </si>
  <si>
    <t>[13, 15, 18, 3]</t>
  </si>
  <si>
    <t>[13, 15, 23, 3]</t>
  </si>
  <si>
    <t>[13, 17, 13, 3]</t>
  </si>
  <si>
    <t>[13, 17, 18, 3]</t>
  </si>
  <si>
    <t>[13, 17, 23, 3]</t>
  </si>
  <si>
    <t>[13, 19, 13, 3]</t>
  </si>
  <si>
    <t>[13, 19, 18, 3]</t>
  </si>
  <si>
    <t>[13, 19, 23, 3]</t>
  </si>
  <si>
    <t>[13, 19, 3]</t>
  </si>
  <si>
    <t>[13, 21, 13, 3]</t>
  </si>
  <si>
    <t>[13, 21, 18, 3]</t>
  </si>
  <si>
    <t>[13, 21, 23, 3]</t>
  </si>
  <si>
    <t>[13, 24, 3]</t>
  </si>
  <si>
    <t>[13, 9, 3]</t>
  </si>
  <si>
    <t>delme</t>
  </si>
  <si>
    <t>10</t>
  </si>
  <si>
    <t>3</t>
  </si>
  <si>
    <t>0</t>
  </si>
  <si>
    <t>11288,0</t>
  </si>
  <si>
    <t>786599017,0</t>
  </si>
  <si>
    <t>6086,0</t>
  </si>
  <si>
    <t>0,9911764860153198</t>
  </si>
  <si>
    <t>0,9883720874786377</t>
  </si>
  <si>
    <t>0,9720279574394226</t>
  </si>
  <si>
    <t>0,972027972027972</t>
  </si>
  <si>
    <t>0,9883720930232558</t>
  </si>
  <si>
    <t>1,0</t>
  </si>
  <si>
    <t>1010,0</t>
  </si>
  <si>
    <t>1289783858,0</t>
  </si>
  <si>
    <t>11024,0</t>
  </si>
  <si>
    <t>2,0</t>
  </si>
  <si>
    <t>66,0</t>
  </si>
  <si>
    <t>0,965034965034965</t>
  </si>
  <si>
    <t>0,9767441860465116</t>
  </si>
  <si>
    <t>0,9882352941176471</t>
  </si>
  <si>
    <t>101,0</t>
  </si>
  <si>
    <t>42663176,0</t>
  </si>
  <si>
    <t>11325,0</t>
  </si>
  <si>
    <t>67,0</t>
  </si>
  <si>
    <t>Cancer3103[30, 22, 2]</t>
  </si>
  <si>
    <t>13853,0</t>
  </si>
  <si>
    <t>600843040,0</t>
  </si>
  <si>
    <t>4116,0</t>
  </si>
  <si>
    <t>707,0</t>
  </si>
  <si>
    <t>867816343,0</t>
  </si>
  <si>
    <t>13544,0</t>
  </si>
  <si>
    <t>74,0</t>
  </si>
  <si>
    <t>0,9911764705882353</t>
  </si>
  <si>
    <t>42782694,0</t>
  </si>
  <si>
    <t>13877,0</t>
  </si>
  <si>
    <t>75,0</t>
  </si>
  <si>
    <t>Cancer3103[30, 27, 2]</t>
  </si>
  <si>
    <t>16418,0</t>
  </si>
  <si>
    <t>961813802,0</t>
  </si>
  <si>
    <t>4805,0</t>
  </si>
  <si>
    <t>0,9650349617004395</t>
  </si>
  <si>
    <t>0,951048951048951</t>
  </si>
  <si>
    <t>505,0</t>
  </si>
  <si>
    <t>1148301923,0</t>
  </si>
  <si>
    <t>16320,0</t>
  </si>
  <si>
    <t>82,0</t>
  </si>
  <si>
    <t>838,0</t>
  </si>
  <si>
    <t>2249604105,0</t>
  </si>
  <si>
    <t>16685,0</t>
  </si>
  <si>
    <t>83,0</t>
  </si>
  <si>
    <t>Cancer3103[30, 32, 2]</t>
  </si>
  <si>
    <t>[30, 32, 55, 2]</t>
  </si>
  <si>
    <t>45369,0</t>
  </si>
  <si>
    <t>6570381890,0</t>
  </si>
  <si>
    <t>12500,0</t>
  </si>
  <si>
    <t>0,970588207244873</t>
  </si>
  <si>
    <t>0,9651162624359131</t>
  </si>
  <si>
    <t>0,9510489702224731</t>
  </si>
  <si>
    <t>0,9790209790209791</t>
  </si>
  <si>
    <t>34323,0</t>
  </si>
  <si>
    <t>2217676184,0</t>
  </si>
  <si>
    <t>45300,0</t>
  </si>
  <si>
    <t>142,0</t>
  </si>
  <si>
    <t>0,993006993006993</t>
  </si>
  <si>
    <t>56499,0</t>
  </si>
  <si>
    <t>3697620338,0</t>
  </si>
  <si>
    <t>45905,0</t>
  </si>
  <si>
    <t>143,0</t>
  </si>
  <si>
    <t>Cancer3103[30, 32, 55, 2]</t>
  </si>
  <si>
    <t>[30, 32, 60, 2]</t>
  </si>
  <si>
    <t>48094,0</t>
  </si>
  <si>
    <t>4209462060,0</t>
  </si>
  <si>
    <t>7224,0</t>
  </si>
  <si>
    <t>0,9588235020637512</t>
  </si>
  <si>
    <t>0,9370629191398621</t>
  </si>
  <si>
    <t>34170,0</t>
  </si>
  <si>
    <t>2545977230,0</t>
  </si>
  <si>
    <t>47744,0</t>
  </si>
  <si>
    <t>146,0</t>
  </si>
  <si>
    <t>0,9370629370629371</t>
  </si>
  <si>
    <t>0,8953488372093024</t>
  </si>
  <si>
    <t>0,9147058823529411</t>
  </si>
  <si>
    <t>51,0</t>
  </si>
  <si>
    <t>1892840,0</t>
  </si>
  <si>
    <t>48365,0</t>
  </si>
  <si>
    <t>147,0</t>
  </si>
  <si>
    <t>Cancer3103[30, 32, 60, 2]</t>
  </si>
  <si>
    <t>[30, 34, 30, 2]</t>
  </si>
  <si>
    <t>33666,0</t>
  </si>
  <si>
    <t>2748295634,0</t>
  </si>
  <si>
    <t>5882,0</t>
  </si>
  <si>
    <t>0,9676470756530762</t>
  </si>
  <si>
    <t>0,9440559148788452</t>
  </si>
  <si>
    <t>31671,0</t>
  </si>
  <si>
    <t>1730248089,0</t>
  </si>
  <si>
    <t>33519,0</t>
  </si>
  <si>
    <t>121,0</t>
  </si>
  <si>
    <t>38435,0</t>
  </si>
  <si>
    <t>2135853456,0</t>
  </si>
  <si>
    <t>34040,0</t>
  </si>
  <si>
    <t>122,0</t>
  </si>
  <si>
    <t>Cancer3103[30, 34, 30, 2]</t>
  </si>
  <si>
    <t>36551,0</t>
  </si>
  <si>
    <t>2779251403,0</t>
  </si>
  <si>
    <t>5829,0</t>
  </si>
  <si>
    <t>0,9764705896377563</t>
  </si>
  <si>
    <t>42789,0</t>
  </si>
  <si>
    <t>2685937446,0</t>
  </si>
  <si>
    <t>36164,0</t>
  </si>
  <si>
    <t>126,0</t>
  </si>
  <si>
    <t>0,9647058823529412</t>
  </si>
  <si>
    <t>5761,0</t>
  </si>
  <si>
    <t>110581043,0</t>
  </si>
  <si>
    <t>36705,0</t>
  </si>
  <si>
    <t>127,0</t>
  </si>
  <si>
    <t>Cancer3103[30, 34, 35, 2]</t>
  </si>
  <si>
    <t>39436,0</t>
  </si>
  <si>
    <t>4670389731,0</t>
  </si>
  <si>
    <t>9385,0</t>
  </si>
  <si>
    <t>0,9823529124259949</t>
  </si>
  <si>
    <t>0,9767441749572754</t>
  </si>
  <si>
    <t>0,9300699234008789</t>
  </si>
  <si>
    <t>0,9705882352941176</t>
  </si>
  <si>
    <t>5341,0</t>
  </si>
  <si>
    <t>105125228,0</t>
  </si>
  <si>
    <t>38909,0</t>
  </si>
  <si>
    <t>131,0</t>
  </si>
  <si>
    <t>0,958041958041958</t>
  </si>
  <si>
    <t>35494,0</t>
  </si>
  <si>
    <t>2257080441,0</t>
  </si>
  <si>
    <t>39470,0</t>
  </si>
  <si>
    <t>132,0</t>
  </si>
  <si>
    <t>Cancer3103[30, 34, 40, 2]</t>
  </si>
  <si>
    <t>18983,0</t>
  </si>
  <si>
    <t>1577328709,0</t>
  </si>
  <si>
    <t>6946,0</t>
  </si>
  <si>
    <t>2469055173,0</t>
  </si>
  <si>
    <t>18959,0</t>
  </si>
  <si>
    <t>89,0</t>
  </si>
  <si>
    <t>0,9852941176470589</t>
  </si>
  <si>
    <t>613,0</t>
  </si>
  <si>
    <t>1764485957,0</t>
  </si>
  <si>
    <t>19352,0</t>
  </si>
  <si>
    <t>90,0</t>
  </si>
  <si>
    <t>Cancer3103[30, 37, 2]</t>
  </si>
  <si>
    <t>21548,0</t>
  </si>
  <si>
    <t>1837574386,0</t>
  </si>
  <si>
    <t>6425,0</t>
  </si>
  <si>
    <t>1813980324,0</t>
  </si>
  <si>
    <t>21377,0</t>
  </si>
  <si>
    <t>95,0</t>
  </si>
  <si>
    <t>0,9823529411764705</t>
  </si>
  <si>
    <t>1924,0</t>
  </si>
  <si>
    <t>6198424594,0</t>
  </si>
  <si>
    <t>21794,0</t>
  </si>
  <si>
    <t>96,0</t>
  </si>
  <si>
    <t>Cancer3103[30, 42, 2]</t>
  </si>
  <si>
    <t>24113,0</t>
  </si>
  <si>
    <t>2392201210,0</t>
  </si>
  <si>
    <t>8091,0</t>
  </si>
  <si>
    <t>0,9580419659614563</t>
  </si>
  <si>
    <t>0,986013986013986</t>
  </si>
  <si>
    <t>606,0</t>
  </si>
  <si>
    <t>2737423799,0</t>
  </si>
  <si>
    <t>23939,0</t>
  </si>
  <si>
    <t>0,9941176470588236</t>
  </si>
  <si>
    <t>175344188,0</t>
  </si>
  <si>
    <t>24380,0</t>
  </si>
  <si>
    <t>102,0</t>
  </si>
  <si>
    <t>Cancer3103[30, 47, 2]</t>
  </si>
  <si>
    <t>26678,0</t>
  </si>
  <si>
    <t>1496209047,0</t>
  </si>
  <si>
    <t>4752,0</t>
  </si>
  <si>
    <t>2883424595,0</t>
  </si>
  <si>
    <t>26645,0</t>
  </si>
  <si>
    <t>107,0</t>
  </si>
  <si>
    <t>0,9534883720930233</t>
  </si>
  <si>
    <t>190140079,0</t>
  </si>
  <si>
    <t>27110,0</t>
  </si>
  <si>
    <t>108,0</t>
  </si>
  <si>
    <t>Cancer3103[30, 52, 2]</t>
  </si>
  <si>
    <t>29243,0</t>
  </si>
  <si>
    <t>1181654212,0</t>
  </si>
  <si>
    <t>3341,0</t>
  </si>
  <si>
    <t>0,9411764740943909</t>
  </si>
  <si>
    <t>404,0</t>
  </si>
  <si>
    <t>1770016905,0</t>
  </si>
  <si>
    <t>29010,0</t>
  </si>
  <si>
    <t>112,0</t>
  </si>
  <si>
    <t>0,9651162790697675</t>
  </si>
  <si>
    <t>0,9970588235294118</t>
  </si>
  <si>
    <t>189909009,0</t>
  </si>
  <si>
    <t>29495,0</t>
  </si>
  <si>
    <t>113,0</t>
  </si>
  <si>
    <t>Cancer3103[30, 57, 2]</t>
  </si>
  <si>
    <t>8</t>
  </si>
  <si>
    <t>2</t>
  </si>
  <si>
    <t>9176,0</t>
  </si>
  <si>
    <t>401952003,0</t>
  </si>
  <si>
    <t>1785,0</t>
  </si>
  <si>
    <t>100000,0</t>
  </si>
  <si>
    <t>3539097677,0</t>
  </si>
  <si>
    <t>9029,0</t>
  </si>
  <si>
    <t>59,0</t>
  </si>
  <si>
    <t>116832,0</t>
  </si>
  <si>
    <t>3916795221,0</t>
  </si>
  <si>
    <t>9302,0</t>
  </si>
  <si>
    <t>60,0</t>
  </si>
  <si>
    <t>Cancer382[30, 22, 2]</t>
  </si>
  <si>
    <t>11261,0</t>
  </si>
  <si>
    <t>337790871,0</t>
  </si>
  <si>
    <t>1364,0</t>
  </si>
  <si>
    <t>0,9418604373931885</t>
  </si>
  <si>
    <t>0,9418604651162791</t>
  </si>
  <si>
    <t>3606701699,0</t>
  </si>
  <si>
    <t>3828513402,0</t>
  </si>
  <si>
    <t>Cancer382[30, 27, 2]</t>
  </si>
  <si>
    <t>24242,0</t>
  </si>
  <si>
    <t>1683048885,0</t>
  </si>
  <si>
    <t>4403,0</t>
  </si>
  <si>
    <t>0,9930070042610168</t>
  </si>
  <si>
    <t>1954436882,0</t>
  </si>
  <si>
    <t>188693004,0</t>
  </si>
  <si>
    <t>Cancer382[30, 30, 30, 2]</t>
  </si>
  <si>
    <t>26327,0</t>
  </si>
  <si>
    <t>696053923,0</t>
  </si>
  <si>
    <t>1643,0</t>
  </si>
  <si>
    <t>303,0</t>
  </si>
  <si>
    <t>1103956378,0</t>
  </si>
  <si>
    <t>26184,0</t>
  </si>
  <si>
    <t>106,0</t>
  </si>
  <si>
    <t>200325821,0</t>
  </si>
  <si>
    <t>Cancer382[30, 30, 35, 2]</t>
  </si>
  <si>
    <t>[30, 30, 40, 2]</t>
  </si>
  <si>
    <t>28412,0</t>
  </si>
  <si>
    <t>413887172,0</t>
  </si>
  <si>
    <t>943,0</t>
  </si>
  <si>
    <t>1668516917,0</t>
  </si>
  <si>
    <t>28052,0</t>
  </si>
  <si>
    <t>110,0</t>
  </si>
  <si>
    <t>204027271,0</t>
  </si>
  <si>
    <t>28529,0</t>
  </si>
  <si>
    <t>111,0</t>
  </si>
  <si>
    <t>Cancer382[30, 30, 40, 2]</t>
  </si>
  <si>
    <t>[30, 30, 45, 2]</t>
  </si>
  <si>
    <t>30497,0</t>
  </si>
  <si>
    <t>451899943,0</t>
  </si>
  <si>
    <t>1082,0</t>
  </si>
  <si>
    <t>1795997548,0</t>
  </si>
  <si>
    <t>30477,0</t>
  </si>
  <si>
    <t>115,0</t>
  </si>
  <si>
    <t>2158,0</t>
  </si>
  <si>
    <t>10795056203,0</t>
  </si>
  <si>
    <t>30974,0</t>
  </si>
  <si>
    <t>116,0</t>
  </si>
  <si>
    <t>Cancer382[30, 30, 45, 2]</t>
  </si>
  <si>
    <t>[30, 30, 50, 2]</t>
  </si>
  <si>
    <t>32582,0</t>
  </si>
  <si>
    <t>461312539,0</t>
  </si>
  <si>
    <t>985,0</t>
  </si>
  <si>
    <t>0,9790209531784058</t>
  </si>
  <si>
    <t>2446368040,0</t>
  </si>
  <si>
    <t>32489,0</t>
  </si>
  <si>
    <t>119,0</t>
  </si>
  <si>
    <t>212,0</t>
  </si>
  <si>
    <t>786429648,0</t>
  </si>
  <si>
    <t>33002,0</t>
  </si>
  <si>
    <t>120,0</t>
  </si>
  <si>
    <t>Cancer382[30, 30, 50, 2]</t>
  </si>
  <si>
    <t>[30, 30, 55, 2]</t>
  </si>
  <si>
    <t>34667,0</t>
  </si>
  <si>
    <t>471790830,0</t>
  </si>
  <si>
    <t>995,0</t>
  </si>
  <si>
    <t>2064080497,0</t>
  </si>
  <si>
    <t>34565,0</t>
  </si>
  <si>
    <t>123,0</t>
  </si>
  <si>
    <t>223063822,0</t>
  </si>
  <si>
    <t>35094,0</t>
  </si>
  <si>
    <t>124,0</t>
  </si>
  <si>
    <t>Cancer382[30, 30, 55, 2]</t>
  </si>
  <si>
    <t>[30, 30, 60, 2]</t>
  </si>
  <si>
    <t>36752,0</t>
  </si>
  <si>
    <t>495729400,0</t>
  </si>
  <si>
    <t>1000,0</t>
  </si>
  <si>
    <t>402,0</t>
  </si>
  <si>
    <t>2054961915,0</t>
  </si>
  <si>
    <t>232790840,0</t>
  </si>
  <si>
    <t>37250,0</t>
  </si>
  <si>
    <t>128,0</t>
  </si>
  <si>
    <t>Cancer382[30, 30, 60, 2]</t>
  </si>
  <si>
    <t>13346,0</t>
  </si>
  <si>
    <t>832315228,0</t>
  </si>
  <si>
    <t>3002,0</t>
  </si>
  <si>
    <t>52878,0</t>
  </si>
  <si>
    <t>4796675047,0</t>
  </si>
  <si>
    <t>13215,0</t>
  </si>
  <si>
    <t>73,0</t>
  </si>
  <si>
    <t>56751,0</t>
  </si>
  <si>
    <t>6717461120,0</t>
  </si>
  <si>
    <t>Cancer382[30, 32, 2]</t>
  </si>
  <si>
    <t>[30, 32, 30, 2]</t>
  </si>
  <si>
    <t>25804,0</t>
  </si>
  <si>
    <t>643895513,0</t>
  </si>
  <si>
    <t>1668,0</t>
  </si>
  <si>
    <t>2645494844,0</t>
  </si>
  <si>
    <t>25727,0</t>
  </si>
  <si>
    <t>105,0</t>
  </si>
  <si>
    <t>201392418,0</t>
  </si>
  <si>
    <t>Cancer382[30, 32, 30, 2]</t>
  </si>
  <si>
    <t>[30, 32, 35, 2]</t>
  </si>
  <si>
    <t>28019,0</t>
  </si>
  <si>
    <t>614500697,0</t>
  </si>
  <si>
    <t>1420,0</t>
  </si>
  <si>
    <t>2319388552,0</t>
  </si>
  <si>
    <t>27579,0</t>
  </si>
  <si>
    <t>109,0</t>
  </si>
  <si>
    <t>215937110,0</t>
  </si>
  <si>
    <t>Cancer382[30, 32, 35, 2]</t>
  </si>
  <si>
    <t>[30, 32, 40, 2]</t>
  </si>
  <si>
    <t>30234,0</t>
  </si>
  <si>
    <t>546841943,0</t>
  </si>
  <si>
    <t>1207,0</t>
  </si>
  <si>
    <t>1812137867,0</t>
  </si>
  <si>
    <t>29984,0</t>
  </si>
  <si>
    <t>114,0</t>
  </si>
  <si>
    <t>235901557,0</t>
  </si>
  <si>
    <t>Cancer382[30, 32, 40, 2]</t>
  </si>
  <si>
    <t>[30, 32, 45, 2]</t>
  </si>
  <si>
    <t>32449,0</t>
  </si>
  <si>
    <t>464561714,0</t>
  </si>
  <si>
    <t>973,0</t>
  </si>
  <si>
    <t>2561164971,0</t>
  </si>
  <si>
    <t>31980,0</t>
  </si>
  <si>
    <t>118,0</t>
  </si>
  <si>
    <t>231817931,0</t>
  </si>
  <si>
    <t>Cancer382[30, 32, 45, 2]</t>
  </si>
  <si>
    <t>[30, 32, 50, 2]</t>
  </si>
  <si>
    <t>34664,0</t>
  </si>
  <si>
    <t>822890473,0</t>
  </si>
  <si>
    <t>1672,0</t>
  </si>
  <si>
    <t>2149572467,0</t>
  </si>
  <si>
    <t>245671455,0</t>
  </si>
  <si>
    <t>Cancer382[30, 32, 50, 2]</t>
  </si>
  <si>
    <t>36879,0</t>
  </si>
  <si>
    <t>467069507,0</t>
  </si>
  <si>
    <t>988,0</t>
  </si>
  <si>
    <t>2021355656,0</t>
  </si>
  <si>
    <t>226264890,0</t>
  </si>
  <si>
    <t>Cancer382[30, 32, 55, 2]</t>
  </si>
  <si>
    <t>39094,0</t>
  </si>
  <si>
    <t>459974597,0</t>
  </si>
  <si>
    <t>886,0</t>
  </si>
  <si>
    <t>2162790130,0</t>
  </si>
  <si>
    <t>242441638,0</t>
  </si>
  <si>
    <t>Cancer382[30, 32, 60, 2]</t>
  </si>
  <si>
    <t>27366,0</t>
  </si>
  <si>
    <t>1171426424,0</t>
  </si>
  <si>
    <t>2770,0</t>
  </si>
  <si>
    <t>2021773920,0</t>
  </si>
  <si>
    <t>206799919,0</t>
  </si>
  <si>
    <t>Cancer382[30, 34, 30, 2]</t>
  </si>
  <si>
    <t>29711,0</t>
  </si>
  <si>
    <t>548381362,0</t>
  </si>
  <si>
    <t>1218,0</t>
  </si>
  <si>
    <t>1216852347,0</t>
  </si>
  <si>
    <t>5041,0</t>
  </si>
  <si>
    <t>22238108769,0</t>
  </si>
  <si>
    <t>Cancer382[30, 34, 35, 2]</t>
  </si>
  <si>
    <t>32056,0</t>
  </si>
  <si>
    <t>463118432,0</t>
  </si>
  <si>
    <t>1097,0</t>
  </si>
  <si>
    <t>0,9440559440559441</t>
  </si>
  <si>
    <t>2443560042,0</t>
  </si>
  <si>
    <t>229648029,0</t>
  </si>
  <si>
    <t>Cancer382[30, 34, 40, 2]</t>
  </si>
  <si>
    <t>34401,0</t>
  </si>
  <si>
    <t>481221478,0</t>
  </si>
  <si>
    <t>990,0</t>
  </si>
  <si>
    <t>2042482490,0</t>
  </si>
  <si>
    <t>250987100,0</t>
  </si>
  <si>
    <t>Cancer382[30, 34, 45, 2]</t>
  </si>
  <si>
    <t>36746,0</t>
  </si>
  <si>
    <t>412834170,0</t>
  </si>
  <si>
    <t>864,0</t>
  </si>
  <si>
    <t>2677940328,0</t>
  </si>
  <si>
    <t>245405677,0</t>
  </si>
  <si>
    <t>Cancer382[30, 34, 50, 2]</t>
  </si>
  <si>
    <t>[30, 34, 55, 2]</t>
  </si>
  <si>
    <t>39091,0</t>
  </si>
  <si>
    <t>472312426,0</t>
  </si>
  <si>
    <t>868,0</t>
  </si>
  <si>
    <t>232,0</t>
  </si>
  <si>
    <t>1048658386,0</t>
  </si>
  <si>
    <t>255453906,0</t>
  </si>
  <si>
    <t>Cancer382[30, 34, 55, 2]</t>
  </si>
  <si>
    <t>[30, 34, 60, 2]</t>
  </si>
  <si>
    <t>41436,0</t>
  </si>
  <si>
    <t>278748231,0</t>
  </si>
  <si>
    <t>582,0</t>
  </si>
  <si>
    <t>0,9160839319229126</t>
  </si>
  <si>
    <t>0,916083916083916</t>
  </si>
  <si>
    <t>1369667192,0</t>
  </si>
  <si>
    <t>41177,0</t>
  </si>
  <si>
    <t>135,0</t>
  </si>
  <si>
    <t>0,9302325581395349</t>
  </si>
  <si>
    <t>227646817,0</t>
  </si>
  <si>
    <t>41754,0</t>
  </si>
  <si>
    <t>136,0</t>
  </si>
  <si>
    <t>Cancer382[30, 34, 60, 2]</t>
  </si>
  <si>
    <t>[30, 36, 30, 2]</t>
  </si>
  <si>
    <t>28928,0</t>
  </si>
  <si>
    <t>393727432,0</t>
  </si>
  <si>
    <t>958,0</t>
  </si>
  <si>
    <t>0,9090909090909091</t>
  </si>
  <si>
    <t>1117616768,0</t>
  </si>
  <si>
    <t>182278325,0</t>
  </si>
  <si>
    <t>Cancer382[30, 36, 30, 2]</t>
  </si>
  <si>
    <t>[30, 36, 35, 2]</t>
  </si>
  <si>
    <t>31403,0</t>
  </si>
  <si>
    <t>279754770,0</t>
  </si>
  <si>
    <t>642,0</t>
  </si>
  <si>
    <t>1131446759,0</t>
  </si>
  <si>
    <t>203131181,0</t>
  </si>
  <si>
    <t>31475,0</t>
  </si>
  <si>
    <t>117,0</t>
  </si>
  <si>
    <t>Cancer382[30, 36, 35, 2]</t>
  </si>
  <si>
    <t>[30, 36, 40, 2]</t>
  </si>
  <si>
    <t>33878,0</t>
  </si>
  <si>
    <t>282333185,0</t>
  </si>
  <si>
    <t>622,0</t>
  </si>
  <si>
    <t>0,9230769276618958</t>
  </si>
  <si>
    <t>0,9230769230769231</t>
  </si>
  <si>
    <t>202,0</t>
  </si>
  <si>
    <t>690026286,0</t>
  </si>
  <si>
    <t>210932193,0</t>
  </si>
  <si>
    <t>Cancer382[30, 36, 40, 2]</t>
  </si>
  <si>
    <t>[30, 36, 45, 2]</t>
  </si>
  <si>
    <t>36353,0</t>
  </si>
  <si>
    <t>318034121,0</t>
  </si>
  <si>
    <t>660,0</t>
  </si>
  <si>
    <t>1244938937,0</t>
  </si>
  <si>
    <t>224165659,0</t>
  </si>
  <si>
    <t>Cancer382[30, 36, 45, 2]</t>
  </si>
  <si>
    <t>[30, 36, 50, 2]</t>
  </si>
  <si>
    <t>38828,0</t>
  </si>
  <si>
    <t>331748646,0</t>
  </si>
  <si>
    <t>661,0</t>
  </si>
  <si>
    <t>731720046,0</t>
  </si>
  <si>
    <t>38352,0</t>
  </si>
  <si>
    <t>130,0</t>
  </si>
  <si>
    <t>230479860,0</t>
  </si>
  <si>
    <t>Cancer382[30, 36, 50, 2]</t>
  </si>
  <si>
    <t>[30, 36, 55, 2]</t>
  </si>
  <si>
    <t>41303,0</t>
  </si>
  <si>
    <t>375933495,0</t>
  </si>
  <si>
    <t>704,0</t>
  </si>
  <si>
    <t>804927659,0</t>
  </si>
  <si>
    <t>232948920,0</t>
  </si>
  <si>
    <t>Cancer382[30, 36, 55, 2]</t>
  </si>
  <si>
    <t>[30, 36, 60, 2]</t>
  </si>
  <si>
    <t>43778,0</t>
  </si>
  <si>
    <t>311870283,0</t>
  </si>
  <si>
    <t>929,0</t>
  </si>
  <si>
    <t>0,9860140085220337</t>
  </si>
  <si>
    <t>238515452,0</t>
  </si>
  <si>
    <t>43509,0</t>
  </si>
  <si>
    <t>139,0</t>
  </si>
  <si>
    <t>250779974,0</t>
  </si>
  <si>
    <t>44102,0</t>
  </si>
  <si>
    <t>140,0</t>
  </si>
  <si>
    <t>Cancer382[30, 36, 60, 2]</t>
  </si>
  <si>
    <t>15431,0</t>
  </si>
  <si>
    <t>20568915855,0</t>
  </si>
  <si>
    <t>4680,0</t>
  </si>
  <si>
    <t>16400959486,0</t>
  </si>
  <si>
    <t>15249,0</t>
  </si>
  <si>
    <t>79,0</t>
  </si>
  <si>
    <t>4276,0</t>
  </si>
  <si>
    <t>14150755118,0</t>
  </si>
  <si>
    <t>15602,0</t>
  </si>
  <si>
    <t>80,0</t>
  </si>
  <si>
    <t>Cancer382[30, 37, 2]</t>
  </si>
  <si>
    <t>[30, 38, 30, 2]</t>
  </si>
  <si>
    <t>30490,0</t>
  </si>
  <si>
    <t>494592904,0</t>
  </si>
  <si>
    <t>1793,0</t>
  </si>
  <si>
    <t>190182462,0</t>
  </si>
  <si>
    <t>47964372,0</t>
  </si>
  <si>
    <t>Cancer382[30, 38, 30, 2]</t>
  </si>
  <si>
    <t>[30, 38, 35, 2]</t>
  </si>
  <si>
    <t>33095,0</t>
  </si>
  <si>
    <t>463891244,0</t>
  </si>
  <si>
    <t>1567,0</t>
  </si>
  <si>
    <t>243857199,0</t>
  </si>
  <si>
    <t>50556338,0</t>
  </si>
  <si>
    <t>Cancer382[30, 38, 35, 2]</t>
  </si>
  <si>
    <t>[30, 38, 40, 2]</t>
  </si>
  <si>
    <t>35700,0</t>
  </si>
  <si>
    <t>405743027,0</t>
  </si>
  <si>
    <t>1298,0</t>
  </si>
  <si>
    <t>208569153,0</t>
  </si>
  <si>
    <t>35627,0</t>
  </si>
  <si>
    <t>125,0</t>
  </si>
  <si>
    <t>53742215,0</t>
  </si>
  <si>
    <t>Cancer382[30, 38, 40, 2]</t>
  </si>
  <si>
    <t>[30, 38, 45, 2]</t>
  </si>
  <si>
    <t>38305,0</t>
  </si>
  <si>
    <t>299605414,0</t>
  </si>
  <si>
    <t>898,0</t>
  </si>
  <si>
    <t>162915936,0</t>
  </si>
  <si>
    <t>37799,0</t>
  </si>
  <si>
    <t>129,0</t>
  </si>
  <si>
    <t>56904856,0</t>
  </si>
  <si>
    <t>Cancer382[30, 38, 45, 2]</t>
  </si>
  <si>
    <t>[30, 38, 50, 2]</t>
  </si>
  <si>
    <t>40910,0</t>
  </si>
  <si>
    <t>338056608,0</t>
  </si>
  <si>
    <t>977,0</t>
  </si>
  <si>
    <t>224958516,0</t>
  </si>
  <si>
    <t>40604,0</t>
  </si>
  <si>
    <t>134,0</t>
  </si>
  <si>
    <t>60251732,0</t>
  </si>
  <si>
    <t>Cancer382[30, 38, 50, 2]</t>
  </si>
  <si>
    <t>[30, 38, 55, 2]</t>
  </si>
  <si>
    <t>43515,0</t>
  </si>
  <si>
    <t>385801307,0</t>
  </si>
  <si>
    <t>1054,0</t>
  </si>
  <si>
    <t>241528834,0</t>
  </si>
  <si>
    <t>61782824,0</t>
  </si>
  <si>
    <t>Cancer382[30, 38, 55, 2]</t>
  </si>
  <si>
    <t>[30, 38, 60, 2]</t>
  </si>
  <si>
    <t>46120,0</t>
  </si>
  <si>
    <t>341505105,0</t>
  </si>
  <si>
    <t>923,0</t>
  </si>
  <si>
    <t>186542927,0</t>
  </si>
  <si>
    <t>61608889,0</t>
  </si>
  <si>
    <t>46514,0</t>
  </si>
  <si>
    <t>144,0</t>
  </si>
  <si>
    <t>Cancer382[30, 38, 60, 2]</t>
  </si>
  <si>
    <t>17516,0</t>
  </si>
  <si>
    <t>215895587,0</t>
  </si>
  <si>
    <t>955,0</t>
  </si>
  <si>
    <t>0,9382352941176471</t>
  </si>
  <si>
    <t>13,0</t>
  </si>
  <si>
    <t>45423438,0</t>
  </si>
  <si>
    <t>17427,0</t>
  </si>
  <si>
    <t>85,0</t>
  </si>
  <si>
    <t>0,9264705882352942</t>
  </si>
  <si>
    <t>14,0</t>
  </si>
  <si>
    <t>53445086,0</t>
  </si>
  <si>
    <t>17804,0</t>
  </si>
  <si>
    <t>86,0</t>
  </si>
  <si>
    <t>Cancer382[30, 42, 2]</t>
  </si>
  <si>
    <t>19601,0</t>
  </si>
  <si>
    <t>1597258665,0</t>
  </si>
  <si>
    <t>0,9300699300699301</t>
  </si>
  <si>
    <t>0,9352941176470588</t>
  </si>
  <si>
    <t>15,0</t>
  </si>
  <si>
    <t>82874245,0</t>
  </si>
  <si>
    <t>48454417,0</t>
  </si>
  <si>
    <t>19749,0</t>
  </si>
  <si>
    <t>91,0</t>
  </si>
  <si>
    <t>Cancer382[30, 47, 2]</t>
  </si>
  <si>
    <t>21686,0</t>
  </si>
  <si>
    <t>213861971,0</t>
  </si>
  <si>
    <t>804,0</t>
  </si>
  <si>
    <t>0,9882352948188782</t>
  </si>
  <si>
    <t>11,0</t>
  </si>
  <si>
    <t>46062092,0</t>
  </si>
  <si>
    <t>0,9411764705882353</t>
  </si>
  <si>
    <t>71035453,0</t>
  </si>
  <si>
    <t>Cancer382[30, 52, 2]</t>
  </si>
  <si>
    <t>23771,0</t>
  </si>
  <si>
    <t>474572683,0</t>
  </si>
  <si>
    <t>1667,0</t>
  </si>
  <si>
    <t>541,0</t>
  </si>
  <si>
    <t>6707430267,0</t>
  </si>
  <si>
    <t>23502,0</t>
  </si>
  <si>
    <t>100,0</t>
  </si>
  <si>
    <t>12,0</t>
  </si>
  <si>
    <t>65200440,0</t>
  </si>
  <si>
    <t>Cancer382[30, 57, 2]</t>
  </si>
  <si>
    <t>25856,0</t>
  </si>
  <si>
    <t>32343055818,0</t>
  </si>
  <si>
    <t>613812490,0</t>
  </si>
  <si>
    <t>104,0</t>
  </si>
  <si>
    <t>799877630,0</t>
  </si>
  <si>
    <t>Cancer382[30, 62, 2]</t>
  </si>
  <si>
    <t>5</t>
  </si>
  <si>
    <t>34271,0</t>
  </si>
  <si>
    <t>5995324821,0</t>
  </si>
  <si>
    <t>10234,0</t>
  </si>
  <si>
    <t>119836,0</t>
  </si>
  <si>
    <t>7958847742,0</t>
  </si>
  <si>
    <t>69102,0</t>
  </si>
  <si>
    <t>4552762317,0</t>
  </si>
  <si>
    <t>Cancer5102[30, 34, 35, 2]</t>
  </si>
  <si>
    <t>36976,0</t>
  </si>
  <si>
    <t>238400726,0</t>
  </si>
  <si>
    <t>450,0</t>
  </si>
  <si>
    <t>66841,0</t>
  </si>
  <si>
    <t>4554180593,0</t>
  </si>
  <si>
    <t>46833,0</t>
  </si>
  <si>
    <t>2791918634,0</t>
  </si>
  <si>
    <t>Cancer5102[30, 34, 40, 2]</t>
  </si>
  <si>
    <t>39681,0</t>
  </si>
  <si>
    <t>211091571,0</t>
  </si>
  <si>
    <t>371,0</t>
  </si>
  <si>
    <t>32135,0</t>
  </si>
  <si>
    <t>2233780173,0</t>
  </si>
  <si>
    <t>7563855325,0</t>
  </si>
  <si>
    <t>40035,0</t>
  </si>
  <si>
    <t>133,0</t>
  </si>
  <si>
    <t>Cancer5102[30, 34, 45, 2]</t>
  </si>
  <si>
    <t>42386,0</t>
  </si>
  <si>
    <t>169496486,0</t>
  </si>
  <si>
    <t>291,0</t>
  </si>
  <si>
    <t>18439,0</t>
  </si>
  <si>
    <t>19400546794,0</t>
  </si>
  <si>
    <t>42335,0</t>
  </si>
  <si>
    <t>137,0</t>
  </si>
  <si>
    <t>15905,0</t>
  </si>
  <si>
    <t>20398178933,0</t>
  </si>
  <si>
    <t>42920,0</t>
  </si>
  <si>
    <t>138,0</t>
  </si>
  <si>
    <t>Cancer5102[30, 34, 50, 2]</t>
  </si>
  <si>
    <t>45091,0</t>
  </si>
  <si>
    <t>160216920,0</t>
  </si>
  <si>
    <t>298,0</t>
  </si>
  <si>
    <t>0,9534883499145508</t>
  </si>
  <si>
    <t>0,9186046511627907</t>
  </si>
  <si>
    <t>1859549377,0</t>
  </si>
  <si>
    <t>44699,0</t>
  </si>
  <si>
    <t>141,0</t>
  </si>
  <si>
    <t>299583607,0</t>
  </si>
  <si>
    <t>Cancer5102[30, 34, 55, 2]</t>
  </si>
  <si>
    <t>47796,0</t>
  </si>
  <si>
    <t>157391763,0</t>
  </si>
  <si>
    <t>272,0</t>
  </si>
  <si>
    <t>1879158705,0</t>
  </si>
  <si>
    <t>332551178,0</t>
  </si>
  <si>
    <t>Cancer5102[30, 34, 60, 2]</t>
  </si>
  <si>
    <t>33368,0</t>
  </si>
  <si>
    <t>282606993,0</t>
  </si>
  <si>
    <t>1364113275,0</t>
  </si>
  <si>
    <t>244001041,0</t>
  </si>
  <si>
    <t>Cancer5102[30, 36, 30, 2]</t>
  </si>
  <si>
    <t>36223,0</t>
  </si>
  <si>
    <t>219122047,0</t>
  </si>
  <si>
    <t>433,0</t>
  </si>
  <si>
    <t>2199785790,0</t>
  </si>
  <si>
    <t>263402516,0</t>
  </si>
  <si>
    <t>Cancer5102[30, 36, 35, 2]</t>
  </si>
  <si>
    <t>39078,0</t>
  </si>
  <si>
    <t>195547319,0</t>
  </si>
  <si>
    <t>493,0</t>
  </si>
  <si>
    <t>1547250111,0</t>
  </si>
  <si>
    <t>269477148,0</t>
  </si>
  <si>
    <t>Cancer5102[30, 36, 40, 2]</t>
  </si>
  <si>
    <t>41933,0</t>
  </si>
  <si>
    <t>132812050,0</t>
  </si>
  <si>
    <t>293,0</t>
  </si>
  <si>
    <t>1364174438,0</t>
  </si>
  <si>
    <t>236926751,0</t>
  </si>
  <si>
    <t>Cancer5102[30, 36, 45, 2]</t>
  </si>
  <si>
    <t>44788,0</t>
  </si>
  <si>
    <t>237867951,0</t>
  </si>
  <si>
    <t>490,0</t>
  </si>
  <si>
    <t>1461485364,0</t>
  </si>
  <si>
    <t>258050468,0</t>
  </si>
  <si>
    <t>Cancer5102[30, 36, 50, 2]</t>
  </si>
  <si>
    <t>47643,0</t>
  </si>
  <si>
    <t>151764214,0</t>
  </si>
  <si>
    <t>277,0</t>
  </si>
  <si>
    <t>2032338794,0</t>
  </si>
  <si>
    <t>47127,0</t>
  </si>
  <si>
    <t>145,0</t>
  </si>
  <si>
    <t>290221793,0</t>
  </si>
  <si>
    <t>Cancer5102[30, 36, 55, 2]</t>
  </si>
  <si>
    <t>50498,0</t>
  </si>
  <si>
    <t>156040795,0</t>
  </si>
  <si>
    <t>263,0</t>
  </si>
  <si>
    <t>3079066976,0</t>
  </si>
  <si>
    <t>50252,0</t>
  </si>
  <si>
    <t>150,0</t>
  </si>
  <si>
    <t>363966591,0</t>
  </si>
  <si>
    <t>50889,0</t>
  </si>
  <si>
    <t>151,0</t>
  </si>
  <si>
    <t>Cancer5102[30, 36, 60, 2]</t>
  </si>
  <si>
    <t>35170,0</t>
  </si>
  <si>
    <t>245382507,0</t>
  </si>
  <si>
    <t>517,0</t>
  </si>
  <si>
    <t>2273758089,0</t>
  </si>
  <si>
    <t>280717776,0</t>
  </si>
  <si>
    <t>Cancer5102[30, 38, 30, 2]</t>
  </si>
  <si>
    <t>38175,0</t>
  </si>
  <si>
    <t>229970505,0</t>
  </si>
  <si>
    <t>416,0</t>
  </si>
  <si>
    <t>2376705622,0</t>
  </si>
  <si>
    <t>310103390,0</t>
  </si>
  <si>
    <t>Cancer5102[30, 38, 35, 2]</t>
  </si>
  <si>
    <t>41180,0</t>
  </si>
  <si>
    <t>178942123,0</t>
  </si>
  <si>
    <t>296,0</t>
  </si>
  <si>
    <t>2636601680,0</t>
  </si>
  <si>
    <t>303791726,0</t>
  </si>
  <si>
    <t>Cancer5102[30, 38, 40, 2]</t>
  </si>
  <si>
    <t>44185,0</t>
  </si>
  <si>
    <t>127140250,0</t>
  </si>
  <si>
    <t>224,0</t>
  </si>
  <si>
    <t>1191792783,0</t>
  </si>
  <si>
    <t>334734548,0</t>
  </si>
  <si>
    <t>Cancer5102[30, 38, 45, 2]</t>
  </si>
  <si>
    <t>47190,0</t>
  </si>
  <si>
    <t>159755165,0</t>
  </si>
  <si>
    <t>262,0</t>
  </si>
  <si>
    <t>1156271698,0</t>
  </si>
  <si>
    <t>361606177,0</t>
  </si>
  <si>
    <t>Cancer5102[30, 38, 50, 2]</t>
  </si>
  <si>
    <t>50195,0</t>
  </si>
  <si>
    <t>136553746,0</t>
  </si>
  <si>
    <t>207,0</t>
  </si>
  <si>
    <t>2234934039,0</t>
  </si>
  <si>
    <t>49619,0</t>
  </si>
  <si>
    <t>149,0</t>
  </si>
  <si>
    <t>378646834,0</t>
  </si>
  <si>
    <t>Cancer5102[30, 38, 55, 2]</t>
  </si>
  <si>
    <t>53200,0</t>
  </si>
  <si>
    <t>166035627,0</t>
  </si>
  <si>
    <t>1389780341,0</t>
  </si>
  <si>
    <t>52824,0</t>
  </si>
  <si>
    <t>154,0</t>
  </si>
  <si>
    <t>406663526,0</t>
  </si>
  <si>
    <t>53477,0</t>
  </si>
  <si>
    <t>155,0</t>
  </si>
  <si>
    <t>Cancer5102[30, 38, 60, 2]</t>
  </si>
  <si>
    <t>12</t>
  </si>
  <si>
    <t>12696,0</t>
  </si>
  <si>
    <t>74632256,0</t>
  </si>
  <si>
    <t>327,0</t>
  </si>
  <si>
    <t>572611909,0</t>
  </si>
  <si>
    <t>12569,0</t>
  </si>
  <si>
    <t>71,0</t>
  </si>
  <si>
    <t>152563526,0</t>
  </si>
  <si>
    <t>12890,0</t>
  </si>
  <si>
    <t>72,0</t>
  </si>
  <si>
    <t>Cancer5123[30, 22, 2]</t>
  </si>
  <si>
    <t>15581,0</t>
  </si>
  <si>
    <t>71004703,0</t>
  </si>
  <si>
    <t>351,0</t>
  </si>
  <si>
    <t>1198652338,0</t>
  </si>
  <si>
    <t>164249150,0</t>
  </si>
  <si>
    <t>Cancer5123[30, 27, 2]</t>
  </si>
  <si>
    <t>33542,0</t>
  </si>
  <si>
    <t>201184391,0</t>
  </si>
  <si>
    <t>427,0</t>
  </si>
  <si>
    <t>1470707044,0</t>
  </si>
  <si>
    <t>244809780,0</t>
  </si>
  <si>
    <t>Cancer5123[30, 30, 30, 2]</t>
  </si>
  <si>
    <t>36427,0</t>
  </si>
  <si>
    <t>183769169,0</t>
  </si>
  <si>
    <t>368,0</t>
  </si>
  <si>
    <t>2133718569,0</t>
  </si>
  <si>
    <t>255551671,0</t>
  </si>
  <si>
    <t>Cancer5123[30, 30, 35, 2]</t>
  </si>
  <si>
    <t>39312,0</t>
  </si>
  <si>
    <t>227450557,0</t>
  </si>
  <si>
    <t>434,0</t>
  </si>
  <si>
    <t>1466373177,0</t>
  </si>
  <si>
    <t>265065680,0</t>
  </si>
  <si>
    <t>Cancer5123[30, 30, 40, 2]</t>
  </si>
  <si>
    <t>18466,0</t>
  </si>
  <si>
    <t>115055837,0</t>
  </si>
  <si>
    <t>469,0</t>
  </si>
  <si>
    <t>2157800473,0</t>
  </si>
  <si>
    <t>18185,0</t>
  </si>
  <si>
    <t>87,0</t>
  </si>
  <si>
    <t>168611986,0</t>
  </si>
  <si>
    <t>18570,0</t>
  </si>
  <si>
    <t>88,0</t>
  </si>
  <si>
    <t>Cancer5123[30, 32, 2]</t>
  </si>
  <si>
    <t>21351,0</t>
  </si>
  <si>
    <t>154626689,0</t>
  </si>
  <si>
    <t>808,0</t>
  </si>
  <si>
    <t>3091640173,0</t>
  </si>
  <si>
    <t>20964,0</t>
  </si>
  <si>
    <t>94,0</t>
  </si>
  <si>
    <t>179511516,0</t>
  </si>
  <si>
    <t>Cancer5123[30, 37, 2]</t>
  </si>
  <si>
    <t>24236,0</t>
  </si>
  <si>
    <t>93274930,0</t>
  </si>
  <si>
    <t>271,0</t>
  </si>
  <si>
    <t>1567686376,0</t>
  </si>
  <si>
    <t>1992,0</t>
  </si>
  <si>
    <t>8090909043,0</t>
  </si>
  <si>
    <t>Cancer5123[30, 42, 2]</t>
  </si>
  <si>
    <t>27121,0</t>
  </si>
  <si>
    <t>185619148,0</t>
  </si>
  <si>
    <t>501,0</t>
  </si>
  <si>
    <t>1640444038,0</t>
  </si>
  <si>
    <t>216127676,0</t>
  </si>
  <si>
    <t>Cancer5123[30, 47, 2]</t>
  </si>
  <si>
    <t>30006,0</t>
  </si>
  <si>
    <t>104302692,0</t>
  </si>
  <si>
    <t>1835506454,0</t>
  </si>
  <si>
    <t>221803968,0</t>
  </si>
  <si>
    <t>Cancer5123[30, 52, 2]</t>
  </si>
  <si>
    <t>32891,0</t>
  </si>
  <si>
    <t>110227445,0</t>
  </si>
  <si>
    <t>318,0</t>
  </si>
  <si>
    <t>1399593434,0</t>
  </si>
  <si>
    <t>227124612,0</t>
  </si>
  <si>
    <t>Cancer5123[30, 57, 2]</t>
  </si>
  <si>
    <t>35776,0</t>
  </si>
  <si>
    <t>146124452,0</t>
  </si>
  <si>
    <t>381,0</t>
  </si>
  <si>
    <t>2534790359,0</t>
  </si>
  <si>
    <t>258663560,0</t>
  </si>
  <si>
    <t>Cancer5123[30, 62, 2]</t>
  </si>
  <si>
    <t>14</t>
  </si>
  <si>
    <t>4</t>
  </si>
  <si>
    <t>41644,0</t>
  </si>
  <si>
    <t>1064672412,0</t>
  </si>
  <si>
    <t>2284,0</t>
  </si>
  <si>
    <t>0,7264705896377563</t>
  </si>
  <si>
    <t>0,9186046719551086</t>
  </si>
  <si>
    <t>0,7342657446861267</t>
  </si>
  <si>
    <t>6180088168,0</t>
  </si>
  <si>
    <t>180,0</t>
  </si>
  <si>
    <t>5745355482,0</t>
  </si>
  <si>
    <t>Cancer5144[30, 32, 30, 2]</t>
  </si>
  <si>
    <t>45219,0</t>
  </si>
  <si>
    <t>1932581710,0</t>
  </si>
  <si>
    <t>3727,0</t>
  </si>
  <si>
    <t>0,679411768913269</t>
  </si>
  <si>
    <t>0,895348846912384</t>
  </si>
  <si>
    <t>0,7272727489471436</t>
  </si>
  <si>
    <t>1307981295,0</t>
  </si>
  <si>
    <t>247,0</t>
  </si>
  <si>
    <t>1179874166,0</t>
  </si>
  <si>
    <t>Cancer5144[30, 32, 35, 2]</t>
  </si>
  <si>
    <t>48794,0</t>
  </si>
  <si>
    <t>1317578386,0</t>
  </si>
  <si>
    <t>2387,0</t>
  </si>
  <si>
    <t>0,6970587968826294</t>
  </si>
  <si>
    <t>0,9069767594337463</t>
  </si>
  <si>
    <t>0,7202796936035156</t>
  </si>
  <si>
    <t>157,0</t>
  </si>
  <si>
    <t>625211295,0</t>
  </si>
  <si>
    <t>260,0</t>
  </si>
  <si>
    <t>1341553327,0</t>
  </si>
  <si>
    <t>48990,0</t>
  </si>
  <si>
    <t>148,0</t>
  </si>
  <si>
    <t>Cancer5144[30, 32, 40, 2]</t>
  </si>
  <si>
    <t>52369,0</t>
  </si>
  <si>
    <t>1264082043,0</t>
  </si>
  <si>
    <t>2159,0</t>
  </si>
  <si>
    <t>0,7852941155433655</t>
  </si>
  <si>
    <t>0,7972028255462646</t>
  </si>
  <si>
    <t>179,0</t>
  </si>
  <si>
    <t>823300257,0</t>
  </si>
  <si>
    <t>52175,0</t>
  </si>
  <si>
    <t>153,0</t>
  </si>
  <si>
    <t>170,0</t>
  </si>
  <si>
    <t>778734575,0</t>
  </si>
  <si>
    <t>Cancer5144[30, 32, 45, 2]</t>
  </si>
  <si>
    <t>55944,0</t>
  </si>
  <si>
    <t>1371877324,0</t>
  </si>
  <si>
    <t>2274,0</t>
  </si>
  <si>
    <t>0,4529411792755127</t>
  </si>
  <si>
    <t>0,8837209343910217</t>
  </si>
  <si>
    <t>0,4755244851112366</t>
  </si>
  <si>
    <t>177,0</t>
  </si>
  <si>
    <t>808670460,0</t>
  </si>
  <si>
    <t>55460,0</t>
  </si>
  <si>
    <t>158,0</t>
  </si>
  <si>
    <t>187,0</t>
  </si>
  <si>
    <t>926483924,0</t>
  </si>
  <si>
    <t>56129,0</t>
  </si>
  <si>
    <t>159,0</t>
  </si>
  <si>
    <t>Cancer5144[30, 32, 50, 2]</t>
  </si>
  <si>
    <t>16</t>
  </si>
  <si>
    <t>62478,0</t>
  </si>
  <si>
    <t>4072029997,0</t>
  </si>
  <si>
    <t>0,5882353186607361</t>
  </si>
  <si>
    <t>0,8488371968269348</t>
  </si>
  <si>
    <t>0,6083915829658508</t>
  </si>
  <si>
    <t>2091,0</t>
  </si>
  <si>
    <t>1329753292,0</t>
  </si>
  <si>
    <t>62330,0</t>
  </si>
  <si>
    <t>168,0</t>
  </si>
  <si>
    <t>0,9558823529411765</t>
  </si>
  <si>
    <t>8892735,0</t>
  </si>
  <si>
    <t>63039,0</t>
  </si>
  <si>
    <t>169,0</t>
  </si>
  <si>
    <t>Cancer5165[30, 36, 40, 2]</t>
  </si>
  <si>
    <t>67043,0</t>
  </si>
  <si>
    <t>4921298559,0</t>
  </si>
  <si>
    <t>6656,0</t>
  </si>
  <si>
    <t>0,6294117569923401</t>
  </si>
  <si>
    <t>0,8720930218696594</t>
  </si>
  <si>
    <t>0,6223776340484619</t>
  </si>
  <si>
    <t>1224,0</t>
  </si>
  <si>
    <t>562687524,0</t>
  </si>
  <si>
    <t>66644,0</t>
  </si>
  <si>
    <t>174,0</t>
  </si>
  <si>
    <t>9058068,0</t>
  </si>
  <si>
    <t>67377,0</t>
  </si>
  <si>
    <t>175,0</t>
  </si>
  <si>
    <t>Cancer5165[30, 36, 45, 2]</t>
  </si>
  <si>
    <t>71608,0</t>
  </si>
  <si>
    <t>3642963032,0</t>
  </si>
  <si>
    <t>4984,0</t>
  </si>
  <si>
    <t>0,5117647051811218</t>
  </si>
  <si>
    <t>0,4895104765892029</t>
  </si>
  <si>
    <t>2193,0</t>
  </si>
  <si>
    <t>1483092338,0</t>
  </si>
  <si>
    <t>71102,0</t>
  </si>
  <si>
    <t>0,9529411764705882</t>
  </si>
  <si>
    <t>7539397,0</t>
  </si>
  <si>
    <t>71859,0</t>
  </si>
  <si>
    <t>181,0</t>
  </si>
  <si>
    <t>Cancer5165[30, 36, 50, 2]</t>
  </si>
  <si>
    <t>76173,0</t>
  </si>
  <si>
    <t>3253306057,0</t>
  </si>
  <si>
    <t>4149,0</t>
  </si>
  <si>
    <t>0,658823549747467</t>
  </si>
  <si>
    <t>0,8139534592628479</t>
  </si>
  <si>
    <t>0,692307710647583</t>
  </si>
  <si>
    <t>2040,0</t>
  </si>
  <si>
    <t>1435525490,0</t>
  </si>
  <si>
    <t>75704,0</t>
  </si>
  <si>
    <t>186,0</t>
  </si>
  <si>
    <t>9219879,0</t>
  </si>
  <si>
    <t>76485,0</t>
  </si>
  <si>
    <t>Cancer5165[30, 36, 55, 2]</t>
  </si>
  <si>
    <t>80738,0</t>
  </si>
  <si>
    <t>3231992348,0</t>
  </si>
  <si>
    <t>4016,0</t>
  </si>
  <si>
    <t>0,7088235020637512</t>
  </si>
  <si>
    <t>1428,0</t>
  </si>
  <si>
    <t>815813557,0</t>
  </si>
  <si>
    <t>80450,0</t>
  </si>
  <si>
    <t>192,0</t>
  </si>
  <si>
    <t>5545803,0</t>
  </si>
  <si>
    <t>81255,0</t>
  </si>
  <si>
    <t>193,0</t>
  </si>
  <si>
    <t>Cancer5165[30, 36, 60, 2]</t>
  </si>
  <si>
    <t>9</t>
  </si>
  <si>
    <t>40982,0</t>
  </si>
  <si>
    <t>87785379,0</t>
  </si>
  <si>
    <t>201,0</t>
  </si>
  <si>
    <t>21553,0</t>
  </si>
  <si>
    <t>12976220819,0</t>
  </si>
  <si>
    <t>10163,0</t>
  </si>
  <si>
    <t>6021136997,0</t>
  </si>
  <si>
    <t>Cancer9163[30, 30, 30, 2]</t>
  </si>
  <si>
    <t>44507,0</t>
  </si>
  <si>
    <t>63397860,0</t>
  </si>
  <si>
    <t>2400,0</t>
  </si>
  <si>
    <t>12455593836,0</t>
  </si>
  <si>
    <t>2068,0</t>
  </si>
  <si>
    <t>11550949033,0</t>
  </si>
  <si>
    <t>Cancer9163[30, 30, 35, 2]</t>
  </si>
  <si>
    <t>48032,0</t>
  </si>
  <si>
    <t>72812311,0</t>
  </si>
  <si>
    <t>1641005399,0</t>
  </si>
  <si>
    <t>289795955,0</t>
  </si>
  <si>
    <t>Cancer9163[30, 30, 40, 2]</t>
  </si>
  <si>
    <t>51557,0</t>
  </si>
  <si>
    <t>80411580,0</t>
  </si>
  <si>
    <t>909328717,0</t>
  </si>
  <si>
    <t>51530,0</t>
  </si>
  <si>
    <t>152,0</t>
  </si>
  <si>
    <t>277546814,0</t>
  </si>
  <si>
    <t>Cancer9163[30, 30, 45, 2]</t>
  </si>
  <si>
    <t>55082,0</t>
  </si>
  <si>
    <t>97846076,0</t>
  </si>
  <si>
    <t>188,0</t>
  </si>
  <si>
    <t>1115212065,0</t>
  </si>
  <si>
    <t>54795,0</t>
  </si>
  <si>
    <t>304250201,0</t>
  </si>
  <si>
    <t>Cancer9163[30, 30, 50, 2]</t>
  </si>
  <si>
    <t>58607,0</t>
  </si>
  <si>
    <t>100368356,0</t>
  </si>
  <si>
    <t>1881827391,0</t>
  </si>
  <si>
    <t>58160,0</t>
  </si>
  <si>
    <t>162,0</t>
  </si>
  <si>
    <t>322494436,0</t>
  </si>
  <si>
    <t>58845,0</t>
  </si>
  <si>
    <t>163,0</t>
  </si>
  <si>
    <t>Cancer9163[30, 30, 55, 2]</t>
  </si>
  <si>
    <t>62132,0</t>
  </si>
  <si>
    <t>89428976,0</t>
  </si>
  <si>
    <t>1931820105,0</t>
  </si>
  <si>
    <t>61625,0</t>
  </si>
  <si>
    <t>167,0</t>
  </si>
  <si>
    <t>301131201,0</t>
  </si>
  <si>
    <t>Cancer9163[30, 30, 60, 2]</t>
  </si>
  <si>
    <t>43624,0</t>
  </si>
  <si>
    <t>90285684,0</t>
  </si>
  <si>
    <t>195,0</t>
  </si>
  <si>
    <t>1521717699,0</t>
  </si>
  <si>
    <t>245373653,0</t>
  </si>
  <si>
    <t>Cancer9163[30, 32, 30, 2]</t>
  </si>
  <si>
    <t>47369,0</t>
  </si>
  <si>
    <t>96128518,0</t>
  </si>
  <si>
    <t>1535401895,0</t>
  </si>
  <si>
    <t>262604623,0</t>
  </si>
  <si>
    <t>Cancer9163[30, 32, 35, 2]</t>
  </si>
  <si>
    <t>51114,0</t>
  </si>
  <si>
    <t>69307017,0</t>
  </si>
  <si>
    <t>1055788723,0</t>
  </si>
  <si>
    <t>305757962,0</t>
  </si>
  <si>
    <t>Cancer9163[30, 32, 40, 2]</t>
  </si>
  <si>
    <t>54859,0</t>
  </si>
  <si>
    <t>82523210,0</t>
  </si>
  <si>
    <t>1144401928,0</t>
  </si>
  <si>
    <t>326532334,0</t>
  </si>
  <si>
    <t>Cancer9163[30, 32, 45, 2]</t>
  </si>
  <si>
    <t>58604,0</t>
  </si>
  <si>
    <t>76168169,0</t>
  </si>
  <si>
    <t>1171470121,0</t>
  </si>
  <si>
    <t>357964821,0</t>
  </si>
  <si>
    <t>Cancer9163[30, 32, 50, 2]</t>
  </si>
  <si>
    <t>62349,0</t>
  </si>
  <si>
    <t>83303256,0</t>
  </si>
  <si>
    <t>1285812721,0</t>
  </si>
  <si>
    <t>366136549,0</t>
  </si>
  <si>
    <t>Cancer9163[30, 32, 55, 2]</t>
  </si>
  <si>
    <t>66094,0</t>
  </si>
  <si>
    <t>123544657,0</t>
  </si>
  <si>
    <t>182,0</t>
  </si>
  <si>
    <t>1375652256,0</t>
  </si>
  <si>
    <t>65915,0</t>
  </si>
  <si>
    <t>173,0</t>
  </si>
  <si>
    <t>372661710,0</t>
  </si>
  <si>
    <t>Cancer9163[30, 32, 60, 2]</t>
  </si>
  <si>
    <t>46266,0</t>
  </si>
  <si>
    <t>88743007,0</t>
  </si>
  <si>
    <t>203,0</t>
  </si>
  <si>
    <t>954363118,0</t>
  </si>
  <si>
    <t>289801213,0</t>
  </si>
  <si>
    <t>Cancer9163[30, 34, 30, 2]</t>
  </si>
  <si>
    <t>50231,0</t>
  </si>
  <si>
    <t>73950669,0</t>
  </si>
  <si>
    <t>973388967,0</t>
  </si>
  <si>
    <t>253258251,0</t>
  </si>
  <si>
    <t>Cancer9163[30, 34, 35, 2]</t>
  </si>
  <si>
    <t>54196,0</t>
  </si>
  <si>
    <t>83759174,0</t>
  </si>
  <si>
    <t>166,0</t>
  </si>
  <si>
    <t>1784127688,0</t>
  </si>
  <si>
    <t>54134,0</t>
  </si>
  <si>
    <t>156,0</t>
  </si>
  <si>
    <t>2205,0</t>
  </si>
  <si>
    <t>13510318619,0</t>
  </si>
  <si>
    <t>Cancer9163[30, 34, 40, 2]</t>
  </si>
  <si>
    <t>58161,0</t>
  </si>
  <si>
    <t>83015042,0</t>
  </si>
  <si>
    <t>1824043366,0</t>
  </si>
  <si>
    <t>335656574,0</t>
  </si>
  <si>
    <t>Cancer9163[30, 34, 45, 2]</t>
  </si>
  <si>
    <t>62126,0</t>
  </si>
  <si>
    <t>102123922,0</t>
  </si>
  <si>
    <t>164,0</t>
  </si>
  <si>
    <t>1247849537,0</t>
  </si>
  <si>
    <t>353737300,0</t>
  </si>
  <si>
    <t>Cancer9163[30, 34, 50, 2]</t>
  </si>
  <si>
    <t>66091,0</t>
  </si>
  <si>
    <t>115036834,0</t>
  </si>
  <si>
    <t>2246681934,0</t>
  </si>
  <si>
    <t>366266416,0</t>
  </si>
  <si>
    <t>Cancer9163[30, 34, 55, 2]</t>
  </si>
  <si>
    <t>70056,0</t>
  </si>
  <si>
    <t>130682373,0</t>
  </si>
  <si>
    <t>185,0</t>
  </si>
  <si>
    <t>1336909890,0</t>
  </si>
  <si>
    <t>69600,0</t>
  </si>
  <si>
    <t>178,0</t>
  </si>
  <si>
    <t>387966275,0</t>
  </si>
  <si>
    <t>70349,0</t>
  </si>
  <si>
    <t>Cancer9163[30, 34, 60, 2]</t>
  </si>
  <si>
    <t>48908,0</t>
  </si>
  <si>
    <t>109938291,0</t>
  </si>
  <si>
    <t>200,0</t>
  </si>
  <si>
    <t>2291541979,0</t>
  </si>
  <si>
    <t>294259611,0</t>
  </si>
  <si>
    <t>Cancer9163[30, 36, 30, 2]</t>
  </si>
  <si>
    <t>53093,0</t>
  </si>
  <si>
    <t>81445861,0</t>
  </si>
  <si>
    <t>1799682572,0</t>
  </si>
  <si>
    <t>310104249,0</t>
  </si>
  <si>
    <t>Cancer9163[30, 36, 35, 2]</t>
  </si>
  <si>
    <t>57278,0</t>
  </si>
  <si>
    <t>92995885,0</t>
  </si>
  <si>
    <t>1865978162,0</t>
  </si>
  <si>
    <t>56802,0</t>
  </si>
  <si>
    <t>160,0</t>
  </si>
  <si>
    <t>320309746,0</t>
  </si>
  <si>
    <t>57479,0</t>
  </si>
  <si>
    <t>161,0</t>
  </si>
  <si>
    <t>Cancer9163[30, 36, 40, 2]</t>
  </si>
  <si>
    <t>61463,0</t>
  </si>
  <si>
    <t>101340848,0</t>
  </si>
  <si>
    <t>1271112350,0</t>
  </si>
  <si>
    <t>60924,0</t>
  </si>
  <si>
    <t>340097157,0</t>
  </si>
  <si>
    <t>Cancer9163[30, 36, 45, 2]</t>
  </si>
  <si>
    <t>65648,0</t>
  </si>
  <si>
    <t>86716179,0</t>
  </si>
  <si>
    <t>1256769628,0</t>
  </si>
  <si>
    <t>65190,0</t>
  </si>
  <si>
    <t>172,0</t>
  </si>
  <si>
    <t>355989267,0</t>
  </si>
  <si>
    <t>Cancer9163[30, 36, 50, 2]</t>
  </si>
  <si>
    <t>69833,0</t>
  </si>
  <si>
    <t>108176924,0</t>
  </si>
  <si>
    <t>3455085027,0</t>
  </si>
  <si>
    <t>389618106,0</t>
  </si>
  <si>
    <t>Cancer9163[30, 36, 55, 2]</t>
  </si>
  <si>
    <t>74018,0</t>
  </si>
  <si>
    <t>102939429,0</t>
  </si>
  <si>
    <t>1512999023,0</t>
  </si>
  <si>
    <t>73385,0</t>
  </si>
  <si>
    <t>183,0</t>
  </si>
  <si>
    <t>401299484,0</t>
  </si>
  <si>
    <t>74154,0</t>
  </si>
  <si>
    <t>184,0</t>
  </si>
  <si>
    <t>Cancer9163[30, 36, 60, 2]</t>
  </si>
  <si>
    <t>51550,0</t>
  </si>
  <si>
    <t>99962303,0</t>
  </si>
  <si>
    <t>1894314292,0</t>
  </si>
  <si>
    <t>306811872,0</t>
  </si>
  <si>
    <t>Cancer9163[30, 38, 30, 2]</t>
  </si>
  <si>
    <t>55955,0</t>
  </si>
  <si>
    <t>113315443,0</t>
  </si>
  <si>
    <t>189,0</t>
  </si>
  <si>
    <t>2099557458,0</t>
  </si>
  <si>
    <t>360938933,0</t>
  </si>
  <si>
    <t>Cancer9163[30, 38, 35, 2]</t>
  </si>
  <si>
    <t>60360,0</t>
  </si>
  <si>
    <t>87584549,0</t>
  </si>
  <si>
    <t>0,961764705882353</t>
  </si>
  <si>
    <t>28,0</t>
  </si>
  <si>
    <t>31683697,0</t>
  </si>
  <si>
    <t>60227,0</t>
  </si>
  <si>
    <t>165,0</t>
  </si>
  <si>
    <t>18,0</t>
  </si>
  <si>
    <t>21187495,0</t>
  </si>
  <si>
    <t>Cancer9163[30, 38, 40, 2]</t>
  </si>
  <si>
    <t>64765,0</t>
  </si>
  <si>
    <t>97632647,0</t>
  </si>
  <si>
    <t>19,0</t>
  </si>
  <si>
    <t>24535887,0</t>
  </si>
  <si>
    <t>64469,0</t>
  </si>
  <si>
    <t>171,0</t>
  </si>
  <si>
    <t>21,0</t>
  </si>
  <si>
    <t>24793593,0</t>
  </si>
  <si>
    <t>Cancer9163[30, 38, 45, 2]</t>
  </si>
  <si>
    <t>69170,0</t>
  </si>
  <si>
    <t>94348265,0</t>
  </si>
  <si>
    <t>20,0</t>
  </si>
  <si>
    <t>25914800,0</t>
  </si>
  <si>
    <t>68855,0</t>
  </si>
  <si>
    <t>28028532,0</t>
  </si>
  <si>
    <t>Cancer9163[30, 38, 50, 2]</t>
  </si>
  <si>
    <t>73575,0</t>
  </si>
  <si>
    <t>88685899,0</t>
  </si>
  <si>
    <t>25,0</t>
  </si>
  <si>
    <t>31444280,0</t>
  </si>
  <si>
    <t>0,9588235294117647</t>
  </si>
  <si>
    <t>17,0</t>
  </si>
  <si>
    <t>23592647,0</t>
  </si>
  <si>
    <t>Cancer9163[30, 38, 55, 2]</t>
  </si>
  <si>
    <t>77980,0</t>
  </si>
  <si>
    <t>110799741,0</t>
  </si>
  <si>
    <t>24,0</t>
  </si>
  <si>
    <t>31943407,0</t>
  </si>
  <si>
    <t>77270,0</t>
  </si>
  <si>
    <t>21716721,0</t>
  </si>
  <si>
    <t>78059,0</t>
  </si>
  <si>
    <t>Cancer9163[30, 38, 60, 2]</t>
  </si>
  <si>
    <t>29612,0</t>
  </si>
  <si>
    <t>33150629,0</t>
  </si>
  <si>
    <t>97,0</t>
  </si>
  <si>
    <t>53253,0</t>
  </si>
  <si>
    <t>2814369293,0</t>
  </si>
  <si>
    <t>16216,0</t>
  </si>
  <si>
    <t>679590779,0</t>
  </si>
  <si>
    <t>Cancer9163[30, 42, 2]</t>
  </si>
  <si>
    <t>33137,0</t>
  </si>
  <si>
    <t>43188288,0</t>
  </si>
  <si>
    <t>54017,0</t>
  </si>
  <si>
    <t>3020191490,0</t>
  </si>
  <si>
    <t>65780,0</t>
  </si>
  <si>
    <t>4078848526,0</t>
  </si>
  <si>
    <t>Cancer9163[30, 47, 2]</t>
  </si>
  <si>
    <t>36662,0</t>
  </si>
  <si>
    <t>43210897,0</t>
  </si>
  <si>
    <t>44192,0</t>
  </si>
  <si>
    <t>2650561503,0</t>
  </si>
  <si>
    <t>24151,0</t>
  </si>
  <si>
    <t>1250799987,0</t>
  </si>
  <si>
    <t>Cancer9163[30, 52, 2]</t>
  </si>
  <si>
    <t>40187,0</t>
  </si>
  <si>
    <t>58568476,0</t>
  </si>
  <si>
    <t>33901,0</t>
  </si>
  <si>
    <t>2104658524,0</t>
  </si>
  <si>
    <t>11707,0</t>
  </si>
  <si>
    <t>441625610,0</t>
  </si>
  <si>
    <t>Cancer9163[30, 57, 2]</t>
  </si>
  <si>
    <t>43712,0</t>
  </si>
  <si>
    <t>68427078,0</t>
  </si>
  <si>
    <t>12485,0</t>
  </si>
  <si>
    <t>516380474,0</t>
  </si>
  <si>
    <t>25640,0</t>
  </si>
  <si>
    <t>1630661052,0</t>
  </si>
  <si>
    <t>Cancer9163[30, 62, 2]</t>
  </si>
  <si>
    <t>18</t>
  </si>
  <si>
    <t>17624,0</t>
  </si>
  <si>
    <t>414359082,0</t>
  </si>
  <si>
    <t>1570,0</t>
  </si>
  <si>
    <t>39,0</t>
  </si>
  <si>
    <t>134525600,0</t>
  </si>
  <si>
    <t>27,0</t>
  </si>
  <si>
    <t>69031816,0</t>
  </si>
  <si>
    <t>Cancer9184[30, 22, 2]</t>
  </si>
  <si>
    <t>21629,0</t>
  </si>
  <si>
    <t>57169575,0</t>
  </si>
  <si>
    <t>194,0</t>
  </si>
  <si>
    <t>36,0</t>
  </si>
  <si>
    <t>44660571,0</t>
  </si>
  <si>
    <t>30,0</t>
  </si>
  <si>
    <t>23110710,0</t>
  </si>
  <si>
    <t>Cancer9184[30, 27, 2]</t>
  </si>
  <si>
    <t>46562,0</t>
  </si>
  <si>
    <t>2439205417,0</t>
  </si>
  <si>
    <t>4390,0</t>
  </si>
  <si>
    <t>0,7382352948188782</t>
  </si>
  <si>
    <t>0,7062937021255493</t>
  </si>
  <si>
    <t>22767115,0</t>
  </si>
  <si>
    <t>34,0</t>
  </si>
  <si>
    <t>33882721,0</t>
  </si>
  <si>
    <t>Cancer9184[30, 30, 30, 2]</t>
  </si>
  <si>
    <t>50567,0</t>
  </si>
  <si>
    <t>986215934,0</t>
  </si>
  <si>
    <t>1633,0</t>
  </si>
  <si>
    <t>0,6735293865203857</t>
  </si>
  <si>
    <t>0,6783216595649719</t>
  </si>
  <si>
    <t>20202665,0</t>
  </si>
  <si>
    <t>0,9470588235294117</t>
  </si>
  <si>
    <t>26317250,0</t>
  </si>
  <si>
    <t>Cancer9184[30, 30, 35, 2]</t>
  </si>
  <si>
    <t>54572,0</t>
  </si>
  <si>
    <t>1073431446,0</t>
  </si>
  <si>
    <t>1759,0</t>
  </si>
  <si>
    <t>0,7823529243469238</t>
  </si>
  <si>
    <t>23461587,0</t>
  </si>
  <si>
    <t>23,0</t>
  </si>
  <si>
    <t>24160969,0</t>
  </si>
  <si>
    <t>Cancer9184[30, 30, 40, 2]</t>
  </si>
  <si>
    <t>58577,0</t>
  </si>
  <si>
    <t>1277352252,0</t>
  </si>
  <si>
    <t>2005,0</t>
  </si>
  <si>
    <t>0,6235294342041016</t>
  </si>
  <si>
    <t>0,6433566212654114</t>
  </si>
  <si>
    <t>24214139,0</t>
  </si>
  <si>
    <t>20933002,0</t>
  </si>
  <si>
    <t>Cancer9184[30, 30, 45, 2]</t>
  </si>
  <si>
    <t>62582,0</t>
  </si>
  <si>
    <t>1639597244,0</t>
  </si>
  <si>
    <t>2437,0</t>
  </si>
  <si>
    <t>0,6441176533699036</t>
  </si>
  <si>
    <t>0,7412587404251099</t>
  </si>
  <si>
    <t>22347749,0</t>
  </si>
  <si>
    <t>25547171,0</t>
  </si>
  <si>
    <t>Cancer9184[30, 30, 50, 2]</t>
  </si>
  <si>
    <t>66587,0</t>
  </si>
  <si>
    <t>1067909365,0</t>
  </si>
  <si>
    <t>1507,0</t>
  </si>
  <si>
    <t>0,8500000238418579</t>
  </si>
  <si>
    <t>0,811188817024231</t>
  </si>
  <si>
    <t>16,0</t>
  </si>
  <si>
    <t>22163598,0</t>
  </si>
  <si>
    <t>21200924,0</t>
  </si>
  <si>
    <t>Cancer9184[30, 30, 55, 2]</t>
  </si>
  <si>
    <t>70592,0</t>
  </si>
  <si>
    <t>1407381581,0</t>
  </si>
  <si>
    <t>1974,0</t>
  </si>
  <si>
    <t>0,7058823704719543</t>
  </si>
  <si>
    <t>0,6503496766090393</t>
  </si>
  <si>
    <t>1450738623,0</t>
  </si>
  <si>
    <t>389044600,0</t>
  </si>
  <si>
    <t>Cancer9184[30, 30, 60, 2]</t>
  </si>
  <si>
    <t>25634,0</t>
  </si>
  <si>
    <t>138834322,0</t>
  </si>
  <si>
    <t>55305407,0</t>
  </si>
  <si>
    <t>25274,0</t>
  </si>
  <si>
    <t>23823421,0</t>
  </si>
  <si>
    <t>Cancer9184[30, 32, 2]</t>
  </si>
  <si>
    <t>49564,0</t>
  </si>
  <si>
    <t>1227481444,0</t>
  </si>
  <si>
    <t>2046,0</t>
  </si>
  <si>
    <t>0,6941176652908325</t>
  </si>
  <si>
    <t>1843591346,0</t>
  </si>
  <si>
    <t>316894071,0</t>
  </si>
  <si>
    <t>Cancer9184[30, 32, 30, 2]</t>
  </si>
  <si>
    <t>53819,0</t>
  </si>
  <si>
    <t>1117347034,0</t>
  </si>
  <si>
    <t>1752,0</t>
  </si>
  <si>
    <t>0,5617647171020508</t>
  </si>
  <si>
    <t>0,5804196000099182</t>
  </si>
  <si>
    <t>1128689122,0</t>
  </si>
  <si>
    <t>331478686,0</t>
  </si>
  <si>
    <t>Cancer9184[30, 32, 35, 2]</t>
  </si>
  <si>
    <t>29639,0</t>
  </si>
  <si>
    <t>89298334,0</t>
  </si>
  <si>
    <t>243,0</t>
  </si>
  <si>
    <t>31,0</t>
  </si>
  <si>
    <t>37936101,0</t>
  </si>
  <si>
    <t>0,9441176470588235</t>
  </si>
  <si>
    <t>22,0</t>
  </si>
  <si>
    <t>20354648,0</t>
  </si>
  <si>
    <t>Cancer9184[30, 37, 2]</t>
  </si>
  <si>
    <t>33644,0</t>
  </si>
  <si>
    <t>113485132,0</t>
  </si>
  <si>
    <t>285,0</t>
  </si>
  <si>
    <t>30977882,0</t>
  </si>
  <si>
    <t>23222730,0</t>
  </si>
  <si>
    <t>Cancer9184[30, 42, 2]</t>
  </si>
  <si>
    <t>37649,0</t>
  </si>
  <si>
    <t>105844566,0</t>
  </si>
  <si>
    <t>240,0</t>
  </si>
  <si>
    <t>26,0</t>
  </si>
  <si>
    <t>25699283,0</t>
  </si>
  <si>
    <t>20022956,0</t>
  </si>
  <si>
    <t>Cancer9184[30, 47, 2]</t>
  </si>
  <si>
    <t>41654,0</t>
  </si>
  <si>
    <t>114709439,0</t>
  </si>
  <si>
    <t>251,0</t>
  </si>
  <si>
    <t>23010076,0</t>
  </si>
  <si>
    <t>19340295,0</t>
  </si>
  <si>
    <t>Cancer9184[30, 52, 2]</t>
  </si>
  <si>
    <t>45659,0</t>
  </si>
  <si>
    <t>94902953,0</t>
  </si>
  <si>
    <t>23622009,0</t>
  </si>
  <si>
    <t>26396301,0</t>
  </si>
  <si>
    <t>Cancer9184[30, 57, 2]</t>
  </si>
  <si>
    <t>49664,0</t>
  </si>
  <si>
    <t>117556349,0</t>
  </si>
  <si>
    <t>23559317,0</t>
  </si>
  <si>
    <t>0,95</t>
  </si>
  <si>
    <t>30055427,0</t>
  </si>
  <si>
    <t>Cancer9184[30, 62, 2]</t>
  </si>
  <si>
    <t>1489,0</t>
  </si>
  <si>
    <t>69916044,0</t>
  </si>
  <si>
    <t>1000000,0</t>
  </si>
  <si>
    <t>0,966292142868042</t>
  </si>
  <si>
    <t>0,9736841917037964</t>
  </si>
  <si>
    <t>0,9736842105263158</t>
  </si>
  <si>
    <t>0,9662921348314607</t>
  </si>
  <si>
    <t>408,0</t>
  </si>
  <si>
    <t>4136853,0</t>
  </si>
  <si>
    <t>1395,0</t>
  </si>
  <si>
    <t>0,9550561797752809</t>
  </si>
  <si>
    <t>325,0</t>
  </si>
  <si>
    <t>3540725,0</t>
  </si>
  <si>
    <t>1503,0</t>
  </si>
  <si>
    <t>Iris3103[4, 10, 4, 3]</t>
  </si>
  <si>
    <t>2534,0</t>
  </si>
  <si>
    <t>1616064515,0</t>
  </si>
  <si>
    <t>0,9775280952453613</t>
  </si>
  <si>
    <t>3065832,0</t>
  </si>
  <si>
    <t>2511,0</t>
  </si>
  <si>
    <t>33,0</t>
  </si>
  <si>
    <t>334,0</t>
  </si>
  <si>
    <t>3722474,0</t>
  </si>
  <si>
    <t>2655,0</t>
  </si>
  <si>
    <t>Iris3103[4, 10, 9, 3]</t>
  </si>
  <si>
    <t>1747,0</t>
  </si>
  <si>
    <t>1120313658,0</t>
  </si>
  <si>
    <t>374,0</t>
  </si>
  <si>
    <t>3921548,0</t>
  </si>
  <si>
    <t>1731,0</t>
  </si>
  <si>
    <t>0,9473684210526315</t>
  </si>
  <si>
    <t>340,0</t>
  </si>
  <si>
    <t>4067610,0</t>
  </si>
  <si>
    <t>1851,0</t>
  </si>
  <si>
    <t>Iris3103[4, 12, 4, 3]</t>
  </si>
  <si>
    <t>2952,0</t>
  </si>
  <si>
    <t>1276590263,0</t>
  </si>
  <si>
    <t>279,0</t>
  </si>
  <si>
    <t>3322778,0</t>
  </si>
  <si>
    <t>2803,0</t>
  </si>
  <si>
    <t>35,0</t>
  </si>
  <si>
    <t>0,9438202247191011</t>
  </si>
  <si>
    <t>333,0</t>
  </si>
  <si>
    <t>4005968,0</t>
  </si>
  <si>
    <t>2955,0</t>
  </si>
  <si>
    <t>Iris3103[4, 12, 9, 3]</t>
  </si>
  <si>
    <t>342,0</t>
  </si>
  <si>
    <t>22320232,0</t>
  </si>
  <si>
    <t>523,0</t>
  </si>
  <si>
    <t>4765242,0</t>
  </si>
  <si>
    <t>10,0</t>
  </si>
  <si>
    <t>0,9775280898876404</t>
  </si>
  <si>
    <t>685,0</t>
  </si>
  <si>
    <t>7259229,0</t>
  </si>
  <si>
    <t>355,0</t>
  </si>
  <si>
    <t>Iris3103[4, 3, 3]</t>
  </si>
  <si>
    <t>715,0</t>
  </si>
  <si>
    <t>1191991017,0</t>
  </si>
  <si>
    <t>0,9473684430122375</t>
  </si>
  <si>
    <t>585,0</t>
  </si>
  <si>
    <t>6091660,0</t>
  </si>
  <si>
    <t>675,0</t>
  </si>
  <si>
    <t>557,0</t>
  </si>
  <si>
    <t>5948835,0</t>
  </si>
  <si>
    <t>751,0</t>
  </si>
  <si>
    <t>Iris3103[4, 4, 4, 3]</t>
  </si>
  <si>
    <t>1280,0</t>
  </si>
  <si>
    <t>1152377268,0</t>
  </si>
  <si>
    <t>0,932584285736084</t>
  </si>
  <si>
    <t>367,0</t>
  </si>
  <si>
    <t>4014684,0</t>
  </si>
  <si>
    <t>1191,0</t>
  </si>
  <si>
    <t>379,0</t>
  </si>
  <si>
    <t>4606780,0</t>
  </si>
  <si>
    <t>1291,0</t>
  </si>
  <si>
    <t>Iris3103[4, 4, 9, 3]</t>
  </si>
  <si>
    <t>1064646805,0</t>
  </si>
  <si>
    <t>437,0</t>
  </si>
  <si>
    <t>4837872,0</t>
  </si>
  <si>
    <t>915,0</t>
  </si>
  <si>
    <t>457,0</t>
  </si>
  <si>
    <t>5328753,0</t>
  </si>
  <si>
    <t>1003,0</t>
  </si>
  <si>
    <t>Iris3103[4, 6, 4, 3]</t>
  </si>
  <si>
    <t>1698,0</t>
  </si>
  <si>
    <t>1129329154,0</t>
  </si>
  <si>
    <t>0,9887640476226807</t>
  </si>
  <si>
    <t>377,0</t>
  </si>
  <si>
    <t>3737987,0</t>
  </si>
  <si>
    <t>1615,0</t>
  </si>
  <si>
    <t>2988214,0</t>
  </si>
  <si>
    <t>Iris3103[4, 6, 9, 3]</t>
  </si>
  <si>
    <t>907,0</t>
  </si>
  <si>
    <t>25576136,0</t>
  </si>
  <si>
    <t>439,0</t>
  </si>
  <si>
    <t>4893633,0</t>
  </si>
  <si>
    <t>831,0</t>
  </si>
  <si>
    <t>448,0</t>
  </si>
  <si>
    <t>4609856,0</t>
  </si>
  <si>
    <t>Iris3103[4, 8, 3]</t>
  </si>
  <si>
    <t>1231,0</t>
  </si>
  <si>
    <t>1171031518,0</t>
  </si>
  <si>
    <t>358,0</t>
  </si>
  <si>
    <t>3471917,0</t>
  </si>
  <si>
    <t>360,0</t>
  </si>
  <si>
    <t>3485029,0</t>
  </si>
  <si>
    <t>Iris3103[4, 8, 4, 3]</t>
  </si>
  <si>
    <t>2116,0</t>
  </si>
  <si>
    <t>2194249782,0</t>
  </si>
  <si>
    <t>0,9550561904907227</t>
  </si>
  <si>
    <t>288,0</t>
  </si>
  <si>
    <t>3615844,0</t>
  </si>
  <si>
    <t>2103,0</t>
  </si>
  <si>
    <t>362,0</t>
  </si>
  <si>
    <t>3562512,0</t>
  </si>
  <si>
    <t>2235,0</t>
  </si>
  <si>
    <t>Iris3103[4, 8, 9, 3]</t>
  </si>
  <si>
    <t>1765,0</t>
  </si>
  <si>
    <t>1979947845,0</t>
  </si>
  <si>
    <t>17421,0</t>
  </si>
  <si>
    <t>0,6516854166984558</t>
  </si>
  <si>
    <t>0,8695651888847351</t>
  </si>
  <si>
    <t>0,6842105388641357</t>
  </si>
  <si>
    <t>581,0</t>
  </si>
  <si>
    <t>5002515,0</t>
  </si>
  <si>
    <t>3321206,0</t>
  </si>
  <si>
    <t>Iris3124[4, 10, 4, 3]</t>
  </si>
  <si>
    <t>3005,0</t>
  </si>
  <si>
    <t>1355785307,0</t>
  </si>
  <si>
    <t>12007,0</t>
  </si>
  <si>
    <t>0,8651685118675232</t>
  </si>
  <si>
    <t>0,8684210777282715</t>
  </si>
  <si>
    <t>5071497609,0</t>
  </si>
  <si>
    <t>5174854324,0</t>
  </si>
  <si>
    <t>3111,0</t>
  </si>
  <si>
    <t>37,0</t>
  </si>
  <si>
    <t>Iris3124[4, 10, 9, 3]</t>
  </si>
  <si>
    <t>2071,0</t>
  </si>
  <si>
    <t>1154321546,0</t>
  </si>
  <si>
    <t>10795,0</t>
  </si>
  <si>
    <t>0,49438202381134033</t>
  </si>
  <si>
    <t>0,9130434989929199</t>
  </si>
  <si>
    <t>0,5</t>
  </si>
  <si>
    <t>8424993625,0</t>
  </si>
  <si>
    <t>1975,0</t>
  </si>
  <si>
    <t>29,0</t>
  </si>
  <si>
    <t>9237791323,0</t>
  </si>
  <si>
    <t>Iris3124[4, 12, 4, 3]</t>
  </si>
  <si>
    <t>3501,0</t>
  </si>
  <si>
    <t>1354348957,0</t>
  </si>
  <si>
    <t>12129,0</t>
  </si>
  <si>
    <t>0,449438214302063</t>
  </si>
  <si>
    <t>0,4736842215061188</t>
  </si>
  <si>
    <t>396,0</t>
  </si>
  <si>
    <t>187616146,0</t>
  </si>
  <si>
    <t>3435,0</t>
  </si>
  <si>
    <t>6333,0</t>
  </si>
  <si>
    <t>3258366268,0</t>
  </si>
  <si>
    <t>3603,0</t>
  </si>
  <si>
    <t>40,0</t>
  </si>
  <si>
    <t>Iris3124[4, 12, 9, 3]</t>
  </si>
  <si>
    <t>405,0</t>
  </si>
  <si>
    <t>800195852,0</t>
  </si>
  <si>
    <t>11428,0</t>
  </si>
  <si>
    <t>0,6966292262077332</t>
  </si>
  <si>
    <t>0,95652174949646</t>
  </si>
  <si>
    <t>0,7105262875556946</t>
  </si>
  <si>
    <t>586,0</t>
  </si>
  <si>
    <t>7181135,0</t>
  </si>
  <si>
    <t>2912,0</t>
  </si>
  <si>
    <t>32123560,0</t>
  </si>
  <si>
    <t>411,0</t>
  </si>
  <si>
    <t>Iris3124[4, 3, 3]</t>
  </si>
  <si>
    <t>847,0</t>
  </si>
  <si>
    <t>1180052502,0</t>
  </si>
  <si>
    <t>10296,0</t>
  </si>
  <si>
    <t>0,5393258333206177</t>
  </si>
  <si>
    <t>0,5789473652839661</t>
  </si>
  <si>
    <t>11178097620,0</t>
  </si>
  <si>
    <t>0,9887640449438202</t>
  </si>
  <si>
    <t>376,0</t>
  </si>
  <si>
    <t>3441818,0</t>
  </si>
  <si>
    <t>Iris3124[4, 4, 4, 3]</t>
  </si>
  <si>
    <t>1517,0</t>
  </si>
  <si>
    <t>1628200437,0</t>
  </si>
  <si>
    <t>14212,0</t>
  </si>
  <si>
    <t>0,550561785697937</t>
  </si>
  <si>
    <t>0,782608687877655</t>
  </si>
  <si>
    <t>0,44736841320991516</t>
  </si>
  <si>
    <t>386,0</t>
  </si>
  <si>
    <t>3895090,0</t>
  </si>
  <si>
    <t>264,0</t>
  </si>
  <si>
    <t>2362187,0</t>
  </si>
  <si>
    <t>Iris3124[4, 4, 9, 3]</t>
  </si>
  <si>
    <t>1153,0</t>
  </si>
  <si>
    <t>2104416200,0</t>
  </si>
  <si>
    <t>18781,0</t>
  </si>
  <si>
    <t>0,8202247023582458</t>
  </si>
  <si>
    <t>0,8421052694320679</t>
  </si>
  <si>
    <t>889,0</t>
  </si>
  <si>
    <t>8342113,0</t>
  </si>
  <si>
    <t>1095,0</t>
  </si>
  <si>
    <t>453,0</t>
  </si>
  <si>
    <t>3662869,0</t>
  </si>
  <si>
    <t>Iris3124[4, 6, 4, 3]</t>
  </si>
  <si>
    <t>2013,0</t>
  </si>
  <si>
    <t>1353940889,0</t>
  </si>
  <si>
    <t>11548,0</t>
  </si>
  <si>
    <t>0,7303370833396912</t>
  </si>
  <si>
    <t>0,8260869383811951</t>
  </si>
  <si>
    <t>0,7368420958518982</t>
  </si>
  <si>
    <t>239,0</t>
  </si>
  <si>
    <t>2562755,0</t>
  </si>
  <si>
    <t>326,0</t>
  </si>
  <si>
    <t>3497443,0</t>
  </si>
  <si>
    <t>Iris3124[4, 6, 9, 3]</t>
  </si>
  <si>
    <t>1075,0</t>
  </si>
  <si>
    <t>794928775,0</t>
  </si>
  <si>
    <t>4748068,0</t>
  </si>
  <si>
    <t>394,0</t>
  </si>
  <si>
    <t>4418345,0</t>
  </si>
  <si>
    <t>Iris3124[4, 8, 3]</t>
  </si>
  <si>
    <t>1459,0</t>
  </si>
  <si>
    <t>1349919891,0</t>
  </si>
  <si>
    <t>12328,0</t>
  </si>
  <si>
    <t>0,6052631735801697</t>
  </si>
  <si>
    <t>331,0</t>
  </si>
  <si>
    <t>2924782,0</t>
  </si>
  <si>
    <t>534,0</t>
  </si>
  <si>
    <t>4570039,0</t>
  </si>
  <si>
    <t>Iris3124[4, 8, 4, 3]</t>
  </si>
  <si>
    <t>2509,0</t>
  </si>
  <si>
    <t>1210781799,0</t>
  </si>
  <si>
    <t>10124,0</t>
  </si>
  <si>
    <t>0,6292135119438171</t>
  </si>
  <si>
    <t>472,0</t>
  </si>
  <si>
    <t>3990807,0</t>
  </si>
  <si>
    <t>2371,0</t>
  </si>
  <si>
    <t>32,0</t>
  </si>
  <si>
    <t>4902987,0</t>
  </si>
  <si>
    <t>Iris3124[4, 8, 9, 3]</t>
  </si>
  <si>
    <t>2041,0</t>
  </si>
  <si>
    <t>327513382,0</t>
  </si>
  <si>
    <t>3130,0</t>
  </si>
  <si>
    <t>0,516853928565979</t>
  </si>
  <si>
    <t>0,739130437374115</t>
  </si>
  <si>
    <t>0,9565217391304348</t>
  </si>
  <si>
    <t>348626848,0</t>
  </si>
  <si>
    <t>345990069,0</t>
  </si>
  <si>
    <t>Iris3145[4, 10, 4, 3]</t>
  </si>
  <si>
    <t>3476,0</t>
  </si>
  <si>
    <t>436134812,0</t>
  </si>
  <si>
    <t>3955,0</t>
  </si>
  <si>
    <t>0,47191011905670166</t>
  </si>
  <si>
    <t>434713717,0</t>
  </si>
  <si>
    <t>411843336,0</t>
  </si>
  <si>
    <t>Iris3145[4, 10, 9, 3]</t>
  </si>
  <si>
    <t>2395,0</t>
  </si>
  <si>
    <t>432247509,0</t>
  </si>
  <si>
    <t>3974,0</t>
  </si>
  <si>
    <t>340084075,0</t>
  </si>
  <si>
    <t>369113616,0</t>
  </si>
  <si>
    <t>Iris3145[4, 12, 4, 3]</t>
  </si>
  <si>
    <t>4050,0</t>
  </si>
  <si>
    <t>602120396,0</t>
  </si>
  <si>
    <t>5111,0</t>
  </si>
  <si>
    <t>0,6578947305679321</t>
  </si>
  <si>
    <t>3056924,0</t>
  </si>
  <si>
    <t>3951,0</t>
  </si>
  <si>
    <t>42,0</t>
  </si>
  <si>
    <t>3001465,0</t>
  </si>
  <si>
    <t>4131,0</t>
  </si>
  <si>
    <t>43,0</t>
  </si>
  <si>
    <t>Iris3145[4, 12, 9, 3]</t>
  </si>
  <si>
    <t>468,0</t>
  </si>
  <si>
    <t>392475330,0</t>
  </si>
  <si>
    <t>6329,0</t>
  </si>
  <si>
    <t>0,6853932738304138</t>
  </si>
  <si>
    <t>0,8695652173913043</t>
  </si>
  <si>
    <t>5015,0</t>
  </si>
  <si>
    <t>1456389394,0</t>
  </si>
  <si>
    <t>0,9130434782608695</t>
  </si>
  <si>
    <t>5020,0</t>
  </si>
  <si>
    <t>1128098035,0</t>
  </si>
  <si>
    <t>471,0</t>
  </si>
  <si>
    <t>Iris3145[4, 3, 3]</t>
  </si>
  <si>
    <t>979,0</t>
  </si>
  <si>
    <t>639981693,0</t>
  </si>
  <si>
    <t>5056,0</t>
  </si>
  <si>
    <t>0,5955055952072144</t>
  </si>
  <si>
    <t>63905,0</t>
  </si>
  <si>
    <t>19241645735,0</t>
  </si>
  <si>
    <t>17313,0</t>
  </si>
  <si>
    <t>5005885359,0</t>
  </si>
  <si>
    <t>Iris3145[4, 4, 4, 3]</t>
  </si>
  <si>
    <t>1754,0</t>
  </si>
  <si>
    <t>686793110,0</t>
  </si>
  <si>
    <t>5019,0</t>
  </si>
  <si>
    <t>0,7078651785850525</t>
  </si>
  <si>
    <t>7470,0</t>
  </si>
  <si>
    <t>3240916918,0</t>
  </si>
  <si>
    <t>6223,0</t>
  </si>
  <si>
    <t>2200498455,0</t>
  </si>
  <si>
    <t>Iris3145[4, 4, 9, 3]</t>
  </si>
  <si>
    <t>1333,0</t>
  </si>
  <si>
    <t>673350897,0</t>
  </si>
  <si>
    <t>6569,0</t>
  </si>
  <si>
    <t>0,5056179761886597</t>
  </si>
  <si>
    <t>351061913,0</t>
  </si>
  <si>
    <t>337101604,0</t>
  </si>
  <si>
    <t>Iris3145[4, 6, 4, 3]</t>
  </si>
  <si>
    <t>2328,0</t>
  </si>
  <si>
    <t>939687332,0</t>
  </si>
  <si>
    <t>8777,0</t>
  </si>
  <si>
    <t>382615180,0</t>
  </si>
  <si>
    <t>366926282,0</t>
  </si>
  <si>
    <t>Iris3145[4, 6, 9, 3]</t>
  </si>
  <si>
    <t>1243,0</t>
  </si>
  <si>
    <t>377679163,0</t>
  </si>
  <si>
    <t>5245,0</t>
  </si>
  <si>
    <t>5013,0</t>
  </si>
  <si>
    <t>1673849023,0</t>
  </si>
  <si>
    <t>5012,0</t>
  </si>
  <si>
    <t>1357718542,0</t>
  </si>
  <si>
    <t>Iris3145[4, 8, 3]</t>
  </si>
  <si>
    <t>1687,0</t>
  </si>
  <si>
    <t>328754715,0</t>
  </si>
  <si>
    <t>3145,0</t>
  </si>
  <si>
    <t>0,5730336904525757</t>
  </si>
  <si>
    <t>0,5526315569877625</t>
  </si>
  <si>
    <t>354213455,0</t>
  </si>
  <si>
    <t>370557616,0</t>
  </si>
  <si>
    <t>Iris3145[4, 8, 4, 3]</t>
  </si>
  <si>
    <t>2902,0</t>
  </si>
  <si>
    <t>833269866,0</t>
  </si>
  <si>
    <t>7509,0</t>
  </si>
  <si>
    <t>0,6067415475845337</t>
  </si>
  <si>
    <t>407776599,0</t>
  </si>
  <si>
    <t>386284092,0</t>
  </si>
  <si>
    <t>Iris3145[4, 8, 9, 3]</t>
  </si>
  <si>
    <t>1213,0</t>
  </si>
  <si>
    <t>64068628,0</t>
  </si>
  <si>
    <t>0,9325842696629213</t>
  </si>
  <si>
    <t>3415317,0</t>
  </si>
  <si>
    <t>421,0</t>
  </si>
  <si>
    <t>5257789,0</t>
  </si>
  <si>
    <t>Iris382[4, 10, 4, 3]</t>
  </si>
  <si>
    <t>2063,0</t>
  </si>
  <si>
    <t>25965442,0</t>
  </si>
  <si>
    <t>343,0</t>
  </si>
  <si>
    <t>3360742,0</t>
  </si>
  <si>
    <t>314,0</t>
  </si>
  <si>
    <t>3313027,0</t>
  </si>
  <si>
    <t>Iris382[4, 10, 9, 3]</t>
  </si>
  <si>
    <t>1423,0</t>
  </si>
  <si>
    <t>23977678,0</t>
  </si>
  <si>
    <t>316,0</t>
  </si>
  <si>
    <t>3648326,0</t>
  </si>
  <si>
    <t>382,0</t>
  </si>
  <si>
    <t>3636337,0</t>
  </si>
  <si>
    <t>Iris382[4, 12, 4, 3]</t>
  </si>
  <si>
    <t>2403,0</t>
  </si>
  <si>
    <t>40294648,0</t>
  </si>
  <si>
    <t>309,0</t>
  </si>
  <si>
    <t>3569637,0</t>
  </si>
  <si>
    <t>255,0</t>
  </si>
  <si>
    <t>2868010,0</t>
  </si>
  <si>
    <t>Iris382[4, 12, 9, 3]</t>
  </si>
  <si>
    <t>25557884,0</t>
  </si>
  <si>
    <t>945,0</t>
  </si>
  <si>
    <t>10552513,0</t>
  </si>
  <si>
    <t>9,0</t>
  </si>
  <si>
    <t>1028,0</t>
  </si>
  <si>
    <t>9095036,0</t>
  </si>
  <si>
    <t>Iris382[4, 3, 3]</t>
  </si>
  <si>
    <t>583,0</t>
  </si>
  <si>
    <t>20331019,0</t>
  </si>
  <si>
    <t>475,0</t>
  </si>
  <si>
    <t>4837602,0</t>
  </si>
  <si>
    <t>535,0</t>
  </si>
  <si>
    <t>997,0</t>
  </si>
  <si>
    <t>10983974,0</t>
  </si>
  <si>
    <t>603,0</t>
  </si>
  <si>
    <t>Iris382[4, 4, 4, 3]</t>
  </si>
  <si>
    <t>1043,0</t>
  </si>
  <si>
    <t>21148333,0</t>
  </si>
  <si>
    <t>463,0</t>
  </si>
  <si>
    <t>5030714,0</t>
  </si>
  <si>
    <t>6180619,0</t>
  </si>
  <si>
    <t>Iris382[4, 4, 9, 3]</t>
  </si>
  <si>
    <t>793,0</t>
  </si>
  <si>
    <t>21075696,0</t>
  </si>
  <si>
    <t>506,0</t>
  </si>
  <si>
    <t>5605981,0</t>
  </si>
  <si>
    <t>424,0</t>
  </si>
  <si>
    <t>5138999,0</t>
  </si>
  <si>
    <t>Iris382[4, 6, 4, 3]</t>
  </si>
  <si>
    <t>1383,0</t>
  </si>
  <si>
    <t>15305540,0</t>
  </si>
  <si>
    <t>393,0</t>
  </si>
  <si>
    <t>4150025,0</t>
  </si>
  <si>
    <t>339,0</t>
  </si>
  <si>
    <t>3541165,0</t>
  </si>
  <si>
    <t>Iris382[4, 6, 9, 3]</t>
  </si>
  <si>
    <t>739,0</t>
  </si>
  <si>
    <t>12471606,0</t>
  </si>
  <si>
    <t>415,0</t>
  </si>
  <si>
    <t>4748418,0</t>
  </si>
  <si>
    <t>4316357,0</t>
  </si>
  <si>
    <t>Iris382[4, 8, 3]</t>
  </si>
  <si>
    <t>27327444,0</t>
  </si>
  <si>
    <t>375,0</t>
  </si>
  <si>
    <t>4220372,0</t>
  </si>
  <si>
    <t>4096319,0</t>
  </si>
  <si>
    <t>Iris382[4, 8, 4, 3]</t>
  </si>
  <si>
    <t>1723,0</t>
  </si>
  <si>
    <t>27959213,0</t>
  </si>
  <si>
    <t>3749287,0</t>
  </si>
  <si>
    <t>3045496,0</t>
  </si>
  <si>
    <t>Iris382[4, 8, 9, 3]</t>
  </si>
  <si>
    <t>1397,0</t>
  </si>
  <si>
    <t>4928740,0</t>
  </si>
  <si>
    <t>2624044,0</t>
  </si>
  <si>
    <t>2814455,0</t>
  </si>
  <si>
    <t>Iris5102[4, 10, 4, 3]</t>
  </si>
  <si>
    <t>2377,0</t>
  </si>
  <si>
    <t>5858293,0</t>
  </si>
  <si>
    <t>68,0</t>
  </si>
  <si>
    <t>3028292,0</t>
  </si>
  <si>
    <t>3168690,0</t>
  </si>
  <si>
    <t>Iris5102[4, 10, 9, 3]</t>
  </si>
  <si>
    <t>1639,0</t>
  </si>
  <si>
    <t>7765477,0</t>
  </si>
  <si>
    <t>2879636,0</t>
  </si>
  <si>
    <t>3048059,0</t>
  </si>
  <si>
    <t>Iris5102[4, 12, 4, 3]</t>
  </si>
  <si>
    <t>2769,0</t>
  </si>
  <si>
    <t>2865381,0</t>
  </si>
  <si>
    <t>3320144,0</t>
  </si>
  <si>
    <t>2905211,0</t>
  </si>
  <si>
    <t>Iris5102[4, 12, 9, 3]</t>
  </si>
  <si>
    <t>321,0</t>
  </si>
  <si>
    <t>4724243,0</t>
  </si>
  <si>
    <t>2973344,0</t>
  </si>
  <si>
    <t>2720752,0</t>
  </si>
  <si>
    <t>Iris5102[4, 3, 3]</t>
  </si>
  <si>
    <t>671,0</t>
  </si>
  <si>
    <t>14213021,0</t>
  </si>
  <si>
    <t>206,0</t>
  </si>
  <si>
    <t>0,8876404762268066</t>
  </si>
  <si>
    <t>0,8947368264198303</t>
  </si>
  <si>
    <t>3112674,0</t>
  </si>
  <si>
    <t>2994275,0</t>
  </si>
  <si>
    <t>Iris5102[4, 4, 4, 3]</t>
  </si>
  <si>
    <t>1201,0</t>
  </si>
  <si>
    <t>11873354,0</t>
  </si>
  <si>
    <t>0,9210526347160339</t>
  </si>
  <si>
    <t>2618409,0</t>
  </si>
  <si>
    <t>2915951,0</t>
  </si>
  <si>
    <t>Iris5102[4, 4, 9, 3]</t>
  </si>
  <si>
    <t>913,0</t>
  </si>
  <si>
    <t>2694797,0</t>
  </si>
  <si>
    <t>0,9213483333587646</t>
  </si>
  <si>
    <t>0,8157894611358643</t>
  </si>
  <si>
    <t>2963503,0</t>
  </si>
  <si>
    <t>2698502,0</t>
  </si>
  <si>
    <t>Iris5102[4, 6, 4, 3]</t>
  </si>
  <si>
    <t>1593,0</t>
  </si>
  <si>
    <t>2278561,0</t>
  </si>
  <si>
    <t>2847775,0</t>
  </si>
  <si>
    <t>2919620,0</t>
  </si>
  <si>
    <t>Iris5102[4, 6, 9, 3]</t>
  </si>
  <si>
    <t>851,0</t>
  </si>
  <si>
    <t>1379120,0</t>
  </si>
  <si>
    <t>0,7752808928489685</t>
  </si>
  <si>
    <t>3162279,0</t>
  </si>
  <si>
    <t>2604211,0</t>
  </si>
  <si>
    <t>Iris5102[4, 8, 3]</t>
  </si>
  <si>
    <t>1155,0</t>
  </si>
  <si>
    <t>3860189,0</t>
  </si>
  <si>
    <t>3096191,0</t>
  </si>
  <si>
    <t>2803364,0</t>
  </si>
  <si>
    <t>Iris5102[4, 8, 4, 3]</t>
  </si>
  <si>
    <t>1985,0</t>
  </si>
  <si>
    <t>10395152,0</t>
  </si>
  <si>
    <t>2704813,0</t>
  </si>
  <si>
    <t>2928172,0</t>
  </si>
  <si>
    <t>Iris5102[4, 8, 9, 3]</t>
  </si>
  <si>
    <t>1673,0</t>
  </si>
  <si>
    <t>106889115,0</t>
  </si>
  <si>
    <t>1267,0</t>
  </si>
  <si>
    <t>3107416,0</t>
  </si>
  <si>
    <t>3108087,0</t>
  </si>
  <si>
    <t>Iris5123[4, 10, 4, 3]</t>
  </si>
  <si>
    <t>2848,0</t>
  </si>
  <si>
    <t>581459482,0</t>
  </si>
  <si>
    <t>6466,0</t>
  </si>
  <si>
    <t>2800231,0</t>
  </si>
  <si>
    <t>2693385,0</t>
  </si>
  <si>
    <t>Iris5123[4, 10, 9, 3]</t>
  </si>
  <si>
    <t>1963,0</t>
  </si>
  <si>
    <t>314682872,0</t>
  </si>
  <si>
    <t>3634,0</t>
  </si>
  <si>
    <t>0,9438202381134033</t>
  </si>
  <si>
    <t>2762609,0</t>
  </si>
  <si>
    <t>2938456,0</t>
  </si>
  <si>
    <t>Iris5123[4, 12, 4, 3]</t>
  </si>
  <si>
    <t>3318,0</t>
  </si>
  <si>
    <t>23691991,0</t>
  </si>
  <si>
    <t>253,0</t>
  </si>
  <si>
    <t>3009233,0</t>
  </si>
  <si>
    <t>3271,0</t>
  </si>
  <si>
    <t>38,0</t>
  </si>
  <si>
    <t>2925808,0</t>
  </si>
  <si>
    <t>Iris5123[4, 12, 9, 3]</t>
  </si>
  <si>
    <t>384,0</t>
  </si>
  <si>
    <t>2636965,0</t>
  </si>
  <si>
    <t>50,0</t>
  </si>
  <si>
    <t>2695707,0</t>
  </si>
  <si>
    <t>3087852,0</t>
  </si>
  <si>
    <t>Iris5123[4, 3, 3]</t>
  </si>
  <si>
    <t>803,0</t>
  </si>
  <si>
    <t>472297060,0</t>
  </si>
  <si>
    <t>5968,0</t>
  </si>
  <si>
    <t>0,8426966071128845</t>
  </si>
  <si>
    <t>2785033,0</t>
  </si>
  <si>
    <t>2808876,0</t>
  </si>
  <si>
    <t>Iris5123[4, 4, 4, 3]</t>
  </si>
  <si>
    <t>1438,0</t>
  </si>
  <si>
    <t>464994304,0</t>
  </si>
  <si>
    <t>5673,0</t>
  </si>
  <si>
    <t>3176995,0</t>
  </si>
  <si>
    <t>2664547,0</t>
  </si>
  <si>
    <t>Iris5123[4, 4, 9, 3]</t>
  </si>
  <si>
    <t>1093,0</t>
  </si>
  <si>
    <t>254076120,0</t>
  </si>
  <si>
    <t>3150,0</t>
  </si>
  <si>
    <t>2821936,0</t>
  </si>
  <si>
    <t>2874251,0</t>
  </si>
  <si>
    <t>Iris5123[4, 6, 4, 3]</t>
  </si>
  <si>
    <t>1908,0</t>
  </si>
  <si>
    <t>28641976,0</t>
  </si>
  <si>
    <t>2801497,0</t>
  </si>
  <si>
    <t>3014700,0</t>
  </si>
  <si>
    <t>Iris5123[4, 6, 9, 3]</t>
  </si>
  <si>
    <t>1019,0</t>
  </si>
  <si>
    <t>1041407,0</t>
  </si>
  <si>
    <t>3179190,0</t>
  </si>
  <si>
    <t>2575858,0</t>
  </si>
  <si>
    <t>Iris5123[4, 8, 3]</t>
  </si>
  <si>
    <t>265452523,0</t>
  </si>
  <si>
    <t>3234,0</t>
  </si>
  <si>
    <t>2895665,0</t>
  </si>
  <si>
    <t>3002428,0</t>
  </si>
  <si>
    <t>Iris5123[4, 8, 4, 3]</t>
  </si>
  <si>
    <t>2378,0</t>
  </si>
  <si>
    <t>282359408,0</t>
  </si>
  <si>
    <t>3201,0</t>
  </si>
  <si>
    <t>3046008,0</t>
  </si>
  <si>
    <t>2984143,0</t>
  </si>
  <si>
    <t>Iris5123[4, 8, 9, 3]</t>
  </si>
  <si>
    <t>1949,0</t>
  </si>
  <si>
    <t>312055336,0</t>
  </si>
  <si>
    <t>3118,0</t>
  </si>
  <si>
    <t>0,4606741666793823</t>
  </si>
  <si>
    <t>0,3684210479259491</t>
  </si>
  <si>
    <t>3369425,0</t>
  </si>
  <si>
    <t>3116604,0</t>
  </si>
  <si>
    <t>Iris5144[4, 10, 4, 3]</t>
  </si>
  <si>
    <t>3319,0</t>
  </si>
  <si>
    <t>322092293,0</t>
  </si>
  <si>
    <t>3017,0</t>
  </si>
  <si>
    <t>0,42696627974510193</t>
  </si>
  <si>
    <t>3145461,0</t>
  </si>
  <si>
    <t>3036293,0</t>
  </si>
  <si>
    <t>Iris5144[4, 10, 9, 3]</t>
  </si>
  <si>
    <t>2287,0</t>
  </si>
  <si>
    <t>639578607,0</t>
  </si>
  <si>
    <t>6377,0</t>
  </si>
  <si>
    <t>0,6315789222717285</t>
  </si>
  <si>
    <t>2954032,0</t>
  </si>
  <si>
    <t>3153512,0</t>
  </si>
  <si>
    <t>Iris5144[4, 12, 4, 3]</t>
  </si>
  <si>
    <t>3867,0</t>
  </si>
  <si>
    <t>621512531,0</t>
  </si>
  <si>
    <t>5669,0</t>
  </si>
  <si>
    <t>3027307,0</t>
  </si>
  <si>
    <t>3775,0</t>
  </si>
  <si>
    <t>41,0</t>
  </si>
  <si>
    <t>2999926,0</t>
  </si>
  <si>
    <t>Iris5144[4, 12, 9, 3]</t>
  </si>
  <si>
    <t>447,0</t>
  </si>
  <si>
    <t>175938872,0</t>
  </si>
  <si>
    <t>3185,0</t>
  </si>
  <si>
    <t>0,898876428604126</t>
  </si>
  <si>
    <t>2627728,0</t>
  </si>
  <si>
    <t>2992802,0</t>
  </si>
  <si>
    <t>Iris5144[4, 3, 3]</t>
  </si>
  <si>
    <t>935,0</t>
  </si>
  <si>
    <t>400633387,0</t>
  </si>
  <si>
    <t>4451,0</t>
  </si>
  <si>
    <t>2692630,0</t>
  </si>
  <si>
    <t>2784942,0</t>
  </si>
  <si>
    <t>Iris5144[4, 4, 4, 3]</t>
  </si>
  <si>
    <t>1675,0</t>
  </si>
  <si>
    <t>333344322,0</t>
  </si>
  <si>
    <t>3474,0</t>
  </si>
  <si>
    <t>0,37078651785850525</t>
  </si>
  <si>
    <t>3023734,0</t>
  </si>
  <si>
    <t>3155280,0</t>
  </si>
  <si>
    <t>Iris5144[4, 4, 9, 3]</t>
  </si>
  <si>
    <t>1273,0</t>
  </si>
  <si>
    <t>300009722,0</t>
  </si>
  <si>
    <t>3211,0</t>
  </si>
  <si>
    <t>3066612,0</t>
  </si>
  <si>
    <t>2955926,0</t>
  </si>
  <si>
    <t>Iris5144[4, 6, 4, 3]</t>
  </si>
  <si>
    <t>2223,0</t>
  </si>
  <si>
    <t>325678652,0</t>
  </si>
  <si>
    <t>3268,0</t>
  </si>
  <si>
    <t>2958466,0</t>
  </si>
  <si>
    <t>3012718,0</t>
  </si>
  <si>
    <t>Iris5144[4, 6, 9, 3]</t>
  </si>
  <si>
    <t>1187,0</t>
  </si>
  <si>
    <t>191964249,0</t>
  </si>
  <si>
    <t>3218,0</t>
  </si>
  <si>
    <t>2904682,0</t>
  </si>
  <si>
    <t>3100142,0</t>
  </si>
  <si>
    <t>Iris5144[4, 8, 3]</t>
  </si>
  <si>
    <t>1611,0</t>
  </si>
  <si>
    <t>296409771,0</t>
  </si>
  <si>
    <t>3125,0</t>
  </si>
  <si>
    <t>2544327,0</t>
  </si>
  <si>
    <t>2914927,0</t>
  </si>
  <si>
    <t>Iris5144[4, 8, 4, 3]</t>
  </si>
  <si>
    <t>2771,0</t>
  </si>
  <si>
    <t>313103218,0</t>
  </si>
  <si>
    <t>3097,0</t>
  </si>
  <si>
    <t>0,5280898809432983</t>
  </si>
  <si>
    <t>0,5263158082962036</t>
  </si>
  <si>
    <t>3025649,0</t>
  </si>
  <si>
    <t>3136590,0</t>
  </si>
  <si>
    <t>Iris5144[4, 8, 9, 3]</t>
  </si>
  <si>
    <t>2225,0</t>
  </si>
  <si>
    <t>770157624,0</t>
  </si>
  <si>
    <t>6751,0</t>
  </si>
  <si>
    <t>1717,0</t>
  </si>
  <si>
    <t>6348939235,0</t>
  </si>
  <si>
    <t>58,0</t>
  </si>
  <si>
    <t>213695473,0</t>
  </si>
  <si>
    <t>Iris5165[4, 10, 4, 3]</t>
  </si>
  <si>
    <t>3790,0</t>
  </si>
  <si>
    <t>356623618,0</t>
  </si>
  <si>
    <t>2884,0</t>
  </si>
  <si>
    <t>0,584269642829895</t>
  </si>
  <si>
    <t>474067632,0</t>
  </si>
  <si>
    <t>44,0</t>
  </si>
  <si>
    <t>188609915,0</t>
  </si>
  <si>
    <t>Iris5165[4, 10, 9, 3]</t>
  </si>
  <si>
    <t>2611,0</t>
  </si>
  <si>
    <t>272774642,0</t>
  </si>
  <si>
    <t>2308,0</t>
  </si>
  <si>
    <t>0,40449437499046326</t>
  </si>
  <si>
    <t>0,34210526943206787</t>
  </si>
  <si>
    <t>70398790,0</t>
  </si>
  <si>
    <t>69,0</t>
  </si>
  <si>
    <t>283649465,0</t>
  </si>
  <si>
    <t>Iris5165[4, 12, 4, 3]</t>
  </si>
  <si>
    <t>4416,0</t>
  </si>
  <si>
    <t>377231391,0</t>
  </si>
  <si>
    <t>2932,0</t>
  </si>
  <si>
    <t>122298677,0</t>
  </si>
  <si>
    <t>4315,0</t>
  </si>
  <si>
    <t>826312444,0</t>
  </si>
  <si>
    <t>4503,0</t>
  </si>
  <si>
    <t>45,0</t>
  </si>
  <si>
    <t>Iris5165[4, 12, 9, 3]</t>
  </si>
  <si>
    <t>510,0</t>
  </si>
  <si>
    <t>199439704,0</t>
  </si>
  <si>
    <t>3244,0</t>
  </si>
  <si>
    <t>0,7528089880943298</t>
  </si>
  <si>
    <t>2826537,0</t>
  </si>
  <si>
    <t>2886915,0</t>
  </si>
  <si>
    <t>Iris5165[4, 3, 3]</t>
  </si>
  <si>
    <t>1067,0</t>
  </si>
  <si>
    <t>322791864,0</t>
  </si>
  <si>
    <t>0,7977527976036072</t>
  </si>
  <si>
    <t>0,7894737124443054</t>
  </si>
  <si>
    <t>2921991,0</t>
  </si>
  <si>
    <t>2825656,0</t>
  </si>
  <si>
    <t>Iris5165[4, 4, 4, 3]</t>
  </si>
  <si>
    <t>1912,0</t>
  </si>
  <si>
    <t>434547787,0</t>
  </si>
  <si>
    <t>3452,0</t>
  </si>
  <si>
    <t>97722880,0</t>
  </si>
  <si>
    <t>6,0</t>
  </si>
  <si>
    <t>12903691,0</t>
  </si>
  <si>
    <t>Iris5165[4, 4, 9, 3]</t>
  </si>
  <si>
    <t>1453,0</t>
  </si>
  <si>
    <t>258841627,0</t>
  </si>
  <si>
    <t>2438,0</t>
  </si>
  <si>
    <t>300940755,0</t>
  </si>
  <si>
    <t>659603680,0</t>
  </si>
  <si>
    <t>Iris5165[4, 6, 4, 3]</t>
  </si>
  <si>
    <t>2538,0</t>
  </si>
  <si>
    <t>282511034,0</t>
  </si>
  <si>
    <t>2434,0</t>
  </si>
  <si>
    <t>52,0</t>
  </si>
  <si>
    <t>194562390,0</t>
  </si>
  <si>
    <t>38508422,0</t>
  </si>
  <si>
    <t>Iris5165[4, 6, 9, 3]</t>
  </si>
  <si>
    <t>1355,0</t>
  </si>
  <si>
    <t>241237512,0</t>
  </si>
  <si>
    <t>3585,0</t>
  </si>
  <si>
    <t>0,7631579041481018</t>
  </si>
  <si>
    <t>3049114,0</t>
  </si>
  <si>
    <t>2977173,0</t>
  </si>
  <si>
    <t>Iris5165[4, 8, 3]</t>
  </si>
  <si>
    <t>1839,0</t>
  </si>
  <si>
    <t>298295673,0</t>
  </si>
  <si>
    <t>2701,0</t>
  </si>
  <si>
    <t>390149227,0</t>
  </si>
  <si>
    <t>306999113,0</t>
  </si>
  <si>
    <t>Iris5165[4, 8, 4, 3]</t>
  </si>
  <si>
    <t>3164,0</t>
  </si>
  <si>
    <t>661095,0</t>
  </si>
  <si>
    <t>4,0</t>
  </si>
  <si>
    <t>66752155,0</t>
  </si>
  <si>
    <t>33007752,0</t>
  </si>
  <si>
    <t>Iris5165[4, 8, 9, 3]</t>
  </si>
  <si>
    <t>2745919,0</t>
  </si>
  <si>
    <t>0,9101123809814453</t>
  </si>
  <si>
    <t>2233908,0</t>
  </si>
  <si>
    <t>2627570,0</t>
  </si>
  <si>
    <t>Iris9142[4, 10, 4, 3]</t>
  </si>
  <si>
    <t>2652462,0</t>
  </si>
  <si>
    <t>2660729,0</t>
  </si>
  <si>
    <t>2753524,0</t>
  </si>
  <si>
    <t>Iris9142[4, 10, 9, 3]</t>
  </si>
  <si>
    <t>3985880,0</t>
  </si>
  <si>
    <t>57,0</t>
  </si>
  <si>
    <t>2659163,0</t>
  </si>
  <si>
    <t>2620295,0</t>
  </si>
  <si>
    <t>Iris9142[4, 12, 4, 3]</t>
  </si>
  <si>
    <t>5207579,0</t>
  </si>
  <si>
    <t>0,9210526315789473</t>
  </si>
  <si>
    <t>2704305,0</t>
  </si>
  <si>
    <t>1975155,0</t>
  </si>
  <si>
    <t>Iris9142[4, 12, 9, 3]</t>
  </si>
  <si>
    <t>5414526,0</t>
  </si>
  <si>
    <t>78769720,0</t>
  </si>
  <si>
    <t>96606157,0</t>
  </si>
  <si>
    <t>Iris9142[4, 3, 3]</t>
  </si>
  <si>
    <t>7059658,0</t>
  </si>
  <si>
    <t>63,0</t>
  </si>
  <si>
    <t>200482400,0</t>
  </si>
  <si>
    <t>207459803,0</t>
  </si>
  <si>
    <t>Iris9142[4, 4, 4, 3]</t>
  </si>
  <si>
    <t>2399770,0</t>
  </si>
  <si>
    <t>16704626,0</t>
  </si>
  <si>
    <t>167004636,0</t>
  </si>
  <si>
    <t>Iris9142[4, 4, 9, 3]</t>
  </si>
  <si>
    <t>19719918,0</t>
  </si>
  <si>
    <t>261,0</t>
  </si>
  <si>
    <t>90695864,0</t>
  </si>
  <si>
    <t>55,0</t>
  </si>
  <si>
    <t>172094100,0</t>
  </si>
  <si>
    <t>Iris9142[4, 6, 4, 3]</t>
  </si>
  <si>
    <t>14015566,0</t>
  </si>
  <si>
    <t>176,0</t>
  </si>
  <si>
    <t>771483247,0</t>
  </si>
  <si>
    <t>259490577,0</t>
  </si>
  <si>
    <t>Iris9142[4, 6, 9, 3]</t>
  </si>
  <si>
    <t>2196769,0</t>
  </si>
  <si>
    <t>2842659,0</t>
  </si>
  <si>
    <t>157130481,0</t>
  </si>
  <si>
    <t>Iris9142[4, 8, 3]</t>
  </si>
  <si>
    <t>24034804,0</t>
  </si>
  <si>
    <t>357,0</t>
  </si>
  <si>
    <t>7070,0</t>
  </si>
  <si>
    <t>16021911523,0</t>
  </si>
  <si>
    <t>3595,0</t>
  </si>
  <si>
    <t>8304770534,0</t>
  </si>
  <si>
    <t>Iris9142[4, 8, 4, 3]</t>
  </si>
  <si>
    <t>9620411,0</t>
  </si>
  <si>
    <t>805978257,0</t>
  </si>
  <si>
    <t>274595487,0</t>
  </si>
  <si>
    <t>Iris9142[4, 8, 9, 3]</t>
  </si>
  <si>
    <t>260648420,0</t>
  </si>
  <si>
    <t>3407097,0</t>
  </si>
  <si>
    <t>2908405,0</t>
  </si>
  <si>
    <t>Iris9163[4, 10, 4, 3]</t>
  </si>
  <si>
    <t>12271077,0</t>
  </si>
  <si>
    <t>3174205,0</t>
  </si>
  <si>
    <t>3342484,0</t>
  </si>
  <si>
    <t>Iris9163[4, 10, 9, 3]</t>
  </si>
  <si>
    <t>30070765,0</t>
  </si>
  <si>
    <t>304,0</t>
  </si>
  <si>
    <t>3454431,0</t>
  </si>
  <si>
    <t>3116387,0</t>
  </si>
  <si>
    <t>Iris9163[4, 12, 4, 3]</t>
  </si>
  <si>
    <t>74157726,0</t>
  </si>
  <si>
    <t>3342972,0</t>
  </si>
  <si>
    <t>3405312,0</t>
  </si>
  <si>
    <t>Iris9163[4, 12, 9, 3]</t>
  </si>
  <si>
    <t>807898,0</t>
  </si>
  <si>
    <t>0,8764045238494873</t>
  </si>
  <si>
    <t>2103833,0</t>
  </si>
  <si>
    <t>2599942,0</t>
  </si>
  <si>
    <t>Iris9163[4, 3, 3]</t>
  </si>
  <si>
    <t>186284717,0</t>
  </si>
  <si>
    <t>2114,0</t>
  </si>
  <si>
    <t>3203608,0</t>
  </si>
  <si>
    <t>2837456,0</t>
  </si>
  <si>
    <t>Iris9163[4, 4, 4, 3]</t>
  </si>
  <si>
    <t>6114524,0</t>
  </si>
  <si>
    <t>3188153,0</t>
  </si>
  <si>
    <t>3126568,0</t>
  </si>
  <si>
    <t>Iris9163[4, 4, 9, 3]</t>
  </si>
  <si>
    <t>8937484,0</t>
  </si>
  <si>
    <t>3063093,0</t>
  </si>
  <si>
    <t>3285542,0</t>
  </si>
  <si>
    <t>Iris9163[4, 6, 4, 3]</t>
  </si>
  <si>
    <t>6080643,0</t>
  </si>
  <si>
    <t>61,0</t>
  </si>
  <si>
    <t>2969915,0</t>
  </si>
  <si>
    <t>2986407,0</t>
  </si>
  <si>
    <t>Iris9163[4, 6, 9, 3]</t>
  </si>
  <si>
    <t>512009,0</t>
  </si>
  <si>
    <t>2570458,0</t>
  </si>
  <si>
    <t>2390909,0</t>
  </si>
  <si>
    <t>Iris9163[4, 8, 3]</t>
  </si>
  <si>
    <t>39938122,0</t>
  </si>
  <si>
    <t>422,0</t>
  </si>
  <si>
    <t>2844094,0</t>
  </si>
  <si>
    <t>2969553,0</t>
  </si>
  <si>
    <t>Iris9163[4, 8, 4, 3]</t>
  </si>
  <si>
    <t>19455142,0</t>
  </si>
  <si>
    <t>3106773,0</t>
  </si>
  <si>
    <t>3001413,0</t>
  </si>
  <si>
    <t>Iris9163[4, 8, 9, 3]</t>
  </si>
  <si>
    <t>2317,0</t>
  </si>
  <si>
    <t>344561539,0</t>
  </si>
  <si>
    <t>3114,0</t>
  </si>
  <si>
    <t>3270514,0</t>
  </si>
  <si>
    <t>3134580,0</t>
  </si>
  <si>
    <t>Iris9184[4, 10, 4, 3]</t>
  </si>
  <si>
    <t>3947,0</t>
  </si>
  <si>
    <t>308224713,0</t>
  </si>
  <si>
    <t>2568,0</t>
  </si>
  <si>
    <t>3197894,0</t>
  </si>
  <si>
    <t>3189842,0</t>
  </si>
  <si>
    <t>Iris9184[4, 10, 9, 3]</t>
  </si>
  <si>
    <t>2719,0</t>
  </si>
  <si>
    <t>268381872,0</t>
  </si>
  <si>
    <t>2347,0</t>
  </si>
  <si>
    <t>0,42105263471603394</t>
  </si>
  <si>
    <t>3338972,0</t>
  </si>
  <si>
    <t>3348830,0</t>
  </si>
  <si>
    <t>Iris9184[4, 12, 4, 3]</t>
  </si>
  <si>
    <t>4599,0</t>
  </si>
  <si>
    <t>338798703,0</t>
  </si>
  <si>
    <t>2725,0</t>
  </si>
  <si>
    <t>3454710,0</t>
  </si>
  <si>
    <t>3623123,0</t>
  </si>
  <si>
    <t>4695,0</t>
  </si>
  <si>
    <t>46,0</t>
  </si>
  <si>
    <t>Iris9184[4, 12, 9, 3]</t>
  </si>
  <si>
    <t>531,0</t>
  </si>
  <si>
    <t>138560539,0</t>
  </si>
  <si>
    <t>2269,0</t>
  </si>
  <si>
    <t>2752892,0</t>
  </si>
  <si>
    <t>3103210,0</t>
  </si>
  <si>
    <t>Iris9184[4, 3, 3]</t>
  </si>
  <si>
    <t>1111,0</t>
  </si>
  <si>
    <t>400359409,0</t>
  </si>
  <si>
    <t>0,3932584226131439</t>
  </si>
  <si>
    <t>3015939,0</t>
  </si>
  <si>
    <t>2827947,0</t>
  </si>
  <si>
    <t>Iris9184[4, 4, 4, 3]</t>
  </si>
  <si>
    <t>1991,0</t>
  </si>
  <si>
    <t>281543476,0</t>
  </si>
  <si>
    <t>2675,0</t>
  </si>
  <si>
    <t>2945140,0</t>
  </si>
  <si>
    <t>3341449,0</t>
  </si>
  <si>
    <t>Iris9184[4, 4, 9, 3]</t>
  </si>
  <si>
    <t>1513,0</t>
  </si>
  <si>
    <t>468077360,0</t>
  </si>
  <si>
    <t>4464,0</t>
  </si>
  <si>
    <t>0,3820224702358246</t>
  </si>
  <si>
    <t>2948356,0</t>
  </si>
  <si>
    <t>2913468,0</t>
  </si>
  <si>
    <t>Iris9184[4, 6, 4, 3]</t>
  </si>
  <si>
    <t>2643,0</t>
  </si>
  <si>
    <t>230512055,0</t>
  </si>
  <si>
    <t>2032,0</t>
  </si>
  <si>
    <t>3068007,0</t>
  </si>
  <si>
    <t>3150728,0</t>
  </si>
  <si>
    <t>Iris9184[4, 6, 9, 3]</t>
  </si>
  <si>
    <t>1411,0</t>
  </si>
  <si>
    <t>163056212,0</t>
  </si>
  <si>
    <t>2418,0</t>
  </si>
  <si>
    <t>0,617977499961853</t>
  </si>
  <si>
    <t>2991840,0</t>
  </si>
  <si>
    <t>3080138,0</t>
  </si>
  <si>
    <t>Iris9184[4, 8, 3]</t>
  </si>
  <si>
    <t>1915,0</t>
  </si>
  <si>
    <t>226746002,0</t>
  </si>
  <si>
    <t>2152,0</t>
  </si>
  <si>
    <t>2868449,0</t>
  </si>
  <si>
    <t>3077094,0</t>
  </si>
  <si>
    <t>Iris9184[4, 8, 4, 3]</t>
  </si>
  <si>
    <t>3295,0</t>
  </si>
  <si>
    <t>465802256,0</t>
  </si>
  <si>
    <t>4065,0</t>
  </si>
  <si>
    <t>3086650,0</t>
  </si>
  <si>
    <t>3427613,0</t>
  </si>
  <si>
    <t>Iris9184[4, 8, 9, 3]</t>
  </si>
  <si>
    <t>20</t>
  </si>
  <si>
    <t>2593,0</t>
  </si>
  <si>
    <t>266573812,0</t>
  </si>
  <si>
    <t>2126,0</t>
  </si>
  <si>
    <t>3331748,0</t>
  </si>
  <si>
    <t>3482025,0</t>
  </si>
  <si>
    <t>Iris9205[4, 10, 4, 3]</t>
  </si>
  <si>
    <t>4418,0</t>
  </si>
  <si>
    <t>287740212,0</t>
  </si>
  <si>
    <t>2081,0</t>
  </si>
  <si>
    <t>3367913,0</t>
  </si>
  <si>
    <t>3563433,0</t>
  </si>
  <si>
    <t>Iris9205[4, 10, 9, 3]</t>
  </si>
  <si>
    <t>3043,0</t>
  </si>
  <si>
    <t>382338418,0</t>
  </si>
  <si>
    <t>3441,0</t>
  </si>
  <si>
    <t>0,3947368562221527</t>
  </si>
  <si>
    <t>386796476,0</t>
  </si>
  <si>
    <t>416668377,0</t>
  </si>
  <si>
    <t>Iris9205[4, 12, 4, 3]</t>
  </si>
  <si>
    <t>5148,0</t>
  </si>
  <si>
    <t>276767558,0</t>
  </si>
  <si>
    <t>2237,0</t>
  </si>
  <si>
    <t>481387784,0</t>
  </si>
  <si>
    <t>5091,0</t>
  </si>
  <si>
    <t>48,0</t>
  </si>
  <si>
    <t>402022642,0</t>
  </si>
  <si>
    <t>5295,0</t>
  </si>
  <si>
    <t>49,0</t>
  </si>
  <si>
    <t>Iris9205[4, 12, 9, 3]</t>
  </si>
  <si>
    <t>594,0</t>
  </si>
  <si>
    <t>315454892,0</t>
  </si>
  <si>
    <t>2874421,0</t>
  </si>
  <si>
    <t>3044569,0</t>
  </si>
  <si>
    <t>Iris9205[4, 3, 3]</t>
  </si>
  <si>
    <t>248166307,0</t>
  </si>
  <si>
    <t>2179,0</t>
  </si>
  <si>
    <t>0,43820226192474365</t>
  </si>
  <si>
    <t>3056970,0</t>
  </si>
  <si>
    <t>3263839,0</t>
  </si>
  <si>
    <t>Iris9205[4, 4, 4, 3]</t>
  </si>
  <si>
    <t>2228,0</t>
  </si>
  <si>
    <t>434135319,0</t>
  </si>
  <si>
    <t>3538,0</t>
  </si>
  <si>
    <t>3409718,0</t>
  </si>
  <si>
    <t>3089705,0</t>
  </si>
  <si>
    <t>Iris9205[4, 4, 9, 3]</t>
  </si>
  <si>
    <t>1693,0</t>
  </si>
  <si>
    <t>496051793,0</t>
  </si>
  <si>
    <t>4312,0</t>
  </si>
  <si>
    <t>2953390,0</t>
  </si>
  <si>
    <t>3513103,0</t>
  </si>
  <si>
    <t>Iris9205[4, 6, 4, 3]</t>
  </si>
  <si>
    <t>2958,0</t>
  </si>
  <si>
    <t>257450959,0</t>
  </si>
  <si>
    <t>2009,0</t>
  </si>
  <si>
    <t>2919118,0</t>
  </si>
  <si>
    <t>2991333,0</t>
  </si>
  <si>
    <t>Iris9205[4, 6, 9, 3]</t>
  </si>
  <si>
    <t>1579,0</t>
  </si>
  <si>
    <t>858963734,0</t>
  </si>
  <si>
    <t>11475,0</t>
  </si>
  <si>
    <t>2764642,0</t>
  </si>
  <si>
    <t>3033343,0</t>
  </si>
  <si>
    <t>Iris9205[4, 8, 3]</t>
  </si>
  <si>
    <t>2143,0</t>
  </si>
  <si>
    <t>261218242,0</t>
  </si>
  <si>
    <t>2145,0</t>
  </si>
  <si>
    <t>0,483146071434021</t>
  </si>
  <si>
    <t>2923549,0</t>
  </si>
  <si>
    <t>3386200,0</t>
  </si>
  <si>
    <t>Iris9205[4, 8, 4, 3]</t>
  </si>
  <si>
    <t>3688,0</t>
  </si>
  <si>
    <t>317722742,0</t>
  </si>
  <si>
    <t>2428,0</t>
  </si>
  <si>
    <t>3313528,0</t>
  </si>
  <si>
    <t>3146685,0</t>
  </si>
  <si>
    <t>Iris9205[4, 8, 9, 3]</t>
  </si>
  <si>
    <t>6061,0</t>
  </si>
  <si>
    <t>10089131420,0</t>
  </si>
  <si>
    <t>0,9629629850387573</t>
  </si>
  <si>
    <t>0,9777777791023254</t>
  </si>
  <si>
    <t>0,9555555555555556</t>
  </si>
  <si>
    <t>986970733,0</t>
  </si>
  <si>
    <t>5953,0</t>
  </si>
  <si>
    <t>0,9333333333333333</t>
  </si>
  <si>
    <t>1022802199,0</t>
  </si>
  <si>
    <t>6174,0</t>
  </si>
  <si>
    <t>Wine3103[13, 13, 13, 3]</t>
  </si>
  <si>
    <t>7346,0</t>
  </si>
  <si>
    <t>1283296126,0</t>
  </si>
  <si>
    <t>11118,0</t>
  </si>
  <si>
    <t>0,9629629629629629</t>
  </si>
  <si>
    <t>892500739,0</t>
  </si>
  <si>
    <t>7339,0</t>
  </si>
  <si>
    <t>56,0</t>
  </si>
  <si>
    <t>847940569,0</t>
  </si>
  <si>
    <t>7584,0</t>
  </si>
  <si>
    <t>Wine3103[13, 13, 18, 3]</t>
  </si>
  <si>
    <t>8631,0</t>
  </si>
  <si>
    <t>90431602,0</t>
  </si>
  <si>
    <t>697,0</t>
  </si>
  <si>
    <t>0,9905660377358491</t>
  </si>
  <si>
    <t>2978,0</t>
  </si>
  <si>
    <t>31171135,0</t>
  </si>
  <si>
    <t>8604,0</t>
  </si>
  <si>
    <t>2956,0</t>
  </si>
  <si>
    <t>29645486,0</t>
  </si>
  <si>
    <t>8869,0</t>
  </si>
  <si>
    <t>62,0</t>
  </si>
  <si>
    <t>Wine3103[13, 13, 23, 3]</t>
  </si>
  <si>
    <t>3601,0</t>
  </si>
  <si>
    <t>6037310208,0</t>
  </si>
  <si>
    <t>625355434,0</t>
  </si>
  <si>
    <t>3444,0</t>
  </si>
  <si>
    <t>833148581,0</t>
  </si>
  <si>
    <t>3613,0</t>
  </si>
  <si>
    <t>Wine3103[13, 14, 3]</t>
  </si>
  <si>
    <t>6895,0</t>
  </si>
  <si>
    <t>100358940,0</t>
  </si>
  <si>
    <t>725,0</t>
  </si>
  <si>
    <t>0,9333333373069763</t>
  </si>
  <si>
    <t>3110,0</t>
  </si>
  <si>
    <t>34772927,0</t>
  </si>
  <si>
    <t>6861,0</t>
  </si>
  <si>
    <t>54,0</t>
  </si>
  <si>
    <t>3173,0</t>
  </si>
  <si>
    <t>36098748,0</t>
  </si>
  <si>
    <t>7098,0</t>
  </si>
  <si>
    <t>Wine3103[13, 15, 13, 3]</t>
  </si>
  <si>
    <t>8340,0</t>
  </si>
  <si>
    <t>1490270234,0</t>
  </si>
  <si>
    <t>10088,0</t>
  </si>
  <si>
    <t>3014,0</t>
  </si>
  <si>
    <t>34724737,0</t>
  </si>
  <si>
    <t>8086,0</t>
  </si>
  <si>
    <t>3031,0</t>
  </si>
  <si>
    <t>35328030,0</t>
  </si>
  <si>
    <t>8343,0</t>
  </si>
  <si>
    <t>Wine3103[13, 15, 18, 3]</t>
  </si>
  <si>
    <t>9785,0</t>
  </si>
  <si>
    <t>13056990118,0</t>
  </si>
  <si>
    <t>84532,0</t>
  </si>
  <si>
    <t>2832,0</t>
  </si>
  <si>
    <t>33047675,0</t>
  </si>
  <si>
    <t>9688,0</t>
  </si>
  <si>
    <t>65,0</t>
  </si>
  <si>
    <t>0,9777777777777777</t>
  </si>
  <si>
    <t>2752,0</t>
  </si>
  <si>
    <t>33180270,0</t>
  </si>
  <si>
    <t>9969,0</t>
  </si>
  <si>
    <t>Wine3103[13, 15, 23, 3]</t>
  </si>
  <si>
    <t>7729,0</t>
  </si>
  <si>
    <t>1831027860,0</t>
  </si>
  <si>
    <t>13100,0</t>
  </si>
  <si>
    <t>0,9555555582046509</t>
  </si>
  <si>
    <t>3487,0</t>
  </si>
  <si>
    <t>38377518,0</t>
  </si>
  <si>
    <t>3137,0</t>
  </si>
  <si>
    <t>36830974,0</t>
  </si>
  <si>
    <t>7833,0</t>
  </si>
  <si>
    <t>Wine3103[13, 17, 13, 3]</t>
  </si>
  <si>
    <t>9334,0</t>
  </si>
  <si>
    <t>2222710710,0</t>
  </si>
  <si>
    <t>15239,0</t>
  </si>
  <si>
    <t>0,9716981053352356</t>
  </si>
  <si>
    <t>3181,0</t>
  </si>
  <si>
    <t>37189382,0</t>
  </si>
  <si>
    <t>9138,0</t>
  </si>
  <si>
    <t>2987,0</t>
  </si>
  <si>
    <t>33827514,0</t>
  </si>
  <si>
    <t>9411,0</t>
  </si>
  <si>
    <t>64,0</t>
  </si>
  <si>
    <t>Wine3103[13, 17, 18, 3]</t>
  </si>
  <si>
    <t>10939,0</t>
  </si>
  <si>
    <t>133608853,0</t>
  </si>
  <si>
    <t>841,0</t>
  </si>
  <si>
    <t>0,9528301954269409</t>
  </si>
  <si>
    <t>14085,0</t>
  </si>
  <si>
    <t>117684915,0</t>
  </si>
  <si>
    <t>10836,0</t>
  </si>
  <si>
    <t>1335645324,0</t>
  </si>
  <si>
    <t>11133,0</t>
  </si>
  <si>
    <t>70,0</t>
  </si>
  <si>
    <t>Wine3103[13, 17, 23, 3]</t>
  </si>
  <si>
    <t>8563,0</t>
  </si>
  <si>
    <t>29258524,0</t>
  </si>
  <si>
    <t>249,0</t>
  </si>
  <si>
    <t>0,9150943160057068</t>
  </si>
  <si>
    <t>1204426783,0</t>
  </si>
  <si>
    <t>13368,0</t>
  </si>
  <si>
    <t>108347435,0</t>
  </si>
  <si>
    <t>Wine3103[13, 19, 13, 3]</t>
  </si>
  <si>
    <t>10328,0</t>
  </si>
  <si>
    <t>61295010,0</t>
  </si>
  <si>
    <t>0,9245283007621765</t>
  </si>
  <si>
    <t>1342975316,0</t>
  </si>
  <si>
    <t>10254,0</t>
  </si>
  <si>
    <t>13626,0</t>
  </si>
  <si>
    <t>110849666,0</t>
  </si>
  <si>
    <t>10543,0</t>
  </si>
  <si>
    <t>Wine3103[13, 19, 18, 3]</t>
  </si>
  <si>
    <t>12093,0</t>
  </si>
  <si>
    <t>20857261,0</t>
  </si>
  <si>
    <t>0,9056603908538818</t>
  </si>
  <si>
    <t>1738618434,0</t>
  </si>
  <si>
    <t>12048,0</t>
  </si>
  <si>
    <t>1677876897,0</t>
  </si>
  <si>
    <t>12361,0</t>
  </si>
  <si>
    <t>Wine3103[13, 19, 23, 3]</t>
  </si>
  <si>
    <t>4886,0</t>
  </si>
  <si>
    <t>27660115,0</t>
  </si>
  <si>
    <t>412,0</t>
  </si>
  <si>
    <t>834052879,0</t>
  </si>
  <si>
    <t>4711,0</t>
  </si>
  <si>
    <t>838681508,0</t>
  </si>
  <si>
    <t>4908,0</t>
  </si>
  <si>
    <t>Wine3103[13, 19, 3]</t>
  </si>
  <si>
    <t>9397,0</t>
  </si>
  <si>
    <t>31461398,0</t>
  </si>
  <si>
    <t>228,0</t>
  </si>
  <si>
    <t>17894,0</t>
  </si>
  <si>
    <t>193479623,0</t>
  </si>
  <si>
    <t>13316,0</t>
  </si>
  <si>
    <t>129584151,0</t>
  </si>
  <si>
    <t>Wine3103[13, 21, 13, 3]</t>
  </si>
  <si>
    <t>11322,0</t>
  </si>
  <si>
    <t>77257415,0</t>
  </si>
  <si>
    <t>528,0</t>
  </si>
  <si>
    <t>0,9622641801834106</t>
  </si>
  <si>
    <t>58045,0</t>
  </si>
  <si>
    <t>833304786,0</t>
  </si>
  <si>
    <t>55297,0</t>
  </si>
  <si>
    <t>908920172,0</t>
  </si>
  <si>
    <t>11434,0</t>
  </si>
  <si>
    <t>Wine3103[13, 21, 18, 3]</t>
  </si>
  <si>
    <t>13247,0</t>
  </si>
  <si>
    <t>34728693,0</t>
  </si>
  <si>
    <t>222,0</t>
  </si>
  <si>
    <t>18257,0</t>
  </si>
  <si>
    <t>269570693,0</t>
  </si>
  <si>
    <t>12999,0</t>
  </si>
  <si>
    <t>76,0</t>
  </si>
  <si>
    <t>12931,0</t>
  </si>
  <si>
    <t>155980631,0</t>
  </si>
  <si>
    <t>13324,0</t>
  </si>
  <si>
    <t>77,0</t>
  </si>
  <si>
    <t>Wine3103[13, 21, 23, 3]</t>
  </si>
  <si>
    <t>6171,0</t>
  </si>
  <si>
    <t>37008009,0</t>
  </si>
  <si>
    <t>849625064,0</t>
  </si>
  <si>
    <t>869615139,0</t>
  </si>
  <si>
    <t>Wine3103[13, 24, 3]</t>
  </si>
  <si>
    <t>2316,0</t>
  </si>
  <si>
    <t>20147910,0</t>
  </si>
  <si>
    <t>198,0</t>
  </si>
  <si>
    <t>0,9259259259259259</t>
  </si>
  <si>
    <t>25049,0</t>
  </si>
  <si>
    <t>259459922,0</t>
  </si>
  <si>
    <t>2236,0</t>
  </si>
  <si>
    <t>24352,0</t>
  </si>
  <si>
    <t>236361130,0</t>
  </si>
  <si>
    <t>2373,0</t>
  </si>
  <si>
    <t>Wine3103[13, 9, 3]</t>
  </si>
  <si>
    <t>7192,0</t>
  </si>
  <si>
    <t>1466824305,0</t>
  </si>
  <si>
    <t>10701,0</t>
  </si>
  <si>
    <t>0,4528301954269409</t>
  </si>
  <si>
    <t>0,8518518805503845</t>
  </si>
  <si>
    <t>0,5111111402511597</t>
  </si>
  <si>
    <t>13582,0</t>
  </si>
  <si>
    <t>146300739,0</t>
  </si>
  <si>
    <t>31762,0</t>
  </si>
  <si>
    <t>424997526,0</t>
  </si>
  <si>
    <t>Wine3124[13, 13, 13, 3]</t>
  </si>
  <si>
    <t>8717,0</t>
  </si>
  <si>
    <t>2132403473,0</t>
  </si>
  <si>
    <t>14802,0</t>
  </si>
  <si>
    <t>0,5188679099082947</t>
  </si>
  <si>
    <t>0,4888888895511627</t>
  </si>
  <si>
    <t>18060,0</t>
  </si>
  <si>
    <t>227490350,0</t>
  </si>
  <si>
    <t>19066,0</t>
  </si>
  <si>
    <t>245245523,0</t>
  </si>
  <si>
    <t>Wine3124[13, 13, 18, 3]</t>
  </si>
  <si>
    <t>10242,0</t>
  </si>
  <si>
    <t>2326701153,0</t>
  </si>
  <si>
    <t>15898,0</t>
  </si>
  <si>
    <t>0,5660377144813538</t>
  </si>
  <si>
    <t>0,8888888955116272</t>
  </si>
  <si>
    <t>0,6666666865348816</t>
  </si>
  <si>
    <t>16351,0</t>
  </si>
  <si>
    <t>169832598,0</t>
  </si>
  <si>
    <t>18594,0</t>
  </si>
  <si>
    <t>208375239,0</t>
  </si>
  <si>
    <t>Wine3124[13, 13, 23, 3]</t>
  </si>
  <si>
    <t>4273,0</t>
  </si>
  <si>
    <t>932616886,0</t>
  </si>
  <si>
    <t>11320,0</t>
  </si>
  <si>
    <t>0,9339622855186462</t>
  </si>
  <si>
    <t>1306723632,0</t>
  </si>
  <si>
    <t>4144,0</t>
  </si>
  <si>
    <t>22615,0</t>
  </si>
  <si>
    <t>265527206,0</t>
  </si>
  <si>
    <t>4329,0</t>
  </si>
  <si>
    <t>Wine3124[13, 14, 3]</t>
  </si>
  <si>
    <t>8182,0</t>
  </si>
  <si>
    <t>838334913,0</t>
  </si>
  <si>
    <t>6260,0</t>
  </si>
  <si>
    <t>0,5849056839942932</t>
  </si>
  <si>
    <t>0,6000000238418579</t>
  </si>
  <si>
    <t>15674,0</t>
  </si>
  <si>
    <t>152719357,0</t>
  </si>
  <si>
    <t>15344,0</t>
  </si>
  <si>
    <t>148390086,0</t>
  </si>
  <si>
    <t>Wine3124[13, 15, 13, 3]</t>
  </si>
  <si>
    <t>9897,0</t>
  </si>
  <si>
    <t>897926745,0</t>
  </si>
  <si>
    <t>6354,0</t>
  </si>
  <si>
    <t>0,4811320900917053</t>
  </si>
  <si>
    <t>0,7407407164573669</t>
  </si>
  <si>
    <t>0,46666666865348816</t>
  </si>
  <si>
    <t>16467,0</t>
  </si>
  <si>
    <t>172714371,0</t>
  </si>
  <si>
    <t>19888,0</t>
  </si>
  <si>
    <t>242017036,0</t>
  </si>
  <si>
    <t>Wine3124[13, 15, 18, 3]</t>
  </si>
  <si>
    <t>11612,0</t>
  </si>
  <si>
    <t>1040042929,0</t>
  </si>
  <si>
    <t>6565,0</t>
  </si>
  <si>
    <t>0,6698113083839417</t>
  </si>
  <si>
    <t>0,8148148059844971</t>
  </si>
  <si>
    <t>0,5777778029441833</t>
  </si>
  <si>
    <t>24718,0</t>
  </si>
  <si>
    <t>1380183770,0</t>
  </si>
  <si>
    <t>16804,0</t>
  </si>
  <si>
    <t>812474507,0</t>
  </si>
  <si>
    <t>11739,0</t>
  </si>
  <si>
    <t>Wine3124[13, 15, 23, 3]</t>
  </si>
  <si>
    <t>9172,0</t>
  </si>
  <si>
    <t>919443343,0</t>
  </si>
  <si>
    <t>6361,0</t>
  </si>
  <si>
    <t>0,6320754885673523</t>
  </si>
  <si>
    <t>0,7777777910232544</t>
  </si>
  <si>
    <t>0,6222222447395325</t>
  </si>
  <si>
    <t>20271,0</t>
  </si>
  <si>
    <t>253528156,0</t>
  </si>
  <si>
    <t>13807,0</t>
  </si>
  <si>
    <t>141933084,0</t>
  </si>
  <si>
    <t>Wine3124[13, 17, 13, 3]</t>
  </si>
  <si>
    <t>11077,0</t>
  </si>
  <si>
    <t>2406800388,0</t>
  </si>
  <si>
    <t>15266,0</t>
  </si>
  <si>
    <t>0,6886792182922363</t>
  </si>
  <si>
    <t>0,9259259104728699</t>
  </si>
  <si>
    <t>0,7555555701255798</t>
  </si>
  <si>
    <t>18808,0</t>
  </si>
  <si>
    <t>233964825,0</t>
  </si>
  <si>
    <t>15286,0</t>
  </si>
  <si>
    <t>176044996,0</t>
  </si>
  <si>
    <t>Wine3124[13, 17, 18, 3]</t>
  </si>
  <si>
    <t>12982,0</t>
  </si>
  <si>
    <t>1062244668,0</t>
  </si>
  <si>
    <t>5736,0</t>
  </si>
  <si>
    <t>0,5094339847564697</t>
  </si>
  <si>
    <t>0,4444444477558136</t>
  </si>
  <si>
    <t>5811,0</t>
  </si>
  <si>
    <t>308446460,0</t>
  </si>
  <si>
    <t>12678,0</t>
  </si>
  <si>
    <t>5721,0</t>
  </si>
  <si>
    <t>301065054,0</t>
  </si>
  <si>
    <t>Wine3124[13, 17, 23, 3]</t>
  </si>
  <si>
    <t>10162,0</t>
  </si>
  <si>
    <t>1179024126,0</t>
  </si>
  <si>
    <t>7918,0</t>
  </si>
  <si>
    <t>0,5566037893295288</t>
  </si>
  <si>
    <t>5872,0</t>
  </si>
  <si>
    <t>67009339,0</t>
  </si>
  <si>
    <t>7056,0</t>
  </si>
  <si>
    <t>77046781,0</t>
  </si>
  <si>
    <t>Wine3124[13, 19, 13, 3]</t>
  </si>
  <si>
    <t>12257,0</t>
  </si>
  <si>
    <t>971093105,0</t>
  </si>
  <si>
    <t>5738,0</t>
  </si>
  <si>
    <t>0,5471698045730591</t>
  </si>
  <si>
    <t>5857,0</t>
  </si>
  <si>
    <t>311265116,0</t>
  </si>
  <si>
    <t>6951,0</t>
  </si>
  <si>
    <t>371614652,0</t>
  </si>
  <si>
    <t>Wine3124[13, 19, 18, 3]</t>
  </si>
  <si>
    <t>14352,0</t>
  </si>
  <si>
    <t>1242492901,0</t>
  </si>
  <si>
    <t>6619,0</t>
  </si>
  <si>
    <t>0,698113203048706</t>
  </si>
  <si>
    <t>5750,0</t>
  </si>
  <si>
    <t>310452747,0</t>
  </si>
  <si>
    <t>14323,0</t>
  </si>
  <si>
    <t>5744,0</t>
  </si>
  <si>
    <t>303784189,0</t>
  </si>
  <si>
    <t>14664,0</t>
  </si>
  <si>
    <t>81,0</t>
  </si>
  <si>
    <t>Wine3124[13, 19, 23, 3]</t>
  </si>
  <si>
    <t>5798,0</t>
  </si>
  <si>
    <t>61878823,0</t>
  </si>
  <si>
    <t>682,0</t>
  </si>
  <si>
    <t>13712,0</t>
  </si>
  <si>
    <t>146020539,0</t>
  </si>
  <si>
    <t>14014,0</t>
  </si>
  <si>
    <t>149829107,0</t>
  </si>
  <si>
    <t>Wine3124[13, 19, 3]</t>
  </si>
  <si>
    <t>11152,0</t>
  </si>
  <si>
    <t>1472910827,0</t>
  </si>
  <si>
    <t>8943,0</t>
  </si>
  <si>
    <t>0,7264150977134705</t>
  </si>
  <si>
    <t>0,800000011920929</t>
  </si>
  <si>
    <t>5812,0</t>
  </si>
  <si>
    <t>74749092,0</t>
  </si>
  <si>
    <t>5826,0</t>
  </si>
  <si>
    <t>342192294,0</t>
  </si>
  <si>
    <t>Wine3124[13, 21, 13, 3]</t>
  </si>
  <si>
    <t>13437,0</t>
  </si>
  <si>
    <t>992167390,0</t>
  </si>
  <si>
    <t>6016,0</t>
  </si>
  <si>
    <t>11059,0</t>
  </si>
  <si>
    <t>539920375,0</t>
  </si>
  <si>
    <t>13768,0</t>
  </si>
  <si>
    <t>601678925,0</t>
  </si>
  <si>
    <t>13653,0</t>
  </si>
  <si>
    <t>78,0</t>
  </si>
  <si>
    <t>Wine3124[13, 21, 18, 3]</t>
  </si>
  <si>
    <t>15722,0</t>
  </si>
  <si>
    <t>1590360249,0</t>
  </si>
  <si>
    <t>8757,0</t>
  </si>
  <si>
    <t>0,8113207817077637</t>
  </si>
  <si>
    <t>0,7111111283302307</t>
  </si>
  <si>
    <t>11033,0</t>
  </si>
  <si>
    <t>596825280,0</t>
  </si>
  <si>
    <t>15711,0</t>
  </si>
  <si>
    <t>84,0</t>
  </si>
  <si>
    <t>6469,0</t>
  </si>
  <si>
    <t>326665959,0</t>
  </si>
  <si>
    <t>16068,0</t>
  </si>
  <si>
    <t>Wine3124[13, 21, 23, 3]</t>
  </si>
  <si>
    <t>7323,0</t>
  </si>
  <si>
    <t>64307442,0</t>
  </si>
  <si>
    <t>664,0</t>
  </si>
  <si>
    <t>0,9433962106704712</t>
  </si>
  <si>
    <t>13640,0</t>
  </si>
  <si>
    <t>146607069,0</t>
  </si>
  <si>
    <t>1464296172,0</t>
  </si>
  <si>
    <t>Wine3124[13, 24, 3]</t>
  </si>
  <si>
    <t>2748,0</t>
  </si>
  <si>
    <t>901977090,0</t>
  </si>
  <si>
    <t>11925,0</t>
  </si>
  <si>
    <t>32540,0</t>
  </si>
  <si>
    <t>365030540,0</t>
  </si>
  <si>
    <t>2659,0</t>
  </si>
  <si>
    <t>1250519787,0</t>
  </si>
  <si>
    <t>2808,0</t>
  </si>
  <si>
    <t>Wine3124[13, 9, 3]</t>
  </si>
  <si>
    <t>8323,0</t>
  </si>
  <si>
    <t>895037429,0</t>
  </si>
  <si>
    <t>5321,0</t>
  </si>
  <si>
    <t>0,6037735939025879</t>
  </si>
  <si>
    <t>0,5333333611488342</t>
  </si>
  <si>
    <t>8568,0</t>
  </si>
  <si>
    <t>98417418,0</t>
  </si>
  <si>
    <t>9658,0</t>
  </si>
  <si>
    <t>107730575,0</t>
  </si>
  <si>
    <t>Wine3145[13, 13, 13, 3]</t>
  </si>
  <si>
    <t>1965505562,0</t>
  </si>
  <si>
    <t>11385,0</t>
  </si>
  <si>
    <t>9638,0</t>
  </si>
  <si>
    <t>109255313,0</t>
  </si>
  <si>
    <t>14105,0</t>
  </si>
  <si>
    <t>162978134,0</t>
  </si>
  <si>
    <t>Wine3145[13, 13, 18, 3]</t>
  </si>
  <si>
    <t>11853,0</t>
  </si>
  <si>
    <t>1153061439,0</t>
  </si>
  <si>
    <t>6607,0</t>
  </si>
  <si>
    <t>13532,0</t>
  </si>
  <si>
    <t>628572456,0</t>
  </si>
  <si>
    <t>13417,0</t>
  </si>
  <si>
    <t>652869489,0</t>
  </si>
  <si>
    <t>Wine3145[13, 13, 23, 3]</t>
  </si>
  <si>
    <t>4945,0</t>
  </si>
  <si>
    <t>820147412,0</t>
  </si>
  <si>
    <t>8559,0</t>
  </si>
  <si>
    <t>0,7735849022865295</t>
  </si>
  <si>
    <t>14301,0</t>
  </si>
  <si>
    <t>151951976,0</t>
  </si>
  <si>
    <t>7548,0</t>
  </si>
  <si>
    <t>80008789,0</t>
  </si>
  <si>
    <t>5109,0</t>
  </si>
  <si>
    <t>Wine3145[13, 14, 3]</t>
  </si>
  <si>
    <t>9469,0</t>
  </si>
  <si>
    <t>889712516,0</t>
  </si>
  <si>
    <t>5340,0</t>
  </si>
  <si>
    <t>0,3777777850627899</t>
  </si>
  <si>
    <t>21039,0</t>
  </si>
  <si>
    <t>290424930,0</t>
  </si>
  <si>
    <t>13702,0</t>
  </si>
  <si>
    <t>162996860,0</t>
  </si>
  <si>
    <t>Wine3145[13, 15, 13, 3]</t>
  </si>
  <si>
    <t>11454,0</t>
  </si>
  <si>
    <t>1491132253,0</t>
  </si>
  <si>
    <t>9386,0</t>
  </si>
  <si>
    <t>13886,0</t>
  </si>
  <si>
    <t>693586423,0</t>
  </si>
  <si>
    <t>13512,0</t>
  </si>
  <si>
    <t>625113658,0</t>
  </si>
  <si>
    <t>Wine3145[13, 15, 18, 3]</t>
  </si>
  <si>
    <t>13439,0</t>
  </si>
  <si>
    <t>1131781676,0</t>
  </si>
  <si>
    <t>6437,0</t>
  </si>
  <si>
    <t>13898,0</t>
  </si>
  <si>
    <t>669733829,0</t>
  </si>
  <si>
    <t>13812,0</t>
  </si>
  <si>
    <t>674816616,0</t>
  </si>
  <si>
    <t>Wine3145[13, 15, 23, 3]</t>
  </si>
  <si>
    <t>10615,0</t>
  </si>
  <si>
    <t>1171072540,0</t>
  </si>
  <si>
    <t>7020,0</t>
  </si>
  <si>
    <t>0,4000000059604645</t>
  </si>
  <si>
    <t>11672,0</t>
  </si>
  <si>
    <t>139491446,0</t>
  </si>
  <si>
    <t>13836,0</t>
  </si>
  <si>
    <t>159558386,0</t>
  </si>
  <si>
    <t>Wine3145[13, 17, 13, 3]</t>
  </si>
  <si>
    <t>12820,0</t>
  </si>
  <si>
    <t>1334636134,0</t>
  </si>
  <si>
    <t>7594,0</t>
  </si>
  <si>
    <t>2142,0</t>
  </si>
  <si>
    <t>117660337,0</t>
  </si>
  <si>
    <t>0,7111111111111111</t>
  </si>
  <si>
    <t>0,8148148148148148</t>
  </si>
  <si>
    <t>0,5943396226415094</t>
  </si>
  <si>
    <t>4298546,0</t>
  </si>
  <si>
    <t>Wine3145[13, 17, 18, 3]</t>
  </si>
  <si>
    <t>15025,0</t>
  </si>
  <si>
    <t>1153898353,0</t>
  </si>
  <si>
    <t>6113,0</t>
  </si>
  <si>
    <t>0,801886796951294</t>
  </si>
  <si>
    <t>1989,0</t>
  </si>
  <si>
    <t>102895739,0</t>
  </si>
  <si>
    <t>15009,0</t>
  </si>
  <si>
    <t>0,8518518518518519</t>
  </si>
  <si>
    <t>4858765,0</t>
  </si>
  <si>
    <t>15358,0</t>
  </si>
  <si>
    <t>Wine3145[13, 17, 23, 3]</t>
  </si>
  <si>
    <t>11761,0</t>
  </si>
  <si>
    <t>1105329466,0</t>
  </si>
  <si>
    <t>6424,0</t>
  </si>
  <si>
    <t>0,43396225571632385</t>
  </si>
  <si>
    <t>108492570,0</t>
  </si>
  <si>
    <t>0,6132075471698113</t>
  </si>
  <si>
    <t>4402328,0</t>
  </si>
  <si>
    <t>Wine3145[13, 19, 13, 3]</t>
  </si>
  <si>
    <t>14186,0</t>
  </si>
  <si>
    <t>968763389,0</t>
  </si>
  <si>
    <t>5223,0</t>
  </si>
  <si>
    <t>0,37735849618911743</t>
  </si>
  <si>
    <t>0,35555556416511536</t>
  </si>
  <si>
    <t>97096640,0</t>
  </si>
  <si>
    <t>13986,0</t>
  </si>
  <si>
    <t>0,6888888888888889</t>
  </si>
  <si>
    <t>0,5849056603773585</t>
  </si>
  <si>
    <t>1828255,0</t>
  </si>
  <si>
    <t>Wine3145[13, 19, 18, 3]</t>
  </si>
  <si>
    <t>16611,0</t>
  </si>
  <si>
    <t>1072549256,0</t>
  </si>
  <si>
    <t>5478,0</t>
  </si>
  <si>
    <t>1938,0</t>
  </si>
  <si>
    <t>99082023,0</t>
  </si>
  <si>
    <t>16429,0</t>
  </si>
  <si>
    <t>4411353,0</t>
  </si>
  <si>
    <t>16794,0</t>
  </si>
  <si>
    <t>Wine3145[13, 19, 23, 3]</t>
  </si>
  <si>
    <t>6710,0</t>
  </si>
  <si>
    <t>671094774,0</t>
  </si>
  <si>
    <t>6304,0</t>
  </si>
  <si>
    <t>0,8207547068595886</t>
  </si>
  <si>
    <t>0,7333333492279053</t>
  </si>
  <si>
    <t>9568,0</t>
  </si>
  <si>
    <t>102899777,0</t>
  </si>
  <si>
    <t>6628,0</t>
  </si>
  <si>
    <t>53,0</t>
  </si>
  <si>
    <t>9802,0</t>
  </si>
  <si>
    <t>105576535,0</t>
  </si>
  <si>
    <t>Wine3145[13, 19, 3]</t>
  </si>
  <si>
    <t>12907,0</t>
  </si>
  <si>
    <t>1245710890,0</t>
  </si>
  <si>
    <t>108961939,0</t>
  </si>
  <si>
    <t>0,6037735849056604</t>
  </si>
  <si>
    <t>4570528,0</t>
  </si>
  <si>
    <t>Wine3145[13, 21, 13, 3]</t>
  </si>
  <si>
    <t>15552,0</t>
  </si>
  <si>
    <t>1836362412,0</t>
  </si>
  <si>
    <t>9437,0</t>
  </si>
  <si>
    <t>106383893,0</t>
  </si>
  <si>
    <t>2987070,0</t>
  </si>
  <si>
    <t>Wine3145[13, 21, 18, 3]</t>
  </si>
  <si>
    <t>18197,0</t>
  </si>
  <si>
    <t>1300988689,0</t>
  </si>
  <si>
    <t>6650,0</t>
  </si>
  <si>
    <t>0,49056604504585266</t>
  </si>
  <si>
    <t>3264,0</t>
  </si>
  <si>
    <t>178484269,0</t>
  </si>
  <si>
    <t>17913,0</t>
  </si>
  <si>
    <t>4365096,0</t>
  </si>
  <si>
    <t>18294,0</t>
  </si>
  <si>
    <t>Wine3145[13, 21, 23, 3]</t>
  </si>
  <si>
    <t>8475,0</t>
  </si>
  <si>
    <t>837382551,0</t>
  </si>
  <si>
    <t>7112,0</t>
  </si>
  <si>
    <t>0,9111111164093018</t>
  </si>
  <si>
    <t>7779,0</t>
  </si>
  <si>
    <t>86015154,0</t>
  </si>
  <si>
    <t>20213,0</t>
  </si>
  <si>
    <t>268542701,0</t>
  </si>
  <si>
    <t>Wine3145[13, 24, 3]</t>
  </si>
  <si>
    <t>3180,0</t>
  </si>
  <si>
    <t>708886225,0</t>
  </si>
  <si>
    <t>7989,0</t>
  </si>
  <si>
    <t>0,8867924809455872</t>
  </si>
  <si>
    <t>0,8444444537162781</t>
  </si>
  <si>
    <t>16780,0</t>
  </si>
  <si>
    <t>179160601,0</t>
  </si>
  <si>
    <t>27542,0</t>
  </si>
  <si>
    <t>321011325,0</t>
  </si>
  <si>
    <t>3279,0</t>
  </si>
  <si>
    <t>Wine3145[13, 9, 3]</t>
  </si>
  <si>
    <t>4930,0</t>
  </si>
  <si>
    <t>32613465,0</t>
  </si>
  <si>
    <t>22438,0</t>
  </si>
  <si>
    <t>209323285,0</t>
  </si>
  <si>
    <t>20830,0</t>
  </si>
  <si>
    <t>185881302,0</t>
  </si>
  <si>
    <t>Wine382[13, 13, 13, 3]</t>
  </si>
  <si>
    <t>5975,0</t>
  </si>
  <si>
    <t>29948749,0</t>
  </si>
  <si>
    <t>26050,0</t>
  </si>
  <si>
    <t>258715331,0</t>
  </si>
  <si>
    <t>22042,0</t>
  </si>
  <si>
    <t>202268788,0</t>
  </si>
  <si>
    <t>Wine382[13, 13, 18, 3]</t>
  </si>
  <si>
    <t>35721363,0</t>
  </si>
  <si>
    <t>248,0</t>
  </si>
  <si>
    <t>21676,0</t>
  </si>
  <si>
    <t>219519198,0</t>
  </si>
  <si>
    <t>20712,0</t>
  </si>
  <si>
    <t>192101180,0</t>
  </si>
  <si>
    <t>Wine382[13, 13, 23, 3]</t>
  </si>
  <si>
    <t>2929,0</t>
  </si>
  <si>
    <t>21664229,0</t>
  </si>
  <si>
    <t>0,8888888888888888</t>
  </si>
  <si>
    <t>20640,0</t>
  </si>
  <si>
    <t>172079730,0</t>
  </si>
  <si>
    <t>24603,0</t>
  </si>
  <si>
    <t>210740416,0</t>
  </si>
  <si>
    <t>2961,0</t>
  </si>
  <si>
    <t>Wine382[13, 14, 3]</t>
  </si>
  <si>
    <t>5608,0</t>
  </si>
  <si>
    <t>39979699,0</t>
  </si>
  <si>
    <t>23616,0</t>
  </si>
  <si>
    <t>232791308,0</t>
  </si>
  <si>
    <t>5523,0</t>
  </si>
  <si>
    <t>20823,0</t>
  </si>
  <si>
    <t>188634813,0</t>
  </si>
  <si>
    <t>Wine382[13, 15, 13, 3]</t>
  </si>
  <si>
    <t>6783,0</t>
  </si>
  <si>
    <t>46575177,0</t>
  </si>
  <si>
    <t>20056,0</t>
  </si>
  <si>
    <t>216793283,0</t>
  </si>
  <si>
    <t>19497,0</t>
  </si>
  <si>
    <t>176075464,0</t>
  </si>
  <si>
    <t>Wine382[13, 15, 18, 3]</t>
  </si>
  <si>
    <t>7958,0</t>
  </si>
  <si>
    <t>47501733,0</t>
  </si>
  <si>
    <t>310,0</t>
  </si>
  <si>
    <t>19914,0</t>
  </si>
  <si>
    <t>224503480,0</t>
  </si>
  <si>
    <t>21190,0</t>
  </si>
  <si>
    <t>203834072,0</t>
  </si>
  <si>
    <t>Wine382[13, 15, 23, 3]</t>
  </si>
  <si>
    <t>6286,0</t>
  </si>
  <si>
    <t>56583743,0</t>
  </si>
  <si>
    <t>423,0</t>
  </si>
  <si>
    <t>21352,0</t>
  </si>
  <si>
    <t>243606910,0</t>
  </si>
  <si>
    <t>19390,0</t>
  </si>
  <si>
    <t>195365444,0</t>
  </si>
  <si>
    <t>6399,0</t>
  </si>
  <si>
    <t>Wine382[13, 17, 13, 3]</t>
  </si>
  <si>
    <t>7591,0</t>
  </si>
  <si>
    <t>53530783,0</t>
  </si>
  <si>
    <t>370,0</t>
  </si>
  <si>
    <t>21287,0</t>
  </si>
  <si>
    <t>246091769,0</t>
  </si>
  <si>
    <t>19921,0</t>
  </si>
  <si>
    <t>205110891,0</t>
  </si>
  <si>
    <t>Wine382[13, 17, 18, 3]</t>
  </si>
  <si>
    <t>8896,0</t>
  </si>
  <si>
    <t>36066963,0</t>
  </si>
  <si>
    <t>229,0</t>
  </si>
  <si>
    <t>20570,0</t>
  </si>
  <si>
    <t>232981688,0</t>
  </si>
  <si>
    <t>19113,0</t>
  </si>
  <si>
    <t>184427545,0</t>
  </si>
  <si>
    <t>Wine382[13, 17, 23, 3]</t>
  </si>
  <si>
    <t>6964,0</t>
  </si>
  <si>
    <t>48892484,0</t>
  </si>
  <si>
    <t>348,0</t>
  </si>
  <si>
    <t>19588,0</t>
  </si>
  <si>
    <t>224086067,0</t>
  </si>
  <si>
    <t>23325,0</t>
  </si>
  <si>
    <t>242180617,0</t>
  </si>
  <si>
    <t>Wine382[13, 19, 13, 3]</t>
  </si>
  <si>
    <t>8399,0</t>
  </si>
  <si>
    <t>49520269,0</t>
  </si>
  <si>
    <t>317,0</t>
  </si>
  <si>
    <t>20183,0</t>
  </si>
  <si>
    <t>230890838,0</t>
  </si>
  <si>
    <t>20612,0</t>
  </si>
  <si>
    <t>217499621,0</t>
  </si>
  <si>
    <t>Wine382[13, 19, 18, 3]</t>
  </si>
  <si>
    <t>9834,0</t>
  </si>
  <si>
    <t>42530558,0</t>
  </si>
  <si>
    <t>252,0</t>
  </si>
  <si>
    <t>19828,0</t>
  </si>
  <si>
    <t>242668319,0</t>
  </si>
  <si>
    <t>20348,0</t>
  </si>
  <si>
    <t>210780344,0</t>
  </si>
  <si>
    <t>Wine382[13, 19, 23, 3]</t>
  </si>
  <si>
    <t>20433462,0</t>
  </si>
  <si>
    <t>238,0</t>
  </si>
  <si>
    <t>21729,0</t>
  </si>
  <si>
    <t>191206342,0</t>
  </si>
  <si>
    <t>3963,0</t>
  </si>
  <si>
    <t>24454,0</t>
  </si>
  <si>
    <t>216299608,0</t>
  </si>
  <si>
    <t>Wine382[13, 19, 3]</t>
  </si>
  <si>
    <t>7642,0</t>
  </si>
  <si>
    <t>57000079,0</t>
  </si>
  <si>
    <t>380,0</t>
  </si>
  <si>
    <t>23403,0</t>
  </si>
  <si>
    <t>289652712,0</t>
  </si>
  <si>
    <t>21989,0</t>
  </si>
  <si>
    <t>235166997,0</t>
  </si>
  <si>
    <t>Wine382[13, 21, 13, 3]</t>
  </si>
  <si>
    <t>9207,0</t>
  </si>
  <si>
    <t>37888775,0</t>
  </si>
  <si>
    <t>26018,0</t>
  </si>
  <si>
    <t>343811499,0</t>
  </si>
  <si>
    <t>23079,0</t>
  </si>
  <si>
    <t>293962734,0</t>
  </si>
  <si>
    <t>Wine382[13, 21, 18, 3]</t>
  </si>
  <si>
    <t>10772,0</t>
  </si>
  <si>
    <t>63881723,0</t>
  </si>
  <si>
    <t>19669,0</t>
  </si>
  <si>
    <t>241945130,0</t>
  </si>
  <si>
    <t>18919,0</t>
  </si>
  <si>
    <t>234639044,0</t>
  </si>
  <si>
    <t>Wine382[13, 21, 23, 3]</t>
  </si>
  <si>
    <t>30369786,0</t>
  </si>
  <si>
    <t>329,0</t>
  </si>
  <si>
    <t>24643,0</t>
  </si>
  <si>
    <t>236132955,0</t>
  </si>
  <si>
    <t>23720,0</t>
  </si>
  <si>
    <t>214607480,0</t>
  </si>
  <si>
    <t>Wine382[13, 24, 3]</t>
  </si>
  <si>
    <t>1884,0</t>
  </si>
  <si>
    <t>17096336,0</t>
  </si>
  <si>
    <t>8708235215,0</t>
  </si>
  <si>
    <t>1849,0</t>
  </si>
  <si>
    <t>8749226928,0</t>
  </si>
  <si>
    <t>Wine382[13, 9, 3]</t>
  </si>
  <si>
    <t>5684,0</t>
  </si>
  <si>
    <t>29179870,0</t>
  </si>
  <si>
    <t>270,0</t>
  </si>
  <si>
    <t>4641,0</t>
  </si>
  <si>
    <t>50227938,0</t>
  </si>
  <si>
    <t>0,28888888888888886</t>
  </si>
  <si>
    <t>0,6666666666666666</t>
  </si>
  <si>
    <t>0,4339622641509434</t>
  </si>
  <si>
    <t>724552,0</t>
  </si>
  <si>
    <t>Wine5102[13, 13, 13, 3]</t>
  </si>
  <si>
    <t>6889,0</t>
  </si>
  <si>
    <t>39705378,0</t>
  </si>
  <si>
    <t>335,0</t>
  </si>
  <si>
    <t>4182,0</t>
  </si>
  <si>
    <t>48125976,0</t>
  </si>
  <si>
    <t>0,6296296296296297</t>
  </si>
  <si>
    <t>778788,0</t>
  </si>
  <si>
    <t>Wine5102[13, 13, 18, 3]</t>
  </si>
  <si>
    <t>8094,0</t>
  </si>
  <si>
    <t>25153334,0</t>
  </si>
  <si>
    <t>3978,0</t>
  </si>
  <si>
    <t>46136334,0</t>
  </si>
  <si>
    <t>685328,0</t>
  </si>
  <si>
    <t>Wine5102[13, 13, 23, 3]</t>
  </si>
  <si>
    <t>3377,0</t>
  </si>
  <si>
    <t>3378077,0</t>
  </si>
  <si>
    <t>48284859,0</t>
  </si>
  <si>
    <t>0,4444444444444444</t>
  </si>
  <si>
    <t>724934,0</t>
  </si>
  <si>
    <t>Wine5102[13, 14, 3]</t>
  </si>
  <si>
    <t>27037524,0</t>
  </si>
  <si>
    <t>231,0</t>
  </si>
  <si>
    <t>4335,0</t>
  </si>
  <si>
    <t>48852154,0</t>
  </si>
  <si>
    <t>514278,0</t>
  </si>
  <si>
    <t>Wine5102[13, 15, 13, 3]</t>
  </si>
  <si>
    <t>7821,0</t>
  </si>
  <si>
    <t>27803409,0</t>
  </si>
  <si>
    <t>223,0</t>
  </si>
  <si>
    <t>4437,0</t>
  </si>
  <si>
    <t>49746479,0</t>
  </si>
  <si>
    <t>741049,0</t>
  </si>
  <si>
    <t>Wine5102[13, 15, 18, 3]</t>
  </si>
  <si>
    <t>12898412102,0</t>
  </si>
  <si>
    <t>43967637,0</t>
  </si>
  <si>
    <t>0,9622641509433962</t>
  </si>
  <si>
    <t>6410062,0</t>
  </si>
  <si>
    <t>Wine5102[13, 15, 23, 3]</t>
  </si>
  <si>
    <t>7248,0</t>
  </si>
  <si>
    <t>10707133135,0</t>
  </si>
  <si>
    <t>12995946,0</t>
  </si>
  <si>
    <t>0,9111111111111111</t>
  </si>
  <si>
    <t>2207,0</t>
  </si>
  <si>
    <t>17646797,0</t>
  </si>
  <si>
    <t>Wine5102[13, 17, 13, 3]</t>
  </si>
  <si>
    <t>8753,0</t>
  </si>
  <si>
    <t>19517314,0</t>
  </si>
  <si>
    <t>0,9905660152435303</t>
  </si>
  <si>
    <t>0,9716981132075472</t>
  </si>
  <si>
    <t>1085,0</t>
  </si>
  <si>
    <t>9671344,0</t>
  </si>
  <si>
    <t>1102,0</t>
  </si>
  <si>
    <t>10252023,0</t>
  </si>
  <si>
    <t>Wine5102[13, 17, 18, 3]</t>
  </si>
  <si>
    <t>10258,0</t>
  </si>
  <si>
    <t>12325657134,0</t>
  </si>
  <si>
    <t>11357491,0</t>
  </si>
  <si>
    <t>1107,0</t>
  </si>
  <si>
    <t>10447982,0</t>
  </si>
  <si>
    <t>Wine5102[13, 17, 23, 3]</t>
  </si>
  <si>
    <t>8030,0</t>
  </si>
  <si>
    <t>11371682065,0</t>
  </si>
  <si>
    <t>1150,0</t>
  </si>
  <si>
    <t>11009616,0</t>
  </si>
  <si>
    <t>1262,0</t>
  </si>
  <si>
    <t>11321121,0</t>
  </si>
  <si>
    <t>Wine5102[13, 19, 13, 3]</t>
  </si>
  <si>
    <t>9685,0</t>
  </si>
  <si>
    <t>21922567,0</t>
  </si>
  <si>
    <t>1479,0</t>
  </si>
  <si>
    <t>14813780,0</t>
  </si>
  <si>
    <t>948,0</t>
  </si>
  <si>
    <t>10372209,0</t>
  </si>
  <si>
    <t>Wine5102[13, 19, 18, 3]</t>
  </si>
  <si>
    <t>11340,0</t>
  </si>
  <si>
    <t>13899007,0</t>
  </si>
  <si>
    <t>3825,0</t>
  </si>
  <si>
    <t>31580556,0</t>
  </si>
  <si>
    <t>971,0</t>
  </si>
  <si>
    <t>45193223,0</t>
  </si>
  <si>
    <t>Wine5102[13, 19, 23, 3]</t>
  </si>
  <si>
    <t>4582,0</t>
  </si>
  <si>
    <t>7220999973,0</t>
  </si>
  <si>
    <t>4488,0</t>
  </si>
  <si>
    <t>49506595,0</t>
  </si>
  <si>
    <t>4518,0</t>
  </si>
  <si>
    <t>644206,0</t>
  </si>
  <si>
    <t>Wine5102[13, 19, 3]</t>
  </si>
  <si>
    <t>8812,0</t>
  </si>
  <si>
    <t>33157839,0</t>
  </si>
  <si>
    <t>32078574,0</t>
  </si>
  <si>
    <t>0,46226415094339623</t>
  </si>
  <si>
    <t>489510,0</t>
  </si>
  <si>
    <t>Wine5102[13, 21, 13, 3]</t>
  </si>
  <si>
    <t>10617,0</t>
  </si>
  <si>
    <t>41425230,0</t>
  </si>
  <si>
    <t>36672199,0</t>
  </si>
  <si>
    <t>0,48148148148148145</t>
  </si>
  <si>
    <t>514926,0</t>
  </si>
  <si>
    <t>Wine5102[13, 21, 18, 3]</t>
  </si>
  <si>
    <t>12422,0</t>
  </si>
  <si>
    <t>27811459,0</t>
  </si>
  <si>
    <t>80154735,0</t>
  </si>
  <si>
    <t>0,37037037037037035</t>
  </si>
  <si>
    <t>1259953,0</t>
  </si>
  <si>
    <t>Wine5102[13, 21, 23, 3]</t>
  </si>
  <si>
    <t>5787,0</t>
  </si>
  <si>
    <t>7147388,0</t>
  </si>
  <si>
    <t>4590,0</t>
  </si>
  <si>
    <t>50682719,0</t>
  </si>
  <si>
    <t>730834,0</t>
  </si>
  <si>
    <t>Wine5102[13, 24, 3]</t>
  </si>
  <si>
    <t>2172,0</t>
  </si>
  <si>
    <t>6101147527,0</t>
  </si>
  <si>
    <t>6120,0</t>
  </si>
  <si>
    <t>64620662,0</t>
  </si>
  <si>
    <t>0,5555555555555556</t>
  </si>
  <si>
    <t>609552,0</t>
  </si>
  <si>
    <t>Wine5102[13, 9, 3]</t>
  </si>
  <si>
    <t>6815,0</t>
  </si>
  <si>
    <t>18263294,0</t>
  </si>
  <si>
    <t>0,9811320900917053</t>
  </si>
  <si>
    <t>4539,0</t>
  </si>
  <si>
    <t>44833129,0</t>
  </si>
  <si>
    <t>0,3333333333333333</t>
  </si>
  <si>
    <t>508247,0</t>
  </si>
  <si>
    <t>Wine5123[13, 13, 13, 3]</t>
  </si>
  <si>
    <t>8260,0</t>
  </si>
  <si>
    <t>23649763,0</t>
  </si>
  <si>
    <t>4284,0</t>
  </si>
  <si>
    <t>43667821,0</t>
  </si>
  <si>
    <t>778845,0</t>
  </si>
  <si>
    <t>Wine5123[13, 13, 18, 3]</t>
  </si>
  <si>
    <t>9705,0</t>
  </si>
  <si>
    <t>28178528,0</t>
  </si>
  <si>
    <t>43451085,0</t>
  </si>
  <si>
    <t>558625,0</t>
  </si>
  <si>
    <t>Wine5123[13, 13, 23, 3]</t>
  </si>
  <si>
    <t>4049,0</t>
  </si>
  <si>
    <t>11677820,0</t>
  </si>
  <si>
    <t>5100,0</t>
  </si>
  <si>
    <t>45590914,0</t>
  </si>
  <si>
    <t>511355,0</t>
  </si>
  <si>
    <t>Wine5123[13, 14, 3]</t>
  </si>
  <si>
    <t>7753,0</t>
  </si>
  <si>
    <t>54464296,0</t>
  </si>
  <si>
    <t>45412047,0</t>
  </si>
  <si>
    <t>641137,0</t>
  </si>
  <si>
    <t>Wine5123[13, 15, 13, 3]</t>
  </si>
  <si>
    <t>9378,0</t>
  </si>
  <si>
    <t>35753567,0</t>
  </si>
  <si>
    <t>46247195,0</t>
  </si>
  <si>
    <t>0,5925925925925926</t>
  </si>
  <si>
    <t>571959,0</t>
  </si>
  <si>
    <t>Wine5123[13, 15, 18, 3]</t>
  </si>
  <si>
    <t>11003,0</t>
  </si>
  <si>
    <t>16319830,0</t>
  </si>
  <si>
    <t>3927,0</t>
  </si>
  <si>
    <t>42562481,0</t>
  </si>
  <si>
    <t>730660,0</t>
  </si>
  <si>
    <t>Wine5123[13, 15, 23, 3]</t>
  </si>
  <si>
    <t>8691,0</t>
  </si>
  <si>
    <t>52719992,0</t>
  </si>
  <si>
    <t>3876,0</t>
  </si>
  <si>
    <t>42112073,0</t>
  </si>
  <si>
    <t>674378,0</t>
  </si>
  <si>
    <t>Wine5123[13, 17, 13, 3]</t>
  </si>
  <si>
    <t>10496,0</t>
  </si>
  <si>
    <t>14175606,0</t>
  </si>
  <si>
    <t>4080,0</t>
  </si>
  <si>
    <t>46932176,0</t>
  </si>
  <si>
    <t>747784,0</t>
  </si>
  <si>
    <t>Wine5123[13, 17, 18, 3]</t>
  </si>
  <si>
    <t>12301,0</t>
  </si>
  <si>
    <t>27700452,0</t>
  </si>
  <si>
    <t>3774,0</t>
  </si>
  <si>
    <t>173588288,0</t>
  </si>
  <si>
    <t>0,4716981132075472</t>
  </si>
  <si>
    <t>4223803,0</t>
  </si>
  <si>
    <t>Wine5123[13, 17, 23, 3]</t>
  </si>
  <si>
    <t>9629,0</t>
  </si>
  <si>
    <t>32921014,0</t>
  </si>
  <si>
    <t>45555081,0</t>
  </si>
  <si>
    <t>701536,0</t>
  </si>
  <si>
    <t>Wine5123[13, 19, 13, 3]</t>
  </si>
  <si>
    <t>11614,0</t>
  </si>
  <si>
    <t>22478231,0</t>
  </si>
  <si>
    <t>119669862,0</t>
  </si>
  <si>
    <t>464376,0</t>
  </si>
  <si>
    <t>Wine5123[13, 19, 18, 3]</t>
  </si>
  <si>
    <t>13599,0</t>
  </si>
  <si>
    <t>22229604,0</t>
  </si>
  <si>
    <t>83030803,0</t>
  </si>
  <si>
    <t>0,4074074074074074</t>
  </si>
  <si>
    <t>749089,0</t>
  </si>
  <si>
    <t>Wine5123[13, 19, 23, 3]</t>
  </si>
  <si>
    <t>5494,0</t>
  </si>
  <si>
    <t>11227218,0</t>
  </si>
  <si>
    <t>4692,0</t>
  </si>
  <si>
    <t>43651781,0</t>
  </si>
  <si>
    <t>5314,0</t>
  </si>
  <si>
    <t>47,0</t>
  </si>
  <si>
    <t>496747,0</t>
  </si>
  <si>
    <t>Wine5123[13, 19, 3]</t>
  </si>
  <si>
    <t>10567,0</t>
  </si>
  <si>
    <t>21590299,0</t>
  </si>
  <si>
    <t>39515535,0</t>
  </si>
  <si>
    <t>0,5185185185185185</t>
  </si>
  <si>
    <t>609452,0</t>
  </si>
  <si>
    <t>Wine5123[13, 21, 13, 3]</t>
  </si>
  <si>
    <t>12732,0</t>
  </si>
  <si>
    <t>42312732,0</t>
  </si>
  <si>
    <t>267,0</t>
  </si>
  <si>
    <t>3570,0</t>
  </si>
  <si>
    <t>124894017,0</t>
  </si>
  <si>
    <t>1909087,0</t>
  </si>
  <si>
    <t>Wine5123[13, 21, 18, 3]</t>
  </si>
  <si>
    <t>14897,0</t>
  </si>
  <si>
    <t>43380317,0</t>
  </si>
  <si>
    <t>3519,0</t>
  </si>
  <si>
    <t>114001873,0</t>
  </si>
  <si>
    <t>0,3111111111111111</t>
  </si>
  <si>
    <t>0,5377358490566038</t>
  </si>
  <si>
    <t>1885333,0</t>
  </si>
  <si>
    <t>Wine5123[13, 21, 23, 3]</t>
  </si>
  <si>
    <t>6939,0</t>
  </si>
  <si>
    <t>8719737,0</t>
  </si>
  <si>
    <t>98,0</t>
  </si>
  <si>
    <t>40170811,0</t>
  </si>
  <si>
    <t>474926,0</t>
  </si>
  <si>
    <t>Wine5123[13, 24, 3]</t>
  </si>
  <si>
    <t>2604,0</t>
  </si>
  <si>
    <t>8534986,0</t>
  </si>
  <si>
    <t>5610,0</t>
  </si>
  <si>
    <t>46294048,0</t>
  </si>
  <si>
    <t>2514,0</t>
  </si>
  <si>
    <t>471770,0</t>
  </si>
  <si>
    <t>Wine5123[13, 9, 3]</t>
  </si>
  <si>
    <t>7946,0</t>
  </si>
  <si>
    <t>2672177163,0</t>
  </si>
  <si>
    <t>18447,0</t>
  </si>
  <si>
    <t>4386,0</t>
  </si>
  <si>
    <t>47845695,0</t>
  </si>
  <si>
    <t>687997,0</t>
  </si>
  <si>
    <t>Wine5144[13, 13, 13, 3]</t>
  </si>
  <si>
    <t>9631,0</t>
  </si>
  <si>
    <t>819996308,0</t>
  </si>
  <si>
    <t>5232,0</t>
  </si>
  <si>
    <t>0,46226415038108826</t>
  </si>
  <si>
    <t>4029,0</t>
  </si>
  <si>
    <t>45308648,0</t>
  </si>
  <si>
    <t>676129,0</t>
  </si>
  <si>
    <t>Wine5144[13, 13, 18, 3]</t>
  </si>
  <si>
    <t>11316,0</t>
  </si>
  <si>
    <t>1233867178,0</t>
  </si>
  <si>
    <t>8342,0</t>
  </si>
  <si>
    <t>42998541,0</t>
  </si>
  <si>
    <t>0,9150943396226415</t>
  </si>
  <si>
    <t>12518834,0</t>
  </si>
  <si>
    <t>Wine5144[13, 13, 23, 3]</t>
  </si>
  <si>
    <t>4721,0</t>
  </si>
  <si>
    <t>612428699,0</t>
  </si>
  <si>
    <t>6969,0</t>
  </si>
  <si>
    <t>4794,0</t>
  </si>
  <si>
    <t>49068290,0</t>
  </si>
  <si>
    <t>492325,0</t>
  </si>
  <si>
    <t>Wine5144[13, 14, 3]</t>
  </si>
  <si>
    <t>9040,0</t>
  </si>
  <si>
    <t>1052471513,0</t>
  </si>
  <si>
    <t>7663,0</t>
  </si>
  <si>
    <t>0,644444465637207</t>
  </si>
  <si>
    <t>42490746,0</t>
  </si>
  <si>
    <t>0,8444444444444444</t>
  </si>
  <si>
    <t>0,8962264150943396</t>
  </si>
  <si>
    <t>2229204,0</t>
  </si>
  <si>
    <t>Wine5144[13, 15, 13, 3]</t>
  </si>
  <si>
    <t>10935,0</t>
  </si>
  <si>
    <t>851560734,0</t>
  </si>
  <si>
    <t>5250,0</t>
  </si>
  <si>
    <t>41406268,0</t>
  </si>
  <si>
    <t>2268512,0</t>
  </si>
  <si>
    <t>Wine5144[13, 15, 18, 3]</t>
  </si>
  <si>
    <t>12830,0</t>
  </si>
  <si>
    <t>1283612294,0</t>
  </si>
  <si>
    <t>8744,0</t>
  </si>
  <si>
    <t>0,6415094137191772</t>
  </si>
  <si>
    <t>109437107,0</t>
  </si>
  <si>
    <t>15496746,0</t>
  </si>
  <si>
    <t>Wine5144[13, 15, 23, 3]</t>
  </si>
  <si>
    <t>10134,0</t>
  </si>
  <si>
    <t>745808400,0</t>
  </si>
  <si>
    <t>5581,0</t>
  </si>
  <si>
    <t>0,5754716992378235</t>
  </si>
  <si>
    <t>2448,0</t>
  </si>
  <si>
    <t>23699853,0</t>
  </si>
  <si>
    <t>2390972,0</t>
  </si>
  <si>
    <t>Wine5144[13, 17, 13, 3]</t>
  </si>
  <si>
    <t>12239,0</t>
  </si>
  <si>
    <t>963259016,0</t>
  </si>
  <si>
    <t>6703,0</t>
  </si>
  <si>
    <t>2346,0</t>
  </si>
  <si>
    <t>104827616,0</t>
  </si>
  <si>
    <t>0,8666666666666667</t>
  </si>
  <si>
    <t>0,9056603773584906</t>
  </si>
  <si>
    <t>18406724,0</t>
  </si>
  <si>
    <t>Wine5144[13, 17, 18, 3]</t>
  </si>
  <si>
    <t>14344,0</t>
  </si>
  <si>
    <t>814194167,0</t>
  </si>
  <si>
    <t>0,5283018946647644</t>
  </si>
  <si>
    <t>103210882,0</t>
  </si>
  <si>
    <t>0,9245283018867925</t>
  </si>
  <si>
    <t>20645400,0</t>
  </si>
  <si>
    <t>Wine5144[13, 17, 23, 3]</t>
  </si>
  <si>
    <t>11228,0</t>
  </si>
  <si>
    <t>897693056,0</t>
  </si>
  <si>
    <t>6455,0</t>
  </si>
  <si>
    <t>23527589,0</t>
  </si>
  <si>
    <t>19082573,0</t>
  </si>
  <si>
    <t>Wine5144[13, 19, 13, 3]</t>
  </si>
  <si>
    <t>13543,0</t>
  </si>
  <si>
    <t>2212348431,0</t>
  </si>
  <si>
    <t>0,650943398475647</t>
  </si>
  <si>
    <t>104489033,0</t>
  </si>
  <si>
    <t>16485372,0</t>
  </si>
  <si>
    <t>Wine5144[13, 19, 18, 3]</t>
  </si>
  <si>
    <t>15858,0</t>
  </si>
  <si>
    <t>1186973086,0</t>
  </si>
  <si>
    <t>7154,0</t>
  </si>
  <si>
    <t>2295,0</t>
  </si>
  <si>
    <t>121184633,0</t>
  </si>
  <si>
    <t>15722948,0</t>
  </si>
  <si>
    <t>Wine5144[13, 19, 23, 3]</t>
  </si>
  <si>
    <t>6406,0</t>
  </si>
  <si>
    <t>532279761,0</t>
  </si>
  <si>
    <t>5474,0</t>
  </si>
  <si>
    <t>47149679,0</t>
  </si>
  <si>
    <t>715204,0</t>
  </si>
  <si>
    <t>Wine5144[13, 19, 3]</t>
  </si>
  <si>
    <t>12322,0</t>
  </si>
  <si>
    <t>959571177,0</t>
  </si>
  <si>
    <t>6441,0</t>
  </si>
  <si>
    <t>128286653,0</t>
  </si>
  <si>
    <t>0,7333333333333333</t>
  </si>
  <si>
    <t>16484621,0</t>
  </si>
  <si>
    <t>Wine5144[13, 21, 13, 3]</t>
  </si>
  <si>
    <t>14847,0</t>
  </si>
  <si>
    <t>901482164,0</t>
  </si>
  <si>
    <t>5355,0</t>
  </si>
  <si>
    <t>0,5555555820465088</t>
  </si>
  <si>
    <t>100363646,0</t>
  </si>
  <si>
    <t>0,8222222222222222</t>
  </si>
  <si>
    <t>0,9339622641509434</t>
  </si>
  <si>
    <t>26487233,0</t>
  </si>
  <si>
    <t>Wine5144[13, 21, 18, 3]</t>
  </si>
  <si>
    <t>17372,0</t>
  </si>
  <si>
    <t>1310882981,0</t>
  </si>
  <si>
    <t>7604,0</t>
  </si>
  <si>
    <t>0,6888889074325562</t>
  </si>
  <si>
    <t>199332258,0</t>
  </si>
  <si>
    <t>17163,0</t>
  </si>
  <si>
    <t>21887969,0</t>
  </si>
  <si>
    <t>17536,0</t>
  </si>
  <si>
    <t>Wine5144[13, 21, 23, 3]</t>
  </si>
  <si>
    <t>638724819,0</t>
  </si>
  <si>
    <t>6055,0</t>
  </si>
  <si>
    <t>47691933,0</t>
  </si>
  <si>
    <t>744550,0</t>
  </si>
  <si>
    <t>Wine5144[13, 24, 3]</t>
  </si>
  <si>
    <t>3036,0</t>
  </si>
  <si>
    <t>402534856,0</t>
  </si>
  <si>
    <t>5193,0</t>
  </si>
  <si>
    <t>52342927,0</t>
  </si>
  <si>
    <t>584667,0</t>
  </si>
  <si>
    <t>Wine5144[13, 9, 3]</t>
  </si>
  <si>
    <t>9077,0</t>
  </si>
  <si>
    <t>936008560,0</t>
  </si>
  <si>
    <t>5816,0</t>
  </si>
  <si>
    <t>0,3962264060974121</t>
  </si>
  <si>
    <t>46930776,0</t>
  </si>
  <si>
    <t>0,8</t>
  </si>
  <si>
    <t>0,8773584905660378</t>
  </si>
  <si>
    <t>2759213,0</t>
  </si>
  <si>
    <t>Wine5165[13, 13, 13, 3]</t>
  </si>
  <si>
    <t>11002,0</t>
  </si>
  <si>
    <t>969226106,0</t>
  </si>
  <si>
    <t>5997,0</t>
  </si>
  <si>
    <t>45381358,0</t>
  </si>
  <si>
    <t>0,7777777777777778</t>
  </si>
  <si>
    <t>0,8584905660377359</t>
  </si>
  <si>
    <t>2768252,0</t>
  </si>
  <si>
    <t>Wine5165[13, 13, 18, 3]</t>
  </si>
  <si>
    <t>12927,0</t>
  </si>
  <si>
    <t>871692288,0</t>
  </si>
  <si>
    <t>5017,0</t>
  </si>
  <si>
    <t>0,4150943458080292</t>
  </si>
  <si>
    <t>0,42222222685813904</t>
  </si>
  <si>
    <t>214231030,0</t>
  </si>
  <si>
    <t>17239129,0</t>
  </si>
  <si>
    <t>Wine5165[13, 13, 23, 3]</t>
  </si>
  <si>
    <t>5393,0</t>
  </si>
  <si>
    <t>529801888,0</t>
  </si>
  <si>
    <t>5802,0</t>
  </si>
  <si>
    <t>5508,0</t>
  </si>
  <si>
    <t>55825174,0</t>
  </si>
  <si>
    <t>0,7037037037037037</t>
  </si>
  <si>
    <t>2346350,0</t>
  </si>
  <si>
    <t>Wine5165[13, 14, 3]</t>
  </si>
  <si>
    <t>10327,0</t>
  </si>
  <si>
    <t>848548243,0</t>
  </si>
  <si>
    <t>5255,0</t>
  </si>
  <si>
    <t>0,4433962404727936</t>
  </si>
  <si>
    <t>53954473,0</t>
  </si>
  <si>
    <t>3032860,0</t>
  </si>
  <si>
    <t>Wine5165[13, 15, 13, 3]</t>
  </si>
  <si>
    <t>12492,0</t>
  </si>
  <si>
    <t>940995406,0</t>
  </si>
  <si>
    <t>5328,0</t>
  </si>
  <si>
    <t>5661,0</t>
  </si>
  <si>
    <t>278968419,0</t>
  </si>
  <si>
    <t>19002346,0</t>
  </si>
  <si>
    <t>Wine5165[13, 15, 18, 3]</t>
  </si>
  <si>
    <t>14657,0</t>
  </si>
  <si>
    <t>1168235036,0</t>
  </si>
  <si>
    <t>6390,0</t>
  </si>
  <si>
    <t>275556369,0</t>
  </si>
  <si>
    <t>13813480,0</t>
  </si>
  <si>
    <t>Wine5165[13, 15, 23, 3]</t>
  </si>
  <si>
    <t>11577,0</t>
  </si>
  <si>
    <t>1376222370,0</t>
  </si>
  <si>
    <t>8482,0</t>
  </si>
  <si>
    <t>0,3679245412349701</t>
  </si>
  <si>
    <t>5253,0</t>
  </si>
  <si>
    <t>265751164,0</t>
  </si>
  <si>
    <t>15845476,0</t>
  </si>
  <si>
    <t>Wine5165[13, 17, 13, 3]</t>
  </si>
  <si>
    <t>13982,0</t>
  </si>
  <si>
    <t>3451638085,0</t>
  </si>
  <si>
    <t>19678,0</t>
  </si>
  <si>
    <t>235955607,0</t>
  </si>
  <si>
    <t>19937958,0</t>
  </si>
  <si>
    <t>Wine5165[13, 17, 18, 3]</t>
  </si>
  <si>
    <t>16387,0</t>
  </si>
  <si>
    <t>998155241,0</t>
  </si>
  <si>
    <t>5282,0</t>
  </si>
  <si>
    <t>4896,0</t>
  </si>
  <si>
    <t>248024091,0</t>
  </si>
  <si>
    <t>12825654,0</t>
  </si>
  <si>
    <t>Wine5165[13, 17, 23, 3]</t>
  </si>
  <si>
    <t>12827,0</t>
  </si>
  <si>
    <t>913832721,0</t>
  </si>
  <si>
    <t>5207,0</t>
  </si>
  <si>
    <t>5457,0</t>
  </si>
  <si>
    <t>278500203,0</t>
  </si>
  <si>
    <t>11816999,0</t>
  </si>
  <si>
    <t>Wine5165[13, 19, 13, 3]</t>
  </si>
  <si>
    <t>15472,0</t>
  </si>
  <si>
    <t>1691760853,0</t>
  </si>
  <si>
    <t>9228,0</t>
  </si>
  <si>
    <t>0,5377358198165894</t>
  </si>
  <si>
    <t>252199241,0</t>
  </si>
  <si>
    <t>22895437,0</t>
  </si>
  <si>
    <t>Wine5165[13, 19, 18, 3]</t>
  </si>
  <si>
    <t>18117,0</t>
  </si>
  <si>
    <t>1053128596,0</t>
  </si>
  <si>
    <t>4967,0</t>
  </si>
  <si>
    <t>0,40566039085388184</t>
  </si>
  <si>
    <t>0,8867924528301887</t>
  </si>
  <si>
    <t>12722234,0</t>
  </si>
  <si>
    <t>13428842,0</t>
  </si>
  <si>
    <t>Wine5165[13, 19, 23, 3]</t>
  </si>
  <si>
    <t>7318,0</t>
  </si>
  <si>
    <t>623942774,0</t>
  </si>
  <si>
    <t>6020,0</t>
  </si>
  <si>
    <t>0,8301886916160583</t>
  </si>
  <si>
    <t>0,8222222328186035</t>
  </si>
  <si>
    <t>46773018,0</t>
  </si>
  <si>
    <t>2244739,0</t>
  </si>
  <si>
    <t>Wine5165[13, 19, 3]</t>
  </si>
  <si>
    <t>14077,0</t>
  </si>
  <si>
    <t>780468166,0</t>
  </si>
  <si>
    <t>306,0</t>
  </si>
  <si>
    <t>73227825,0</t>
  </si>
  <si>
    <t>19226846,0</t>
  </si>
  <si>
    <t>Wine5165[13, 21, 13, 3]</t>
  </si>
  <si>
    <t>16962,0</t>
  </si>
  <si>
    <t>1116676639,0</t>
  </si>
  <si>
    <t>5416,0</t>
  </si>
  <si>
    <t>85783087,0</t>
  </si>
  <si>
    <t>24026874,0</t>
  </si>
  <si>
    <t>Wine5165[13, 21, 18, 3]</t>
  </si>
  <si>
    <t>19847,0</t>
  </si>
  <si>
    <t>937731747,0</t>
  </si>
  <si>
    <t>4330,0</t>
  </si>
  <si>
    <t>0,7037037014961243</t>
  </si>
  <si>
    <t>77619613,0</t>
  </si>
  <si>
    <t>19461,0</t>
  </si>
  <si>
    <t>15854028,0</t>
  </si>
  <si>
    <t>19858,0</t>
  </si>
  <si>
    <t>Wine5165[13, 21, 23, 3]</t>
  </si>
  <si>
    <t>9243,0</t>
  </si>
  <si>
    <t>640611077,0</t>
  </si>
  <si>
    <t>5583,0</t>
  </si>
  <si>
    <t>0,849056601524353</t>
  </si>
  <si>
    <t>45142417,0</t>
  </si>
  <si>
    <t>0,8679245283018868</t>
  </si>
  <si>
    <t>2197378,0</t>
  </si>
  <si>
    <t>Wine5165[13, 24, 3]</t>
  </si>
  <si>
    <t>3468,0</t>
  </si>
  <si>
    <t>683632905,0</t>
  </si>
  <si>
    <t>8098,0</t>
  </si>
  <si>
    <t>0,8773584961891174</t>
  </si>
  <si>
    <t>54482364,0</t>
  </si>
  <si>
    <t>0,7735849056603774</t>
  </si>
  <si>
    <t>2388793,0</t>
  </si>
  <si>
    <t>Wine5165[13, 9, 3]</t>
  </si>
  <si>
    <t>19849652,0</t>
  </si>
  <si>
    <t>17743088,0</t>
  </si>
  <si>
    <t>2677199,0</t>
  </si>
  <si>
    <t>Wine9142[13, 13, 13, 3]</t>
  </si>
  <si>
    <t>22881153,0</t>
  </si>
  <si>
    <t>15092039,0</t>
  </si>
  <si>
    <t>2343047,0</t>
  </si>
  <si>
    <t>Wine9142[13, 13, 18, 3]</t>
  </si>
  <si>
    <t>9989980,0</t>
  </si>
  <si>
    <t>14788923,0</t>
  </si>
  <si>
    <t>2887889,0</t>
  </si>
  <si>
    <t>Wine9142[13, 13, 23, 3]</t>
  </si>
  <si>
    <t>3063968,0</t>
  </si>
  <si>
    <t>459,0</t>
  </si>
  <si>
    <t>18752566,0</t>
  </si>
  <si>
    <t>0,6222222222222222</t>
  </si>
  <si>
    <t>0,7641509433962265</t>
  </si>
  <si>
    <t>2538389,0</t>
  </si>
  <si>
    <t>Wine9142[13, 14, 3]</t>
  </si>
  <si>
    <t>37000481,0</t>
  </si>
  <si>
    <t>283,0</t>
  </si>
  <si>
    <t>15620428,0</t>
  </si>
  <si>
    <t>0,7555555555555555</t>
  </si>
  <si>
    <t>0,8490566037735849</t>
  </si>
  <si>
    <t>2604888,0</t>
  </si>
  <si>
    <t>Wine9142[13, 15, 13, 3]</t>
  </si>
  <si>
    <t>16819796,0</t>
  </si>
  <si>
    <t>16497491,0</t>
  </si>
  <si>
    <t>2763116,0</t>
  </si>
  <si>
    <t>Wine9142[13, 15, 18, 3]</t>
  </si>
  <si>
    <t>10671816,0</t>
  </si>
  <si>
    <t>91986027,0</t>
  </si>
  <si>
    <t>16141502,0</t>
  </si>
  <si>
    <t>Wine9142[13, 15, 23, 3]</t>
  </si>
  <si>
    <t>16715064,0</t>
  </si>
  <si>
    <t>16218337,0</t>
  </si>
  <si>
    <t>2844859,0</t>
  </si>
  <si>
    <t>Wine9142[13, 17, 13, 3]</t>
  </si>
  <si>
    <t>29310549,0</t>
  </si>
  <si>
    <t>14377822,0</t>
  </si>
  <si>
    <t>2709578,0</t>
  </si>
  <si>
    <t>Wine9142[13, 17, 18, 3]</t>
  </si>
  <si>
    <t>11742336,0</t>
  </si>
  <si>
    <t>96757514,0</t>
  </si>
  <si>
    <t>19850797,0</t>
  </si>
  <si>
    <t>Wine9142[13, 17, 23, 3]</t>
  </si>
  <si>
    <t>19108585,0</t>
  </si>
  <si>
    <t>14097510,0</t>
  </si>
  <si>
    <t>2717565,0</t>
  </si>
  <si>
    <t>Wine9142[13, 19, 13, 3]</t>
  </si>
  <si>
    <t>36058650,0</t>
  </si>
  <si>
    <t>103757132,0</t>
  </si>
  <si>
    <t>28083966,0</t>
  </si>
  <si>
    <t>Wine9142[13, 19, 18, 3]</t>
  </si>
  <si>
    <t>7599008,0</t>
  </si>
  <si>
    <t>86821451,0</t>
  </si>
  <si>
    <t>22772828,0</t>
  </si>
  <si>
    <t>Wine9142[13, 19, 23, 3]</t>
  </si>
  <si>
    <t>2818119,0</t>
  </si>
  <si>
    <t>15757976,0</t>
  </si>
  <si>
    <t>0,7169811320754716</t>
  </si>
  <si>
    <t>2604554,0</t>
  </si>
  <si>
    <t>Wine9142[13, 19, 3]</t>
  </si>
  <si>
    <t>25044494,0</t>
  </si>
  <si>
    <t>14961202,0</t>
  </si>
  <si>
    <t>28385435,0</t>
  </si>
  <si>
    <t>Wine9142[13, 21, 13, 3]</t>
  </si>
  <si>
    <t>26772369,0</t>
  </si>
  <si>
    <t>118463358,0</t>
  </si>
  <si>
    <t>19747762,0</t>
  </si>
  <si>
    <t>Wine9142[13, 21, 18, 3]</t>
  </si>
  <si>
    <t>23321452,0</t>
  </si>
  <si>
    <t>91131493,0</t>
  </si>
  <si>
    <t>20914334,0</t>
  </si>
  <si>
    <t>Wine9142[13, 21, 23, 3]</t>
  </si>
  <si>
    <t>3331833,0</t>
  </si>
  <si>
    <t>15217224,0</t>
  </si>
  <si>
    <t>0,8018867924528302</t>
  </si>
  <si>
    <t>2212417,0</t>
  </si>
  <si>
    <t>Wine9142[13, 24, 3]</t>
  </si>
  <si>
    <t>3243860,0</t>
  </si>
  <si>
    <t>22557187,0</t>
  </si>
  <si>
    <t>0,6</t>
  </si>
  <si>
    <t>0,6981132075471698</t>
  </si>
  <si>
    <t>2063895,0</t>
  </si>
  <si>
    <t>Wine9142[13, 9, 3]</t>
  </si>
  <si>
    <t>21556116,0</t>
  </si>
  <si>
    <t>16093160,0</t>
  </si>
  <si>
    <t>2849008,0</t>
  </si>
  <si>
    <t>Wine9163[13, 13, 13, 3]</t>
  </si>
  <si>
    <t>22356454,0</t>
  </si>
  <si>
    <t>15061140,0</t>
  </si>
  <si>
    <t>2662221,0</t>
  </si>
  <si>
    <t>Wine9163[13, 13, 18, 3]</t>
  </si>
  <si>
    <t>16115154,0</t>
  </si>
  <si>
    <t>93,0</t>
  </si>
  <si>
    <t>81352378,0</t>
  </si>
  <si>
    <t>20314015,0</t>
  </si>
  <si>
    <t>Wine9163[13, 13, 23, 3]</t>
  </si>
  <si>
    <t>5131814,0</t>
  </si>
  <si>
    <t>16051231,0</t>
  </si>
  <si>
    <t>0,7407407407407407</t>
  </si>
  <si>
    <t>0,839622641509434</t>
  </si>
  <si>
    <t>2639102,0</t>
  </si>
  <si>
    <t>Wine9163[13, 14, 3]</t>
  </si>
  <si>
    <t>47390910,0</t>
  </si>
  <si>
    <t>308,0</t>
  </si>
  <si>
    <t>14457791,0</t>
  </si>
  <si>
    <t>2966453,0</t>
  </si>
  <si>
    <t>Wine9163[13, 15, 13, 3]</t>
  </si>
  <si>
    <t>19581923,0</t>
  </si>
  <si>
    <t>93267250,0</t>
  </si>
  <si>
    <t>23356741,0</t>
  </si>
  <si>
    <t>Wine9163[13, 15, 18, 3]</t>
  </si>
  <si>
    <t>14281168,0</t>
  </si>
  <si>
    <t>95148962,0</t>
  </si>
  <si>
    <t>20195597,0</t>
  </si>
  <si>
    <t>Wine9163[13, 15, 23, 3]</t>
  </si>
  <si>
    <t>40283487,0</t>
  </si>
  <si>
    <t>16410109,0</t>
  </si>
  <si>
    <t>2937126,0</t>
  </si>
  <si>
    <t>Wine9163[13, 17, 13, 3]</t>
  </si>
  <si>
    <t>13332158,0</t>
  </si>
  <si>
    <t>86539404,0</t>
  </si>
  <si>
    <t>16399793,0</t>
  </si>
  <si>
    <t>Wine9163[13, 17, 18, 3]</t>
  </si>
  <si>
    <t>10937953,0</t>
  </si>
  <si>
    <t>86396922,0</t>
  </si>
  <si>
    <t>30035561,0</t>
  </si>
  <si>
    <t>Wine9163[13, 17, 23, 3]</t>
  </si>
  <si>
    <t>43551106,0</t>
  </si>
  <si>
    <t>91447767,0</t>
  </si>
  <si>
    <t>18976055,0</t>
  </si>
  <si>
    <t>Wine9163[13, 19, 13, 3]</t>
  </si>
  <si>
    <t>25841863,0</t>
  </si>
  <si>
    <t>94822932,0</t>
  </si>
  <si>
    <t>13210501,0</t>
  </si>
  <si>
    <t>Wine9163[13, 19, 18, 3]</t>
  </si>
  <si>
    <t>15229057,0</t>
  </si>
  <si>
    <t>91724547,0</t>
  </si>
  <si>
    <t>19184896,0</t>
  </si>
  <si>
    <t>Wine9163[13, 19, 23, 3]</t>
  </si>
  <si>
    <t>5587493,0</t>
  </si>
  <si>
    <t>17706043,0</t>
  </si>
  <si>
    <t>0,7452830188679245</t>
  </si>
  <si>
    <t>3020425,0</t>
  </si>
  <si>
    <t>Wine9163[13, 19, 3]</t>
  </si>
  <si>
    <t>54386277,0</t>
  </si>
  <si>
    <t>87683284,0</t>
  </si>
  <si>
    <t>17046127,0</t>
  </si>
  <si>
    <t>Wine9163[13, 21, 13, 3]</t>
  </si>
  <si>
    <t>16885664,0</t>
  </si>
  <si>
    <t>85963389,0</t>
  </si>
  <si>
    <t>18612379,0</t>
  </si>
  <si>
    <t>Wine9163[13, 21, 18, 3]</t>
  </si>
  <si>
    <t>14303814,0</t>
  </si>
  <si>
    <t>84366501,0</t>
  </si>
  <si>
    <t>20101924,0</t>
  </si>
  <si>
    <t>Wine9163[13, 21, 23, 3]</t>
  </si>
  <si>
    <t>4989653,0</t>
  </si>
  <si>
    <t>17190293,0</t>
  </si>
  <si>
    <t>2904050,0</t>
  </si>
  <si>
    <t>Wine9163[13, 24, 3]</t>
  </si>
  <si>
    <t>3664636,0</t>
  </si>
  <si>
    <t>16942281,0</t>
  </si>
  <si>
    <t>2255280,0</t>
  </si>
  <si>
    <t>Wine9163[13, 9, 3]</t>
  </si>
  <si>
    <t>9454,0</t>
  </si>
  <si>
    <t>1325454560,0</t>
  </si>
  <si>
    <t>7947,0</t>
  </si>
  <si>
    <t>16639960,0</t>
  </si>
  <si>
    <t>2612738,0</t>
  </si>
  <si>
    <t>Wine9184[13, 13, 13, 3]</t>
  </si>
  <si>
    <t>11459,0</t>
  </si>
  <si>
    <t>1143097134,0</t>
  </si>
  <si>
    <t>6340,0</t>
  </si>
  <si>
    <t>88082822,0</t>
  </si>
  <si>
    <t>27189026,0</t>
  </si>
  <si>
    <t>Wine9184[13, 13, 18, 3]</t>
  </si>
  <si>
    <t>13464,0</t>
  </si>
  <si>
    <t>1266886872,0</t>
  </si>
  <si>
    <t>7981,0</t>
  </si>
  <si>
    <t>131091262,0</t>
  </si>
  <si>
    <t>17375579,0</t>
  </si>
  <si>
    <t>Wine9184[13, 13, 23, 3]</t>
  </si>
  <si>
    <t>5617,0</t>
  </si>
  <si>
    <t>28046486,0</t>
  </si>
  <si>
    <t>258,0</t>
  </si>
  <si>
    <t>16615012,0</t>
  </si>
  <si>
    <t>2745215,0</t>
  </si>
  <si>
    <t>Wine9184[13, 14, 3]</t>
  </si>
  <si>
    <t>10756,0</t>
  </si>
  <si>
    <t>695660838,0</t>
  </si>
  <si>
    <t>4659,0</t>
  </si>
  <si>
    <t>561,0</t>
  </si>
  <si>
    <t>22727948,0</t>
  </si>
  <si>
    <t>2347554,0</t>
  </si>
  <si>
    <t>Wine9184[13, 15, 13, 3]</t>
  </si>
  <si>
    <t>13011,0</t>
  </si>
  <si>
    <t>698877542,0</t>
  </si>
  <si>
    <t>4389,0</t>
  </si>
  <si>
    <t>135515641,0</t>
  </si>
  <si>
    <t>17966566,0</t>
  </si>
  <si>
    <t>Wine9184[13, 15, 18, 3]</t>
  </si>
  <si>
    <t>969832574,0</t>
  </si>
  <si>
    <t>5695,0</t>
  </si>
  <si>
    <t>0,4716981053352356</t>
  </si>
  <si>
    <t>135605600,0</t>
  </si>
  <si>
    <t>4042,0</t>
  </si>
  <si>
    <t>1577913655,0</t>
  </si>
  <si>
    <t>Wine9184[13, 15, 23, 3]</t>
  </si>
  <si>
    <t>12058,0</t>
  </si>
  <si>
    <t>3147631946,0</t>
  </si>
  <si>
    <t>11351,0</t>
  </si>
  <si>
    <t>78690,0</t>
  </si>
  <si>
    <t>4814325387,0</t>
  </si>
  <si>
    <t>67555,0</t>
  </si>
  <si>
    <t>3852007284,0</t>
  </si>
  <si>
    <t>Wine9184[13, 17, 13, 3]</t>
  </si>
  <si>
    <t>14563,0</t>
  </si>
  <si>
    <t>3039215731,0</t>
  </si>
  <si>
    <t>12409,0</t>
  </si>
  <si>
    <t>5631657660,0</t>
  </si>
  <si>
    <t>5662562866,0</t>
  </si>
  <si>
    <t>Wine9184[13, 17, 18, 3]</t>
  </si>
  <si>
    <t>17068,0</t>
  </si>
  <si>
    <t>2373503596,0</t>
  </si>
  <si>
    <t>10167,0</t>
  </si>
  <si>
    <t>134236318,0</t>
  </si>
  <si>
    <t>17192441,0</t>
  </si>
  <si>
    <t>Wine9184[13, 17, 23, 3]</t>
  </si>
  <si>
    <t>13360,0</t>
  </si>
  <si>
    <t>2496943721,0</t>
  </si>
  <si>
    <t>11450,0</t>
  </si>
  <si>
    <t>152424558,0</t>
  </si>
  <si>
    <t>4052,0</t>
  </si>
  <si>
    <t>1563028973,0</t>
  </si>
  <si>
    <t>Wine9184[13, 19, 13, 3]</t>
  </si>
  <si>
    <t>16115,0</t>
  </si>
  <si>
    <t>4418373625,0</t>
  </si>
  <si>
    <t>18233,0</t>
  </si>
  <si>
    <t>765,0</t>
  </si>
  <si>
    <t>178391876,0</t>
  </si>
  <si>
    <t>0,9433962264150944</t>
  </si>
  <si>
    <t>24749523,0</t>
  </si>
  <si>
    <t>Wine9184[13, 19, 18, 3]</t>
  </si>
  <si>
    <t>18870,0</t>
  </si>
  <si>
    <t>2559697420,0</t>
  </si>
  <si>
    <t>11025,0</t>
  </si>
  <si>
    <t>132257061,0</t>
  </si>
  <si>
    <t>18679,0</t>
  </si>
  <si>
    <t>92,0</t>
  </si>
  <si>
    <t>4048,0</t>
  </si>
  <si>
    <t>1698818726,0</t>
  </si>
  <si>
    <t>19068,0</t>
  </si>
  <si>
    <t>Wine9184[13, 19, 23, 3]</t>
  </si>
  <si>
    <t>7622,0</t>
  </si>
  <si>
    <t>20369271,0</t>
  </si>
  <si>
    <t>17907347,0</t>
  </si>
  <si>
    <t>3014204,0</t>
  </si>
  <si>
    <t>Wine9184[13, 19, 3]</t>
  </si>
  <si>
    <t>14662,0</t>
  </si>
  <si>
    <t>2614719014,0</t>
  </si>
  <si>
    <t>13591,0</t>
  </si>
  <si>
    <t>0,38679245114326477</t>
  </si>
  <si>
    <t>87687029,0</t>
  </si>
  <si>
    <t>16482366,0</t>
  </si>
  <si>
    <t>Wine9184[13, 21, 13, 3]</t>
  </si>
  <si>
    <t>17667,0</t>
  </si>
  <si>
    <t>2325334104,0</t>
  </si>
  <si>
    <t>10943,0</t>
  </si>
  <si>
    <t>90594193,0</t>
  </si>
  <si>
    <t>0,9528301886792453</t>
  </si>
  <si>
    <t>23428430,0</t>
  </si>
  <si>
    <t>Wine9184[13, 21, 18, 3]</t>
  </si>
  <si>
    <t>20672,0</t>
  </si>
  <si>
    <t>2304753544,0</t>
  </si>
  <si>
    <t>10004,0</t>
  </si>
  <si>
    <t>114004991,0</t>
  </si>
  <si>
    <t>20664,0</t>
  </si>
  <si>
    <t>24413389,0</t>
  </si>
  <si>
    <t>21073,0</t>
  </si>
  <si>
    <t>Wine9184[13, 21, 23, 3]</t>
  </si>
  <si>
    <t>9627,0</t>
  </si>
  <si>
    <t>604512759,0</t>
  </si>
  <si>
    <t>4847,0</t>
  </si>
  <si>
    <t>17227697,0</t>
  </si>
  <si>
    <t>3087589,0</t>
  </si>
  <si>
    <t>Wine9184[13, 24, 3]</t>
  </si>
  <si>
    <t>3612,0</t>
  </si>
  <si>
    <t>36729456,0</t>
  </si>
  <si>
    <t>400,0</t>
  </si>
  <si>
    <t>18920151,0</t>
  </si>
  <si>
    <t>0,7075471698113207</t>
  </si>
  <si>
    <t>2568150,0</t>
  </si>
  <si>
    <t>Wine9184[13, 9, 3]</t>
  </si>
  <si>
    <t>10585,0</t>
  </si>
  <si>
    <t>804601468,0</t>
  </si>
  <si>
    <t>3172,0</t>
  </si>
  <si>
    <t>235494318,0</t>
  </si>
  <si>
    <t>2261,0</t>
  </si>
  <si>
    <t>147151062,0</t>
  </si>
  <si>
    <t>Wine9205[13, 13, 13, 3]</t>
  </si>
  <si>
    <t>1228255871,0</t>
  </si>
  <si>
    <t>7149,0</t>
  </si>
  <si>
    <t>1972,0</t>
  </si>
  <si>
    <t>583677298,0</t>
  </si>
  <si>
    <t>1954642229,0</t>
  </si>
  <si>
    <t>Wine9205[13, 13, 18, 3]</t>
  </si>
  <si>
    <t>15075,0</t>
  </si>
  <si>
    <t>931686889,0</t>
  </si>
  <si>
    <t>5260,0</t>
  </si>
  <si>
    <t>1889,0</t>
  </si>
  <si>
    <t>517711130,0</t>
  </si>
  <si>
    <t>845,0</t>
  </si>
  <si>
    <t>203513740,0</t>
  </si>
  <si>
    <t>Wine9205[13, 13, 23, 3]</t>
  </si>
  <si>
    <t>6289,0</t>
  </si>
  <si>
    <t>1700436464,0</t>
  </si>
  <si>
    <t>18129,0</t>
  </si>
  <si>
    <t>47051,0</t>
  </si>
  <si>
    <t>3816631659,0</t>
  </si>
  <si>
    <t>54747,0</t>
  </si>
  <si>
    <t>3832394268,0</t>
  </si>
  <si>
    <t>Wine9205[13, 14, 3]</t>
  </si>
  <si>
    <t>12043,0</t>
  </si>
  <si>
    <t>802084560,0</t>
  </si>
  <si>
    <t>1491,0</t>
  </si>
  <si>
    <t>392854681,0</t>
  </si>
  <si>
    <t>3440,0</t>
  </si>
  <si>
    <t>1100519792,0</t>
  </si>
  <si>
    <t>Wine9205[13, 15, 13, 3]</t>
  </si>
  <si>
    <t>14568,0</t>
  </si>
  <si>
    <t>1772527277,0</t>
  </si>
  <si>
    <t>9870,0</t>
  </si>
  <si>
    <t>3095,0</t>
  </si>
  <si>
    <t>1103422609,0</t>
  </si>
  <si>
    <t>2198,0</t>
  </si>
  <si>
    <t>688479481,0</t>
  </si>
  <si>
    <t>Wine9205[13, 15, 18, 3]</t>
  </si>
  <si>
    <t>17093,0</t>
  </si>
  <si>
    <t>2205935550,0</t>
  </si>
  <si>
    <t>9761,0</t>
  </si>
  <si>
    <t>0,3396226465702057</t>
  </si>
  <si>
    <t>111360650,0</t>
  </si>
  <si>
    <t>8276,0</t>
  </si>
  <si>
    <t>3688743839,0</t>
  </si>
  <si>
    <t>Wine9205[13, 15, 23, 3]</t>
  </si>
  <si>
    <t>13501,0</t>
  </si>
  <si>
    <t>1084537727,0</t>
  </si>
  <si>
    <t>5433,0</t>
  </si>
  <si>
    <t>93878447,0</t>
  </si>
  <si>
    <t>18767993,0</t>
  </si>
  <si>
    <t>Wine9205[13, 17, 13, 3]</t>
  </si>
  <si>
    <t>16306,0</t>
  </si>
  <si>
    <t>1122109089,0</t>
  </si>
  <si>
    <t>5182,0</t>
  </si>
  <si>
    <t>71782705,0</t>
  </si>
  <si>
    <t>23537586,0</t>
  </si>
  <si>
    <t>Wine9205[13, 17, 18, 3]</t>
  </si>
  <si>
    <t>19111,0</t>
  </si>
  <si>
    <t>2061349490,0</t>
  </si>
  <si>
    <t>8797,0</t>
  </si>
  <si>
    <t>68976135,0</t>
  </si>
  <si>
    <t>36164345,0</t>
  </si>
  <si>
    <t>Wine9205[13, 17, 23, 3]</t>
  </si>
  <si>
    <t>14959,0</t>
  </si>
  <si>
    <t>1089165183,0</t>
  </si>
  <si>
    <t>5051,0</t>
  </si>
  <si>
    <t>88236059,0</t>
  </si>
  <si>
    <t>27985127,0</t>
  </si>
  <si>
    <t>Wine9205[13, 19, 13, 3]</t>
  </si>
  <si>
    <t>18044,0</t>
  </si>
  <si>
    <t>1857410028,0</t>
  </si>
  <si>
    <t>8925,0</t>
  </si>
  <si>
    <t>16026,0</t>
  </si>
  <si>
    <t>3147490202,0</t>
  </si>
  <si>
    <t>18655,0</t>
  </si>
  <si>
    <t>2631686902,0</t>
  </si>
  <si>
    <t>Wine9205[13, 19, 18, 3]</t>
  </si>
  <si>
    <t>21129,0</t>
  </si>
  <si>
    <t>1442227475,0</t>
  </si>
  <si>
    <t>6978,0</t>
  </si>
  <si>
    <t>0,4245283007621765</t>
  </si>
  <si>
    <t>20918,0</t>
  </si>
  <si>
    <t>4381445333,0</t>
  </si>
  <si>
    <t>29168,0</t>
  </si>
  <si>
    <t>4702963572,0</t>
  </si>
  <si>
    <t>21486,0</t>
  </si>
  <si>
    <t>99,0</t>
  </si>
  <si>
    <t>Wine9205[13, 19, 23, 3]</t>
  </si>
  <si>
    <t>8534,0</t>
  </si>
  <si>
    <t>1382018983,0</t>
  </si>
  <si>
    <t>13017,0</t>
  </si>
  <si>
    <t>10065,0</t>
  </si>
  <si>
    <t>823114482,0</t>
  </si>
  <si>
    <t>19596,0</t>
  </si>
  <si>
    <t>1771658609,0</t>
  </si>
  <si>
    <t>Wine9205[13, 19, 3]</t>
  </si>
  <si>
    <t>16417,0</t>
  </si>
  <si>
    <t>746683304,0</t>
  </si>
  <si>
    <t>5344,0</t>
  </si>
  <si>
    <t>4097,0</t>
  </si>
  <si>
    <t>1126743436,0</t>
  </si>
  <si>
    <t>0,9811320754716981</t>
  </si>
  <si>
    <t>46256942,0</t>
  </si>
  <si>
    <t>Wine9205[13, 21, 13, 3]</t>
  </si>
  <si>
    <t>19782,0</t>
  </si>
  <si>
    <t>792156811,0</t>
  </si>
  <si>
    <t>4179,0</t>
  </si>
  <si>
    <t>4085,0</t>
  </si>
  <si>
    <t>1376202618,0</t>
  </si>
  <si>
    <t>44987133,0</t>
  </si>
  <si>
    <t>Wine9205[13, 21, 18, 3]</t>
  </si>
  <si>
    <t>23147,0</t>
  </si>
  <si>
    <t>960973830,0</t>
  </si>
  <si>
    <t>4239,0</t>
  </si>
  <si>
    <t>89674121,0</t>
  </si>
  <si>
    <t>22749,0</t>
  </si>
  <si>
    <t>40387772,0</t>
  </si>
  <si>
    <t>23178,0</t>
  </si>
  <si>
    <t>103,0</t>
  </si>
  <si>
    <t>Wine9205[13, 21, 23, 3]</t>
  </si>
  <si>
    <t>10779,0</t>
  </si>
  <si>
    <t>601417029,0</t>
  </si>
  <si>
    <t>5186,0</t>
  </si>
  <si>
    <t>2570,0</t>
  </si>
  <si>
    <t>178440902,0</t>
  </si>
  <si>
    <t>130751284,0</t>
  </si>
  <si>
    <t>Wine9205[13, 24, 3]</t>
  </si>
  <si>
    <t>4044,0</t>
  </si>
  <si>
    <t>1047441021,0</t>
  </si>
  <si>
    <t>12838,0</t>
  </si>
  <si>
    <t>25584,0</t>
  </si>
  <si>
    <t>1493366353,0</t>
  </si>
  <si>
    <t>62562,0</t>
  </si>
  <si>
    <t>3032001040,0</t>
  </si>
  <si>
    <t>Wine9205[13, 9, 3]</t>
  </si>
  <si>
    <t>parametry</t>
  </si>
  <si>
    <t>acc KAN</t>
  </si>
  <si>
    <t>acc MLP min</t>
  </si>
  <si>
    <t>acc MLP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</si>
</sst>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1">
    <cellStyle name="Normalny" xfId="0" builtinId="0"/>
  </cellStyles>
  <dxfs count="1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0" formatCode="General"/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0" formatCode="General"/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0" formatCode="General"/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Cancer!$AG$1</c:f>
              <c:strCache>
                <c:ptCount val="1"/>
                <c:pt idx="0">
                  <c:v>acc KAN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Cancer!$AF$2:$AF$158</c:f>
              <c:numCache>
                <c:formatCode>0</c:formatCode>
                <c:ptCount val="157"/>
                <c:pt idx="0">
                  <c:v>45091</c:v>
                </c:pt>
                <c:pt idx="1">
                  <c:v>36223</c:v>
                </c:pt>
                <c:pt idx="2">
                  <c:v>39312</c:v>
                </c:pt>
                <c:pt idx="3">
                  <c:v>32891</c:v>
                </c:pt>
                <c:pt idx="4">
                  <c:v>35776</c:v>
                </c:pt>
                <c:pt idx="5">
                  <c:v>24242</c:v>
                </c:pt>
                <c:pt idx="6">
                  <c:v>28412</c:v>
                </c:pt>
                <c:pt idx="7">
                  <c:v>47796</c:v>
                </c:pt>
                <c:pt idx="8">
                  <c:v>33368</c:v>
                </c:pt>
                <c:pt idx="9">
                  <c:v>36427</c:v>
                </c:pt>
                <c:pt idx="10">
                  <c:v>30006</c:v>
                </c:pt>
                <c:pt idx="11">
                  <c:v>62132</c:v>
                </c:pt>
                <c:pt idx="12">
                  <c:v>70056</c:v>
                </c:pt>
                <c:pt idx="13">
                  <c:v>48908</c:v>
                </c:pt>
                <c:pt idx="14">
                  <c:v>43778</c:v>
                </c:pt>
                <c:pt idx="15">
                  <c:v>25856</c:v>
                </c:pt>
                <c:pt idx="16">
                  <c:v>33542</c:v>
                </c:pt>
                <c:pt idx="17">
                  <c:v>48032</c:v>
                </c:pt>
                <c:pt idx="18">
                  <c:v>58607</c:v>
                </c:pt>
                <c:pt idx="19">
                  <c:v>43624</c:v>
                </c:pt>
                <c:pt idx="20">
                  <c:v>47369</c:v>
                </c:pt>
                <c:pt idx="21">
                  <c:v>62126</c:v>
                </c:pt>
                <c:pt idx="22">
                  <c:v>55955</c:v>
                </c:pt>
                <c:pt idx="23">
                  <c:v>43712</c:v>
                </c:pt>
                <c:pt idx="24">
                  <c:v>32582</c:v>
                </c:pt>
                <c:pt idx="25">
                  <c:v>34667</c:v>
                </c:pt>
                <c:pt idx="26">
                  <c:v>13346</c:v>
                </c:pt>
                <c:pt idx="27">
                  <c:v>34664</c:v>
                </c:pt>
                <c:pt idx="28">
                  <c:v>30490</c:v>
                </c:pt>
                <c:pt idx="29">
                  <c:v>43515</c:v>
                </c:pt>
                <c:pt idx="30">
                  <c:v>17516</c:v>
                </c:pt>
                <c:pt idx="31">
                  <c:v>42386</c:v>
                </c:pt>
                <c:pt idx="32">
                  <c:v>47643</c:v>
                </c:pt>
                <c:pt idx="33">
                  <c:v>18466</c:v>
                </c:pt>
                <c:pt idx="34">
                  <c:v>27121</c:v>
                </c:pt>
                <c:pt idx="35">
                  <c:v>51557</c:v>
                </c:pt>
                <c:pt idx="36">
                  <c:v>55082</c:v>
                </c:pt>
                <c:pt idx="37">
                  <c:v>46266</c:v>
                </c:pt>
                <c:pt idx="38">
                  <c:v>66091</c:v>
                </c:pt>
                <c:pt idx="39">
                  <c:v>74018</c:v>
                </c:pt>
                <c:pt idx="40">
                  <c:v>29612</c:v>
                </c:pt>
                <c:pt idx="41">
                  <c:v>36662</c:v>
                </c:pt>
                <c:pt idx="42">
                  <c:v>40187</c:v>
                </c:pt>
                <c:pt idx="43">
                  <c:v>25634</c:v>
                </c:pt>
                <c:pt idx="44">
                  <c:v>11288</c:v>
                </c:pt>
                <c:pt idx="45">
                  <c:v>13853</c:v>
                </c:pt>
                <c:pt idx="46">
                  <c:v>26678</c:v>
                </c:pt>
                <c:pt idx="47">
                  <c:v>11261</c:v>
                </c:pt>
                <c:pt idx="48">
                  <c:v>26327</c:v>
                </c:pt>
                <c:pt idx="49">
                  <c:v>30497</c:v>
                </c:pt>
                <c:pt idx="50">
                  <c:v>36752</c:v>
                </c:pt>
                <c:pt idx="51">
                  <c:v>25804</c:v>
                </c:pt>
                <c:pt idx="52">
                  <c:v>30234</c:v>
                </c:pt>
                <c:pt idx="53">
                  <c:v>32449</c:v>
                </c:pt>
                <c:pt idx="54">
                  <c:v>27366</c:v>
                </c:pt>
                <c:pt idx="55">
                  <c:v>33095</c:v>
                </c:pt>
                <c:pt idx="56">
                  <c:v>21686</c:v>
                </c:pt>
                <c:pt idx="57">
                  <c:v>36976</c:v>
                </c:pt>
                <c:pt idx="58">
                  <c:v>39681</c:v>
                </c:pt>
                <c:pt idx="59">
                  <c:v>50498</c:v>
                </c:pt>
                <c:pt idx="60">
                  <c:v>35170</c:v>
                </c:pt>
                <c:pt idx="61">
                  <c:v>38175</c:v>
                </c:pt>
                <c:pt idx="62">
                  <c:v>47190</c:v>
                </c:pt>
                <c:pt idx="63">
                  <c:v>50195</c:v>
                </c:pt>
                <c:pt idx="64">
                  <c:v>12696</c:v>
                </c:pt>
                <c:pt idx="65">
                  <c:v>21351</c:v>
                </c:pt>
                <c:pt idx="66">
                  <c:v>54859</c:v>
                </c:pt>
                <c:pt idx="67">
                  <c:v>51550</c:v>
                </c:pt>
                <c:pt idx="68">
                  <c:v>64765</c:v>
                </c:pt>
                <c:pt idx="69">
                  <c:v>73575</c:v>
                </c:pt>
                <c:pt idx="70">
                  <c:v>33137</c:v>
                </c:pt>
                <c:pt idx="71">
                  <c:v>17624</c:v>
                </c:pt>
                <c:pt idx="72">
                  <c:v>21629</c:v>
                </c:pt>
                <c:pt idx="73">
                  <c:v>29639</c:v>
                </c:pt>
                <c:pt idx="74">
                  <c:v>33644</c:v>
                </c:pt>
                <c:pt idx="75">
                  <c:v>41654</c:v>
                </c:pt>
                <c:pt idx="76">
                  <c:v>45659</c:v>
                </c:pt>
                <c:pt idx="77">
                  <c:v>49664</c:v>
                </c:pt>
                <c:pt idx="78">
                  <c:v>16418</c:v>
                </c:pt>
                <c:pt idx="79">
                  <c:v>36551</c:v>
                </c:pt>
                <c:pt idx="80">
                  <c:v>28019</c:v>
                </c:pt>
                <c:pt idx="81">
                  <c:v>36879</c:v>
                </c:pt>
                <c:pt idx="82">
                  <c:v>29711</c:v>
                </c:pt>
                <c:pt idx="83">
                  <c:v>35700</c:v>
                </c:pt>
                <c:pt idx="84">
                  <c:v>23771</c:v>
                </c:pt>
                <c:pt idx="85">
                  <c:v>41180</c:v>
                </c:pt>
                <c:pt idx="86">
                  <c:v>15581</c:v>
                </c:pt>
                <c:pt idx="87">
                  <c:v>24236</c:v>
                </c:pt>
                <c:pt idx="88">
                  <c:v>40982</c:v>
                </c:pt>
                <c:pt idx="89">
                  <c:v>51114</c:v>
                </c:pt>
                <c:pt idx="90">
                  <c:v>54196</c:v>
                </c:pt>
                <c:pt idx="91">
                  <c:v>58161</c:v>
                </c:pt>
                <c:pt idx="92">
                  <c:v>53093</c:v>
                </c:pt>
                <c:pt idx="93">
                  <c:v>65648</c:v>
                </c:pt>
                <c:pt idx="94">
                  <c:v>69833</c:v>
                </c:pt>
                <c:pt idx="95">
                  <c:v>77980</c:v>
                </c:pt>
                <c:pt idx="96">
                  <c:v>24113</c:v>
                </c:pt>
                <c:pt idx="97">
                  <c:v>39094</c:v>
                </c:pt>
                <c:pt idx="98">
                  <c:v>19601</c:v>
                </c:pt>
                <c:pt idx="99">
                  <c:v>39078</c:v>
                </c:pt>
                <c:pt idx="100">
                  <c:v>41933</c:v>
                </c:pt>
                <c:pt idx="101">
                  <c:v>66094</c:v>
                </c:pt>
                <c:pt idx="102">
                  <c:v>50231</c:v>
                </c:pt>
                <c:pt idx="103">
                  <c:v>57278</c:v>
                </c:pt>
                <c:pt idx="104">
                  <c:v>61463</c:v>
                </c:pt>
                <c:pt idx="105">
                  <c:v>60360</c:v>
                </c:pt>
                <c:pt idx="106">
                  <c:v>69170</c:v>
                </c:pt>
                <c:pt idx="107">
                  <c:v>37649</c:v>
                </c:pt>
                <c:pt idx="108">
                  <c:v>45369</c:v>
                </c:pt>
                <c:pt idx="109">
                  <c:v>32056</c:v>
                </c:pt>
                <c:pt idx="110">
                  <c:v>38305</c:v>
                </c:pt>
                <c:pt idx="111">
                  <c:v>40910</c:v>
                </c:pt>
                <c:pt idx="112">
                  <c:v>46120</c:v>
                </c:pt>
                <c:pt idx="113">
                  <c:v>34271</c:v>
                </c:pt>
                <c:pt idx="114">
                  <c:v>44788</c:v>
                </c:pt>
                <c:pt idx="115">
                  <c:v>44185</c:v>
                </c:pt>
                <c:pt idx="116">
                  <c:v>53200</c:v>
                </c:pt>
                <c:pt idx="117">
                  <c:v>44507</c:v>
                </c:pt>
                <c:pt idx="118">
                  <c:v>58604</c:v>
                </c:pt>
                <c:pt idx="119">
                  <c:v>33666</c:v>
                </c:pt>
                <c:pt idx="120">
                  <c:v>18983</c:v>
                </c:pt>
                <c:pt idx="121">
                  <c:v>9176</c:v>
                </c:pt>
                <c:pt idx="122">
                  <c:v>36746</c:v>
                </c:pt>
                <c:pt idx="123">
                  <c:v>39091</c:v>
                </c:pt>
                <c:pt idx="124">
                  <c:v>15431</c:v>
                </c:pt>
                <c:pt idx="125">
                  <c:v>62349</c:v>
                </c:pt>
                <c:pt idx="126">
                  <c:v>48094</c:v>
                </c:pt>
                <c:pt idx="127">
                  <c:v>21548</c:v>
                </c:pt>
                <c:pt idx="128">
                  <c:v>29243</c:v>
                </c:pt>
                <c:pt idx="129">
                  <c:v>31403</c:v>
                </c:pt>
                <c:pt idx="130">
                  <c:v>39436</c:v>
                </c:pt>
                <c:pt idx="131">
                  <c:v>34401</c:v>
                </c:pt>
                <c:pt idx="132">
                  <c:v>28928</c:v>
                </c:pt>
                <c:pt idx="133">
                  <c:v>38828</c:v>
                </c:pt>
                <c:pt idx="134">
                  <c:v>33878</c:v>
                </c:pt>
                <c:pt idx="135">
                  <c:v>36353</c:v>
                </c:pt>
                <c:pt idx="136">
                  <c:v>41436</c:v>
                </c:pt>
                <c:pt idx="137">
                  <c:v>41303</c:v>
                </c:pt>
                <c:pt idx="138">
                  <c:v>66587</c:v>
                </c:pt>
                <c:pt idx="139">
                  <c:v>52369</c:v>
                </c:pt>
                <c:pt idx="140">
                  <c:v>62582</c:v>
                </c:pt>
                <c:pt idx="141">
                  <c:v>41644</c:v>
                </c:pt>
                <c:pt idx="142">
                  <c:v>49564</c:v>
                </c:pt>
                <c:pt idx="143">
                  <c:v>45219</c:v>
                </c:pt>
                <c:pt idx="144">
                  <c:v>48794</c:v>
                </c:pt>
                <c:pt idx="145">
                  <c:v>46562</c:v>
                </c:pt>
                <c:pt idx="146">
                  <c:v>76173</c:v>
                </c:pt>
                <c:pt idx="147">
                  <c:v>54572</c:v>
                </c:pt>
                <c:pt idx="148">
                  <c:v>50567</c:v>
                </c:pt>
                <c:pt idx="149">
                  <c:v>70592</c:v>
                </c:pt>
                <c:pt idx="150">
                  <c:v>58577</c:v>
                </c:pt>
                <c:pt idx="151">
                  <c:v>67043</c:v>
                </c:pt>
                <c:pt idx="152">
                  <c:v>62478</c:v>
                </c:pt>
                <c:pt idx="153">
                  <c:v>80738</c:v>
                </c:pt>
                <c:pt idx="154">
                  <c:v>53819</c:v>
                </c:pt>
                <c:pt idx="155">
                  <c:v>71608</c:v>
                </c:pt>
                <c:pt idx="156">
                  <c:v>55944</c:v>
                </c:pt>
              </c:numCache>
            </c:numRef>
          </c:xVal>
          <c:yVal>
            <c:numRef>
              <c:f>Cancer!$AG$2:$AG$158</c:f>
              <c:numCache>
                <c:formatCode>0.0000</c:formatCode>
                <c:ptCount val="15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0.99300700426101596</c:v>
                </c:pt>
                <c:pt idx="6">
                  <c:v>0.99300700426101596</c:v>
                </c:pt>
                <c:pt idx="7">
                  <c:v>0.99300700426101596</c:v>
                </c:pt>
                <c:pt idx="8">
                  <c:v>0.99300700426101596</c:v>
                </c:pt>
                <c:pt idx="9">
                  <c:v>0.99300700426101596</c:v>
                </c:pt>
                <c:pt idx="10">
                  <c:v>0.99300700426101596</c:v>
                </c:pt>
                <c:pt idx="11">
                  <c:v>0.99300700426101596</c:v>
                </c:pt>
                <c:pt idx="12">
                  <c:v>0.99300700426101596</c:v>
                </c:pt>
                <c:pt idx="13">
                  <c:v>0.99300700426101596</c:v>
                </c:pt>
                <c:pt idx="14">
                  <c:v>0.98601400852203303</c:v>
                </c:pt>
                <c:pt idx="15">
                  <c:v>0.98601400852203303</c:v>
                </c:pt>
                <c:pt idx="16">
                  <c:v>0.98601400852203303</c:v>
                </c:pt>
                <c:pt idx="17">
                  <c:v>0.98601400852203303</c:v>
                </c:pt>
                <c:pt idx="18">
                  <c:v>0.98601400852203303</c:v>
                </c:pt>
                <c:pt idx="19">
                  <c:v>0.98601400852203303</c:v>
                </c:pt>
                <c:pt idx="20">
                  <c:v>0.98601400852203303</c:v>
                </c:pt>
                <c:pt idx="21">
                  <c:v>0.98601400852203303</c:v>
                </c:pt>
                <c:pt idx="22">
                  <c:v>0.98601400852203303</c:v>
                </c:pt>
                <c:pt idx="23">
                  <c:v>0.98601400852203303</c:v>
                </c:pt>
                <c:pt idx="24">
                  <c:v>0.97902095317840498</c:v>
                </c:pt>
                <c:pt idx="25">
                  <c:v>0.97902095317840498</c:v>
                </c:pt>
                <c:pt idx="26">
                  <c:v>0.97902095317840498</c:v>
                </c:pt>
                <c:pt idx="27">
                  <c:v>0.97902095317840498</c:v>
                </c:pt>
                <c:pt idx="28">
                  <c:v>0.97902095317840498</c:v>
                </c:pt>
                <c:pt idx="29">
                  <c:v>0.97902095317840498</c:v>
                </c:pt>
                <c:pt idx="30">
                  <c:v>0.97902095317840498</c:v>
                </c:pt>
                <c:pt idx="31">
                  <c:v>0.97902095317840498</c:v>
                </c:pt>
                <c:pt idx="32">
                  <c:v>0.97902095317840498</c:v>
                </c:pt>
                <c:pt idx="33">
                  <c:v>0.97902095317840498</c:v>
                </c:pt>
                <c:pt idx="34">
                  <c:v>0.97902095317840498</c:v>
                </c:pt>
                <c:pt idx="35">
                  <c:v>0.97902095317840498</c:v>
                </c:pt>
                <c:pt idx="36">
                  <c:v>0.97902095317840498</c:v>
                </c:pt>
                <c:pt idx="37">
                  <c:v>0.97902095317840498</c:v>
                </c:pt>
                <c:pt idx="38">
                  <c:v>0.97902095317840498</c:v>
                </c:pt>
                <c:pt idx="39">
                  <c:v>0.97902095317840498</c:v>
                </c:pt>
                <c:pt idx="40">
                  <c:v>0.97902095317840498</c:v>
                </c:pt>
                <c:pt idx="41">
                  <c:v>0.97902095317840498</c:v>
                </c:pt>
                <c:pt idx="42">
                  <c:v>0.97902095317840498</c:v>
                </c:pt>
                <c:pt idx="43">
                  <c:v>0.97902095317840498</c:v>
                </c:pt>
                <c:pt idx="44">
                  <c:v>0.97202795743942205</c:v>
                </c:pt>
                <c:pt idx="45">
                  <c:v>0.97202795743942205</c:v>
                </c:pt>
                <c:pt idx="46">
                  <c:v>0.97202795743942205</c:v>
                </c:pt>
                <c:pt idx="47">
                  <c:v>0.97202795743942205</c:v>
                </c:pt>
                <c:pt idx="48">
                  <c:v>0.97202795743942205</c:v>
                </c:pt>
                <c:pt idx="49">
                  <c:v>0.97202795743942205</c:v>
                </c:pt>
                <c:pt idx="50">
                  <c:v>0.97202795743942205</c:v>
                </c:pt>
                <c:pt idx="51">
                  <c:v>0.97202795743942205</c:v>
                </c:pt>
                <c:pt idx="52">
                  <c:v>0.97202795743942205</c:v>
                </c:pt>
                <c:pt idx="53">
                  <c:v>0.97202795743942205</c:v>
                </c:pt>
                <c:pt idx="54">
                  <c:v>0.97202795743942205</c:v>
                </c:pt>
                <c:pt idx="55">
                  <c:v>0.97202795743942205</c:v>
                </c:pt>
                <c:pt idx="56">
                  <c:v>0.97202795743942205</c:v>
                </c:pt>
                <c:pt idx="57">
                  <c:v>0.97202795743942205</c:v>
                </c:pt>
                <c:pt idx="58">
                  <c:v>0.97202795743942205</c:v>
                </c:pt>
                <c:pt idx="59">
                  <c:v>0.97202795743942205</c:v>
                </c:pt>
                <c:pt idx="60">
                  <c:v>0.97202795743942205</c:v>
                </c:pt>
                <c:pt idx="61">
                  <c:v>0.97202795743942205</c:v>
                </c:pt>
                <c:pt idx="62">
                  <c:v>0.97202795743942205</c:v>
                </c:pt>
                <c:pt idx="63">
                  <c:v>0.97202795743942205</c:v>
                </c:pt>
                <c:pt idx="64">
                  <c:v>0.97202795743942205</c:v>
                </c:pt>
                <c:pt idx="65">
                  <c:v>0.97202795743942205</c:v>
                </c:pt>
                <c:pt idx="66">
                  <c:v>0.97202795743942205</c:v>
                </c:pt>
                <c:pt idx="67">
                  <c:v>0.97202795743942205</c:v>
                </c:pt>
                <c:pt idx="68">
                  <c:v>0.97202795743942205</c:v>
                </c:pt>
                <c:pt idx="69">
                  <c:v>0.97202795743942205</c:v>
                </c:pt>
                <c:pt idx="70">
                  <c:v>0.97202795743942205</c:v>
                </c:pt>
                <c:pt idx="71">
                  <c:v>0.97202795743942205</c:v>
                </c:pt>
                <c:pt idx="72">
                  <c:v>0.97202795743942205</c:v>
                </c:pt>
                <c:pt idx="73">
                  <c:v>0.97202795743942205</c:v>
                </c:pt>
                <c:pt idx="74">
                  <c:v>0.97202795743942205</c:v>
                </c:pt>
                <c:pt idx="75">
                  <c:v>0.97202795743942205</c:v>
                </c:pt>
                <c:pt idx="76">
                  <c:v>0.97202795743942205</c:v>
                </c:pt>
                <c:pt idx="77">
                  <c:v>0.97202795743942205</c:v>
                </c:pt>
                <c:pt idx="78">
                  <c:v>0.96503496170043901</c:v>
                </c:pt>
                <c:pt idx="79">
                  <c:v>0.96503496170043901</c:v>
                </c:pt>
                <c:pt idx="80">
                  <c:v>0.96503496170043901</c:v>
                </c:pt>
                <c:pt idx="81">
                  <c:v>0.96503496170043901</c:v>
                </c:pt>
                <c:pt idx="82">
                  <c:v>0.96503496170043901</c:v>
                </c:pt>
                <c:pt idx="83">
                  <c:v>0.96503496170043901</c:v>
                </c:pt>
                <c:pt idx="84">
                  <c:v>0.96503496170043901</c:v>
                </c:pt>
                <c:pt idx="85">
                  <c:v>0.96503496170043901</c:v>
                </c:pt>
                <c:pt idx="86">
                  <c:v>0.96503496170043901</c:v>
                </c:pt>
                <c:pt idx="87">
                  <c:v>0.96503496170043901</c:v>
                </c:pt>
                <c:pt idx="88">
                  <c:v>0.96503496170043901</c:v>
                </c:pt>
                <c:pt idx="89">
                  <c:v>0.96503496170043901</c:v>
                </c:pt>
                <c:pt idx="90">
                  <c:v>0.96503496170043901</c:v>
                </c:pt>
                <c:pt idx="91">
                  <c:v>0.96503496170043901</c:v>
                </c:pt>
                <c:pt idx="92">
                  <c:v>0.96503496170043901</c:v>
                </c:pt>
                <c:pt idx="93">
                  <c:v>0.96503496170043901</c:v>
                </c:pt>
                <c:pt idx="94">
                  <c:v>0.96503496170043901</c:v>
                </c:pt>
                <c:pt idx="95">
                  <c:v>0.96503496170043901</c:v>
                </c:pt>
                <c:pt idx="96">
                  <c:v>0.95804196596145597</c:v>
                </c:pt>
                <c:pt idx="97">
                  <c:v>0.95804196596145597</c:v>
                </c:pt>
                <c:pt idx="98">
                  <c:v>0.95804196596145597</c:v>
                </c:pt>
                <c:pt idx="99">
                  <c:v>0.95804196596145597</c:v>
                </c:pt>
                <c:pt idx="100">
                  <c:v>0.95804196596145597</c:v>
                </c:pt>
                <c:pt idx="101">
                  <c:v>0.95804196596145597</c:v>
                </c:pt>
                <c:pt idx="102">
                  <c:v>0.95804196596145597</c:v>
                </c:pt>
                <c:pt idx="103">
                  <c:v>0.95804196596145597</c:v>
                </c:pt>
                <c:pt idx="104">
                  <c:v>0.95804196596145597</c:v>
                </c:pt>
                <c:pt idx="105">
                  <c:v>0.95804196596145597</c:v>
                </c:pt>
                <c:pt idx="106">
                  <c:v>0.95804196596145597</c:v>
                </c:pt>
                <c:pt idx="107">
                  <c:v>0.95804196596145597</c:v>
                </c:pt>
                <c:pt idx="108">
                  <c:v>0.95104897022247303</c:v>
                </c:pt>
                <c:pt idx="109">
                  <c:v>0.95104897022247303</c:v>
                </c:pt>
                <c:pt idx="110">
                  <c:v>0.95104897022247303</c:v>
                </c:pt>
                <c:pt idx="111">
                  <c:v>0.95104897022247303</c:v>
                </c:pt>
                <c:pt idx="112">
                  <c:v>0.95104897022247303</c:v>
                </c:pt>
                <c:pt idx="113">
                  <c:v>0.95104897022247303</c:v>
                </c:pt>
                <c:pt idx="114">
                  <c:v>0.95104897022247303</c:v>
                </c:pt>
                <c:pt idx="115">
                  <c:v>0.95104897022247303</c:v>
                </c:pt>
                <c:pt idx="116">
                  <c:v>0.95104897022247303</c:v>
                </c:pt>
                <c:pt idx="117">
                  <c:v>0.95104897022247303</c:v>
                </c:pt>
                <c:pt idx="118">
                  <c:v>0.95104897022247303</c:v>
                </c:pt>
                <c:pt idx="119">
                  <c:v>0.94405591487884499</c:v>
                </c:pt>
                <c:pt idx="120">
                  <c:v>0.94405591487884499</c:v>
                </c:pt>
                <c:pt idx="121">
                  <c:v>0.94405591487884499</c:v>
                </c:pt>
                <c:pt idx="122">
                  <c:v>0.94405591487884499</c:v>
                </c:pt>
                <c:pt idx="123">
                  <c:v>0.94405591487884499</c:v>
                </c:pt>
                <c:pt idx="124">
                  <c:v>0.94405591487884499</c:v>
                </c:pt>
                <c:pt idx="125">
                  <c:v>0.94405591487884499</c:v>
                </c:pt>
                <c:pt idx="126">
                  <c:v>0.93706291913986195</c:v>
                </c:pt>
                <c:pt idx="127">
                  <c:v>0.93706291913986195</c:v>
                </c:pt>
                <c:pt idx="128">
                  <c:v>0.93706291913986195</c:v>
                </c:pt>
                <c:pt idx="129">
                  <c:v>0.93706291913986195</c:v>
                </c:pt>
                <c:pt idx="130">
                  <c:v>0.93006992340087802</c:v>
                </c:pt>
                <c:pt idx="131">
                  <c:v>0.93006992340087802</c:v>
                </c:pt>
                <c:pt idx="132">
                  <c:v>0.93006992340087802</c:v>
                </c:pt>
                <c:pt idx="133">
                  <c:v>0.93006992340087802</c:v>
                </c:pt>
                <c:pt idx="134">
                  <c:v>0.92307692766189497</c:v>
                </c:pt>
                <c:pt idx="135">
                  <c:v>0.92307692766189497</c:v>
                </c:pt>
                <c:pt idx="136">
                  <c:v>0.91608393192291204</c:v>
                </c:pt>
                <c:pt idx="137">
                  <c:v>0.91608393192291204</c:v>
                </c:pt>
                <c:pt idx="138">
                  <c:v>0.81118881702423096</c:v>
                </c:pt>
                <c:pt idx="139">
                  <c:v>0.79720282554626398</c:v>
                </c:pt>
                <c:pt idx="140">
                  <c:v>0.74125874042510898</c:v>
                </c:pt>
                <c:pt idx="141">
                  <c:v>0.73426574468612604</c:v>
                </c:pt>
                <c:pt idx="142">
                  <c:v>0.73426574468612604</c:v>
                </c:pt>
                <c:pt idx="143">
                  <c:v>0.727272748947143</c:v>
                </c:pt>
                <c:pt idx="144">
                  <c:v>0.72027969360351496</c:v>
                </c:pt>
                <c:pt idx="145">
                  <c:v>0.70629370212554898</c:v>
                </c:pt>
                <c:pt idx="146">
                  <c:v>0.69230771064758301</c:v>
                </c:pt>
                <c:pt idx="147">
                  <c:v>0.69230771064758301</c:v>
                </c:pt>
                <c:pt idx="148">
                  <c:v>0.67832165956497104</c:v>
                </c:pt>
                <c:pt idx="149">
                  <c:v>0.65034967660903897</c:v>
                </c:pt>
                <c:pt idx="150">
                  <c:v>0.64335662126541104</c:v>
                </c:pt>
                <c:pt idx="151">
                  <c:v>0.62237763404846103</c:v>
                </c:pt>
                <c:pt idx="152">
                  <c:v>0.60839158296585005</c:v>
                </c:pt>
                <c:pt idx="153">
                  <c:v>0.60839158296585005</c:v>
                </c:pt>
                <c:pt idx="154">
                  <c:v>0.58041960000991799</c:v>
                </c:pt>
                <c:pt idx="155">
                  <c:v>0.48951047658920199</c:v>
                </c:pt>
                <c:pt idx="156">
                  <c:v>0.47552448511123602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8E-46AD-A0D8-34BD315FCB97}"/>
            </c:ext>
          </c:extLst>
        </c:ser>
        <c:ser>
          <c:idx val="1"/>
          <c:order val="1"/>
          <c:tx>
            <c:strRef>
              <c:f>Cancer!$AH$1</c:f>
              <c:strCache>
                <c:ptCount val="1"/>
                <c:pt idx="0">
                  <c:v>acc MLP min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Cancer!$AF$2:$AF$158</c:f>
              <c:numCache>
                <c:formatCode>0</c:formatCode>
                <c:ptCount val="157"/>
                <c:pt idx="0">
                  <c:v>45091</c:v>
                </c:pt>
                <c:pt idx="1">
                  <c:v>36223</c:v>
                </c:pt>
                <c:pt idx="2">
                  <c:v>39312</c:v>
                </c:pt>
                <c:pt idx="3">
                  <c:v>32891</c:v>
                </c:pt>
                <c:pt idx="4">
                  <c:v>35776</c:v>
                </c:pt>
                <c:pt idx="5">
                  <c:v>24242</c:v>
                </c:pt>
                <c:pt idx="6">
                  <c:v>28412</c:v>
                </c:pt>
                <c:pt idx="7">
                  <c:v>47796</c:v>
                </c:pt>
                <c:pt idx="8">
                  <c:v>33368</c:v>
                </c:pt>
                <c:pt idx="9">
                  <c:v>36427</c:v>
                </c:pt>
                <c:pt idx="10">
                  <c:v>30006</c:v>
                </c:pt>
                <c:pt idx="11">
                  <c:v>62132</c:v>
                </c:pt>
                <c:pt idx="12">
                  <c:v>70056</c:v>
                </c:pt>
                <c:pt idx="13">
                  <c:v>48908</c:v>
                </c:pt>
                <c:pt idx="14">
                  <c:v>43778</c:v>
                </c:pt>
                <c:pt idx="15">
                  <c:v>25856</c:v>
                </c:pt>
                <c:pt idx="16">
                  <c:v>33542</c:v>
                </c:pt>
                <c:pt idx="17">
                  <c:v>48032</c:v>
                </c:pt>
                <c:pt idx="18">
                  <c:v>58607</c:v>
                </c:pt>
                <c:pt idx="19">
                  <c:v>43624</c:v>
                </c:pt>
                <c:pt idx="20">
                  <c:v>47369</c:v>
                </c:pt>
                <c:pt idx="21">
                  <c:v>62126</c:v>
                </c:pt>
                <c:pt idx="22">
                  <c:v>55955</c:v>
                </c:pt>
                <c:pt idx="23">
                  <c:v>43712</c:v>
                </c:pt>
                <c:pt idx="24">
                  <c:v>32582</c:v>
                </c:pt>
                <c:pt idx="25">
                  <c:v>34667</c:v>
                </c:pt>
                <c:pt idx="26">
                  <c:v>13346</c:v>
                </c:pt>
                <c:pt idx="27">
                  <c:v>34664</c:v>
                </c:pt>
                <c:pt idx="28">
                  <c:v>30490</c:v>
                </c:pt>
                <c:pt idx="29">
                  <c:v>43515</c:v>
                </c:pt>
                <c:pt idx="30">
                  <c:v>17516</c:v>
                </c:pt>
                <c:pt idx="31">
                  <c:v>42386</c:v>
                </c:pt>
                <c:pt idx="32">
                  <c:v>47643</c:v>
                </c:pt>
                <c:pt idx="33">
                  <c:v>18466</c:v>
                </c:pt>
                <c:pt idx="34">
                  <c:v>27121</c:v>
                </c:pt>
                <c:pt idx="35">
                  <c:v>51557</c:v>
                </c:pt>
                <c:pt idx="36">
                  <c:v>55082</c:v>
                </c:pt>
                <c:pt idx="37">
                  <c:v>46266</c:v>
                </c:pt>
                <c:pt idx="38">
                  <c:v>66091</c:v>
                </c:pt>
                <c:pt idx="39">
                  <c:v>74018</c:v>
                </c:pt>
                <c:pt idx="40">
                  <c:v>29612</c:v>
                </c:pt>
                <c:pt idx="41">
                  <c:v>36662</c:v>
                </c:pt>
                <c:pt idx="42">
                  <c:v>40187</c:v>
                </c:pt>
                <c:pt idx="43">
                  <c:v>25634</c:v>
                </c:pt>
                <c:pt idx="44">
                  <c:v>11288</c:v>
                </c:pt>
                <c:pt idx="45">
                  <c:v>13853</c:v>
                </c:pt>
                <c:pt idx="46">
                  <c:v>26678</c:v>
                </c:pt>
                <c:pt idx="47">
                  <c:v>11261</c:v>
                </c:pt>
                <c:pt idx="48">
                  <c:v>26327</c:v>
                </c:pt>
                <c:pt idx="49">
                  <c:v>30497</c:v>
                </c:pt>
                <c:pt idx="50">
                  <c:v>36752</c:v>
                </c:pt>
                <c:pt idx="51">
                  <c:v>25804</c:v>
                </c:pt>
                <c:pt idx="52">
                  <c:v>30234</c:v>
                </c:pt>
                <c:pt idx="53">
                  <c:v>32449</c:v>
                </c:pt>
                <c:pt idx="54">
                  <c:v>27366</c:v>
                </c:pt>
                <c:pt idx="55">
                  <c:v>33095</c:v>
                </c:pt>
                <c:pt idx="56">
                  <c:v>21686</c:v>
                </c:pt>
                <c:pt idx="57">
                  <c:v>36976</c:v>
                </c:pt>
                <c:pt idx="58">
                  <c:v>39681</c:v>
                </c:pt>
                <c:pt idx="59">
                  <c:v>50498</c:v>
                </c:pt>
                <c:pt idx="60">
                  <c:v>35170</c:v>
                </c:pt>
                <c:pt idx="61">
                  <c:v>38175</c:v>
                </c:pt>
                <c:pt idx="62">
                  <c:v>47190</c:v>
                </c:pt>
                <c:pt idx="63">
                  <c:v>50195</c:v>
                </c:pt>
                <c:pt idx="64">
                  <c:v>12696</c:v>
                </c:pt>
                <c:pt idx="65">
                  <c:v>21351</c:v>
                </c:pt>
                <c:pt idx="66">
                  <c:v>54859</c:v>
                </c:pt>
                <c:pt idx="67">
                  <c:v>51550</c:v>
                </c:pt>
                <c:pt idx="68">
                  <c:v>64765</c:v>
                </c:pt>
                <c:pt idx="69">
                  <c:v>73575</c:v>
                </c:pt>
                <c:pt idx="70">
                  <c:v>33137</c:v>
                </c:pt>
                <c:pt idx="71">
                  <c:v>17624</c:v>
                </c:pt>
                <c:pt idx="72">
                  <c:v>21629</c:v>
                </c:pt>
                <c:pt idx="73">
                  <c:v>29639</c:v>
                </c:pt>
                <c:pt idx="74">
                  <c:v>33644</c:v>
                </c:pt>
                <c:pt idx="75">
                  <c:v>41654</c:v>
                </c:pt>
                <c:pt idx="76">
                  <c:v>45659</c:v>
                </c:pt>
                <c:pt idx="77">
                  <c:v>49664</c:v>
                </c:pt>
                <c:pt idx="78">
                  <c:v>16418</c:v>
                </c:pt>
                <c:pt idx="79">
                  <c:v>36551</c:v>
                </c:pt>
                <c:pt idx="80">
                  <c:v>28019</c:v>
                </c:pt>
                <c:pt idx="81">
                  <c:v>36879</c:v>
                </c:pt>
                <c:pt idx="82">
                  <c:v>29711</c:v>
                </c:pt>
                <c:pt idx="83">
                  <c:v>35700</c:v>
                </c:pt>
                <c:pt idx="84">
                  <c:v>23771</c:v>
                </c:pt>
                <c:pt idx="85">
                  <c:v>41180</c:v>
                </c:pt>
                <c:pt idx="86">
                  <c:v>15581</c:v>
                </c:pt>
                <c:pt idx="87">
                  <c:v>24236</c:v>
                </c:pt>
                <c:pt idx="88">
                  <c:v>40982</c:v>
                </c:pt>
                <c:pt idx="89">
                  <c:v>51114</c:v>
                </c:pt>
                <c:pt idx="90">
                  <c:v>54196</c:v>
                </c:pt>
                <c:pt idx="91">
                  <c:v>58161</c:v>
                </c:pt>
                <c:pt idx="92">
                  <c:v>53093</c:v>
                </c:pt>
                <c:pt idx="93">
                  <c:v>65648</c:v>
                </c:pt>
                <c:pt idx="94">
                  <c:v>69833</c:v>
                </c:pt>
                <c:pt idx="95">
                  <c:v>77980</c:v>
                </c:pt>
                <c:pt idx="96">
                  <c:v>24113</c:v>
                </c:pt>
                <c:pt idx="97">
                  <c:v>39094</c:v>
                </c:pt>
                <c:pt idx="98">
                  <c:v>19601</c:v>
                </c:pt>
                <c:pt idx="99">
                  <c:v>39078</c:v>
                </c:pt>
                <c:pt idx="100">
                  <c:v>41933</c:v>
                </c:pt>
                <c:pt idx="101">
                  <c:v>66094</c:v>
                </c:pt>
                <c:pt idx="102">
                  <c:v>50231</c:v>
                </c:pt>
                <c:pt idx="103">
                  <c:v>57278</c:v>
                </c:pt>
                <c:pt idx="104">
                  <c:v>61463</c:v>
                </c:pt>
                <c:pt idx="105">
                  <c:v>60360</c:v>
                </c:pt>
                <c:pt idx="106">
                  <c:v>69170</c:v>
                </c:pt>
                <c:pt idx="107">
                  <c:v>37649</c:v>
                </c:pt>
                <c:pt idx="108">
                  <c:v>45369</c:v>
                </c:pt>
                <c:pt idx="109">
                  <c:v>32056</c:v>
                </c:pt>
                <c:pt idx="110">
                  <c:v>38305</c:v>
                </c:pt>
                <c:pt idx="111">
                  <c:v>40910</c:v>
                </c:pt>
                <c:pt idx="112">
                  <c:v>46120</c:v>
                </c:pt>
                <c:pt idx="113">
                  <c:v>34271</c:v>
                </c:pt>
                <c:pt idx="114">
                  <c:v>44788</c:v>
                </c:pt>
                <c:pt idx="115">
                  <c:v>44185</c:v>
                </c:pt>
                <c:pt idx="116">
                  <c:v>53200</c:v>
                </c:pt>
                <c:pt idx="117">
                  <c:v>44507</c:v>
                </c:pt>
                <c:pt idx="118">
                  <c:v>58604</c:v>
                </c:pt>
                <c:pt idx="119">
                  <c:v>33666</c:v>
                </c:pt>
                <c:pt idx="120">
                  <c:v>18983</c:v>
                </c:pt>
                <c:pt idx="121">
                  <c:v>9176</c:v>
                </c:pt>
                <c:pt idx="122">
                  <c:v>36746</c:v>
                </c:pt>
                <c:pt idx="123">
                  <c:v>39091</c:v>
                </c:pt>
                <c:pt idx="124">
                  <c:v>15431</c:v>
                </c:pt>
                <c:pt idx="125">
                  <c:v>62349</c:v>
                </c:pt>
                <c:pt idx="126">
                  <c:v>48094</c:v>
                </c:pt>
                <c:pt idx="127">
                  <c:v>21548</c:v>
                </c:pt>
                <c:pt idx="128">
                  <c:v>29243</c:v>
                </c:pt>
                <c:pt idx="129">
                  <c:v>31403</c:v>
                </c:pt>
                <c:pt idx="130">
                  <c:v>39436</c:v>
                </c:pt>
                <c:pt idx="131">
                  <c:v>34401</c:v>
                </c:pt>
                <c:pt idx="132">
                  <c:v>28928</c:v>
                </c:pt>
                <c:pt idx="133">
                  <c:v>38828</c:v>
                </c:pt>
                <c:pt idx="134">
                  <c:v>33878</c:v>
                </c:pt>
                <c:pt idx="135">
                  <c:v>36353</c:v>
                </c:pt>
                <c:pt idx="136">
                  <c:v>41436</c:v>
                </c:pt>
                <c:pt idx="137">
                  <c:v>41303</c:v>
                </c:pt>
                <c:pt idx="138">
                  <c:v>66587</c:v>
                </c:pt>
                <c:pt idx="139">
                  <c:v>52369</c:v>
                </c:pt>
                <c:pt idx="140">
                  <c:v>62582</c:v>
                </c:pt>
                <c:pt idx="141">
                  <c:v>41644</c:v>
                </c:pt>
                <c:pt idx="142">
                  <c:v>49564</c:v>
                </c:pt>
                <c:pt idx="143">
                  <c:v>45219</c:v>
                </c:pt>
                <c:pt idx="144">
                  <c:v>48794</c:v>
                </c:pt>
                <c:pt idx="145">
                  <c:v>46562</c:v>
                </c:pt>
                <c:pt idx="146">
                  <c:v>76173</c:v>
                </c:pt>
                <c:pt idx="147">
                  <c:v>54572</c:v>
                </c:pt>
                <c:pt idx="148">
                  <c:v>50567</c:v>
                </c:pt>
                <c:pt idx="149">
                  <c:v>70592</c:v>
                </c:pt>
                <c:pt idx="150">
                  <c:v>58577</c:v>
                </c:pt>
                <c:pt idx="151">
                  <c:v>67043</c:v>
                </c:pt>
                <c:pt idx="152">
                  <c:v>62478</c:v>
                </c:pt>
                <c:pt idx="153">
                  <c:v>80738</c:v>
                </c:pt>
                <c:pt idx="154">
                  <c:v>53819</c:v>
                </c:pt>
                <c:pt idx="155">
                  <c:v>71608</c:v>
                </c:pt>
                <c:pt idx="156">
                  <c:v>55944</c:v>
                </c:pt>
              </c:numCache>
            </c:numRef>
          </c:xVal>
          <c:yVal>
            <c:numRef>
              <c:f>Cancer!$AH$2:$AH$158</c:f>
              <c:numCache>
                <c:formatCode>0.0000</c:formatCode>
                <c:ptCount val="157"/>
                <c:pt idx="0">
                  <c:v>1</c:v>
                </c:pt>
                <c:pt idx="1">
                  <c:v>0.99300699300699302</c:v>
                </c:pt>
                <c:pt idx="2">
                  <c:v>1</c:v>
                </c:pt>
                <c:pt idx="3">
                  <c:v>1</c:v>
                </c:pt>
                <c:pt idx="4">
                  <c:v>0.99300699300699302</c:v>
                </c:pt>
                <c:pt idx="5">
                  <c:v>0.97902097902097895</c:v>
                </c:pt>
                <c:pt idx="6">
                  <c:v>0.97902097902097895</c:v>
                </c:pt>
                <c:pt idx="7">
                  <c:v>1</c:v>
                </c:pt>
                <c:pt idx="8">
                  <c:v>1</c:v>
                </c:pt>
                <c:pt idx="9">
                  <c:v>0.99300699300699302</c:v>
                </c:pt>
                <c:pt idx="10">
                  <c:v>0.99300699300699302</c:v>
                </c:pt>
                <c:pt idx="11">
                  <c:v>0.98601398601398604</c:v>
                </c:pt>
                <c:pt idx="12">
                  <c:v>0.94405594405594395</c:v>
                </c:pt>
                <c:pt idx="13">
                  <c:v>0.965034965034965</c:v>
                </c:pt>
                <c:pt idx="14">
                  <c:v>0.95104895104895104</c:v>
                </c:pt>
                <c:pt idx="15">
                  <c:v>0.965034965034965</c:v>
                </c:pt>
                <c:pt idx="16">
                  <c:v>0.99300699300699302</c:v>
                </c:pt>
                <c:pt idx="17">
                  <c:v>0.98601398601398604</c:v>
                </c:pt>
                <c:pt idx="18">
                  <c:v>0.97902097902097895</c:v>
                </c:pt>
                <c:pt idx="19">
                  <c:v>0.97902097902097895</c:v>
                </c:pt>
                <c:pt idx="20">
                  <c:v>0.99300699300699302</c:v>
                </c:pt>
                <c:pt idx="21">
                  <c:v>0.95104895104895104</c:v>
                </c:pt>
                <c:pt idx="22">
                  <c:v>0.98601398601398604</c:v>
                </c:pt>
                <c:pt idx="23">
                  <c:v>0.97202797202797198</c:v>
                </c:pt>
                <c:pt idx="24">
                  <c:v>0.97902097902097895</c:v>
                </c:pt>
                <c:pt idx="25">
                  <c:v>0.97902097902097895</c:v>
                </c:pt>
                <c:pt idx="26">
                  <c:v>0.965034965034965</c:v>
                </c:pt>
                <c:pt idx="27">
                  <c:v>0.97202797202797198</c:v>
                </c:pt>
                <c:pt idx="28">
                  <c:v>0.965034965034965</c:v>
                </c:pt>
                <c:pt idx="29">
                  <c:v>0.95804195804195802</c:v>
                </c:pt>
                <c:pt idx="30">
                  <c:v>0.92307692307692302</c:v>
                </c:pt>
                <c:pt idx="31">
                  <c:v>0.99300699300699302</c:v>
                </c:pt>
                <c:pt idx="32">
                  <c:v>0.97202797202797198</c:v>
                </c:pt>
                <c:pt idx="33">
                  <c:v>0.95804195804195802</c:v>
                </c:pt>
                <c:pt idx="34">
                  <c:v>0.98601398601398604</c:v>
                </c:pt>
                <c:pt idx="35">
                  <c:v>0.98601398601398604</c:v>
                </c:pt>
                <c:pt idx="36">
                  <c:v>0.98601398601398604</c:v>
                </c:pt>
                <c:pt idx="37">
                  <c:v>0.99300699300699302</c:v>
                </c:pt>
                <c:pt idx="38">
                  <c:v>0.95104895104895104</c:v>
                </c:pt>
                <c:pt idx="39">
                  <c:v>0.97202797202797198</c:v>
                </c:pt>
                <c:pt idx="40">
                  <c:v>0.97902097902097895</c:v>
                </c:pt>
                <c:pt idx="41">
                  <c:v>0.97202797202797198</c:v>
                </c:pt>
                <c:pt idx="42">
                  <c:v>0.97202797202797198</c:v>
                </c:pt>
                <c:pt idx="43">
                  <c:v>0.965034965034965</c:v>
                </c:pt>
                <c:pt idx="44">
                  <c:v>0.97202797202797198</c:v>
                </c:pt>
                <c:pt idx="45">
                  <c:v>0.97202797202797198</c:v>
                </c:pt>
                <c:pt idx="46">
                  <c:v>0.99300699300699302</c:v>
                </c:pt>
                <c:pt idx="47">
                  <c:v>0.95804195804195802</c:v>
                </c:pt>
                <c:pt idx="48">
                  <c:v>0.965034965034965</c:v>
                </c:pt>
                <c:pt idx="49">
                  <c:v>0.95804195804195802</c:v>
                </c:pt>
                <c:pt idx="50">
                  <c:v>0.97902097902097895</c:v>
                </c:pt>
                <c:pt idx="51">
                  <c:v>0.97902097902097895</c:v>
                </c:pt>
                <c:pt idx="52">
                  <c:v>0.97202797202797198</c:v>
                </c:pt>
                <c:pt idx="53">
                  <c:v>0.97202797202797198</c:v>
                </c:pt>
                <c:pt idx="54">
                  <c:v>0.97202797202797198</c:v>
                </c:pt>
                <c:pt idx="55">
                  <c:v>0.965034965034965</c:v>
                </c:pt>
                <c:pt idx="56">
                  <c:v>0.92307692307692302</c:v>
                </c:pt>
                <c:pt idx="57">
                  <c:v>0.97202797202797198</c:v>
                </c:pt>
                <c:pt idx="58">
                  <c:v>0.98601398601398604</c:v>
                </c:pt>
                <c:pt idx="59">
                  <c:v>0.97902097902097895</c:v>
                </c:pt>
                <c:pt idx="60">
                  <c:v>0.97902097902097895</c:v>
                </c:pt>
                <c:pt idx="61">
                  <c:v>0.98601398601398604</c:v>
                </c:pt>
                <c:pt idx="62">
                  <c:v>0.965034965034965</c:v>
                </c:pt>
                <c:pt idx="63">
                  <c:v>0.95804195804195802</c:v>
                </c:pt>
                <c:pt idx="64">
                  <c:v>0.95804195804195802</c:v>
                </c:pt>
                <c:pt idx="65">
                  <c:v>0.965034965034965</c:v>
                </c:pt>
                <c:pt idx="66">
                  <c:v>0.95804195804195802</c:v>
                </c:pt>
                <c:pt idx="67">
                  <c:v>0.98601398601398604</c:v>
                </c:pt>
                <c:pt idx="68">
                  <c:v>0.965034965034965</c:v>
                </c:pt>
                <c:pt idx="69">
                  <c:v>0.97202797202797198</c:v>
                </c:pt>
                <c:pt idx="70">
                  <c:v>0.965034965034965</c:v>
                </c:pt>
                <c:pt idx="71">
                  <c:v>0.97902097902097895</c:v>
                </c:pt>
                <c:pt idx="72">
                  <c:v>0.965034965034965</c:v>
                </c:pt>
                <c:pt idx="73">
                  <c:v>0.97202797202797198</c:v>
                </c:pt>
                <c:pt idx="74">
                  <c:v>0.97902097902097895</c:v>
                </c:pt>
                <c:pt idx="75">
                  <c:v>0.97202797202797198</c:v>
                </c:pt>
                <c:pt idx="76">
                  <c:v>0.965034965034965</c:v>
                </c:pt>
                <c:pt idx="77">
                  <c:v>0.97202797202797198</c:v>
                </c:pt>
                <c:pt idx="78">
                  <c:v>0.95104895104895104</c:v>
                </c:pt>
                <c:pt idx="79">
                  <c:v>0.99300699300699302</c:v>
                </c:pt>
                <c:pt idx="80">
                  <c:v>0.965034965034965</c:v>
                </c:pt>
                <c:pt idx="81">
                  <c:v>0.97902097902097895</c:v>
                </c:pt>
                <c:pt idx="82">
                  <c:v>0.97202797202797198</c:v>
                </c:pt>
                <c:pt idx="83">
                  <c:v>0.965034965034965</c:v>
                </c:pt>
                <c:pt idx="84">
                  <c:v>0.97202797202797198</c:v>
                </c:pt>
                <c:pt idx="85">
                  <c:v>0.97902097902097895</c:v>
                </c:pt>
                <c:pt idx="86">
                  <c:v>0.965034965034965</c:v>
                </c:pt>
                <c:pt idx="87">
                  <c:v>0.95104895104895104</c:v>
                </c:pt>
                <c:pt idx="88">
                  <c:v>0.97902097902097895</c:v>
                </c:pt>
                <c:pt idx="89">
                  <c:v>0.95804195804195802</c:v>
                </c:pt>
                <c:pt idx="90">
                  <c:v>1</c:v>
                </c:pt>
                <c:pt idx="91">
                  <c:v>0.99300699300699302</c:v>
                </c:pt>
                <c:pt idx="92">
                  <c:v>0.95804195804195802</c:v>
                </c:pt>
                <c:pt idx="93">
                  <c:v>0.95104895104895104</c:v>
                </c:pt>
                <c:pt idx="94">
                  <c:v>0.97902097902097895</c:v>
                </c:pt>
                <c:pt idx="95">
                  <c:v>0.965034965034965</c:v>
                </c:pt>
                <c:pt idx="96">
                  <c:v>0.98601398601398604</c:v>
                </c:pt>
                <c:pt idx="97">
                  <c:v>0.97202797202797198</c:v>
                </c:pt>
                <c:pt idx="98">
                  <c:v>0.93006993006993</c:v>
                </c:pt>
                <c:pt idx="99">
                  <c:v>1</c:v>
                </c:pt>
                <c:pt idx="100">
                  <c:v>0.97202797202797198</c:v>
                </c:pt>
                <c:pt idx="101">
                  <c:v>0.95104895104895104</c:v>
                </c:pt>
                <c:pt idx="102">
                  <c:v>0.99300699300699302</c:v>
                </c:pt>
                <c:pt idx="103">
                  <c:v>0.965034965034965</c:v>
                </c:pt>
                <c:pt idx="104">
                  <c:v>0.95804195804195802</c:v>
                </c:pt>
                <c:pt idx="105">
                  <c:v>0.965034965034965</c:v>
                </c:pt>
                <c:pt idx="106">
                  <c:v>0.97902097902097895</c:v>
                </c:pt>
                <c:pt idx="107">
                  <c:v>0.97202797202797198</c:v>
                </c:pt>
                <c:pt idx="108">
                  <c:v>0.97902097902097895</c:v>
                </c:pt>
                <c:pt idx="109">
                  <c:v>0.94405594405594395</c:v>
                </c:pt>
                <c:pt idx="110">
                  <c:v>0.97202797202797198</c:v>
                </c:pt>
                <c:pt idx="111">
                  <c:v>0.97902097902097895</c:v>
                </c:pt>
                <c:pt idx="112">
                  <c:v>0.97902097902097895</c:v>
                </c:pt>
                <c:pt idx="113">
                  <c:v>0.97202797202797198</c:v>
                </c:pt>
                <c:pt idx="114">
                  <c:v>0.965034965034965</c:v>
                </c:pt>
                <c:pt idx="115">
                  <c:v>0.95804195804195802</c:v>
                </c:pt>
                <c:pt idx="116">
                  <c:v>0.95804195804195802</c:v>
                </c:pt>
                <c:pt idx="117">
                  <c:v>0.97202797202797198</c:v>
                </c:pt>
                <c:pt idx="118">
                  <c:v>0.95104895104895104</c:v>
                </c:pt>
                <c:pt idx="119">
                  <c:v>0.99300699300699302</c:v>
                </c:pt>
                <c:pt idx="120">
                  <c:v>0.95104895104895104</c:v>
                </c:pt>
                <c:pt idx="121">
                  <c:v>0.98601398601398604</c:v>
                </c:pt>
                <c:pt idx="122">
                  <c:v>0.95104895104895104</c:v>
                </c:pt>
                <c:pt idx="123">
                  <c:v>0.965034965034965</c:v>
                </c:pt>
                <c:pt idx="124">
                  <c:v>0.93706293706293697</c:v>
                </c:pt>
                <c:pt idx="125">
                  <c:v>0.95804195804195802</c:v>
                </c:pt>
                <c:pt idx="126">
                  <c:v>0.99300699300699302</c:v>
                </c:pt>
                <c:pt idx="127">
                  <c:v>0.95804195804195802</c:v>
                </c:pt>
                <c:pt idx="128">
                  <c:v>0.99300699300699302</c:v>
                </c:pt>
                <c:pt idx="129">
                  <c:v>0.91608391608391604</c:v>
                </c:pt>
                <c:pt idx="130">
                  <c:v>0.965034965034965</c:v>
                </c:pt>
                <c:pt idx="131">
                  <c:v>0.93706293706293697</c:v>
                </c:pt>
                <c:pt idx="132">
                  <c:v>0.90909090909090895</c:v>
                </c:pt>
                <c:pt idx="133">
                  <c:v>0.92307692307692302</c:v>
                </c:pt>
                <c:pt idx="134">
                  <c:v>0.92307692307692302</c:v>
                </c:pt>
                <c:pt idx="135">
                  <c:v>0.91608391608391604</c:v>
                </c:pt>
                <c:pt idx="136">
                  <c:v>0.91608391608391604</c:v>
                </c:pt>
                <c:pt idx="137">
                  <c:v>0.92307692307692302</c:v>
                </c:pt>
                <c:pt idx="138">
                  <c:v>0.965034965034965</c:v>
                </c:pt>
                <c:pt idx="139">
                  <c:v>0.95804195804195802</c:v>
                </c:pt>
                <c:pt idx="140">
                  <c:v>0.965034965034965</c:v>
                </c:pt>
                <c:pt idx="141">
                  <c:v>0.965034965034965</c:v>
                </c:pt>
                <c:pt idx="142">
                  <c:v>0.98601398601398604</c:v>
                </c:pt>
                <c:pt idx="143">
                  <c:v>0.97202797202797198</c:v>
                </c:pt>
                <c:pt idx="144">
                  <c:v>0.94405594405594395</c:v>
                </c:pt>
                <c:pt idx="145">
                  <c:v>0.97202797202797198</c:v>
                </c:pt>
                <c:pt idx="146">
                  <c:v>0.965034965034965</c:v>
                </c:pt>
                <c:pt idx="147">
                  <c:v>0.965034965034965</c:v>
                </c:pt>
                <c:pt idx="148">
                  <c:v>0.97202797202797198</c:v>
                </c:pt>
                <c:pt idx="149">
                  <c:v>0.97902097902097895</c:v>
                </c:pt>
                <c:pt idx="150">
                  <c:v>0.965034965034965</c:v>
                </c:pt>
                <c:pt idx="151">
                  <c:v>0.95104895104895104</c:v>
                </c:pt>
                <c:pt idx="152">
                  <c:v>0.965034965034965</c:v>
                </c:pt>
                <c:pt idx="153">
                  <c:v>0.95804195804195802</c:v>
                </c:pt>
                <c:pt idx="154">
                  <c:v>0.97902097902097895</c:v>
                </c:pt>
                <c:pt idx="155">
                  <c:v>0.965034965034965</c:v>
                </c:pt>
                <c:pt idx="156">
                  <c:v>0.95804195804195802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8E-46AD-A0D8-34BD315FCB97}"/>
            </c:ext>
          </c:extLst>
        </c:ser>
        <c:ser>
          <c:idx val="2"/>
          <c:order val="2"/>
          <c:tx>
            <c:strRef>
              <c:f>Cancer!$AI$1</c:f>
              <c:strCache>
                <c:ptCount val="1"/>
                <c:pt idx="0">
                  <c:v>acc MLP max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Cancer!$AF$2:$AF$158</c:f>
              <c:numCache>
                <c:formatCode>0</c:formatCode>
                <c:ptCount val="157"/>
                <c:pt idx="0">
                  <c:v>45091</c:v>
                </c:pt>
                <c:pt idx="1">
                  <c:v>36223</c:v>
                </c:pt>
                <c:pt idx="2">
                  <c:v>39312</c:v>
                </c:pt>
                <c:pt idx="3">
                  <c:v>32891</c:v>
                </c:pt>
                <c:pt idx="4">
                  <c:v>35776</c:v>
                </c:pt>
                <c:pt idx="5">
                  <c:v>24242</c:v>
                </c:pt>
                <c:pt idx="6">
                  <c:v>28412</c:v>
                </c:pt>
                <c:pt idx="7">
                  <c:v>47796</c:v>
                </c:pt>
                <c:pt idx="8">
                  <c:v>33368</c:v>
                </c:pt>
                <c:pt idx="9">
                  <c:v>36427</c:v>
                </c:pt>
                <c:pt idx="10">
                  <c:v>30006</c:v>
                </c:pt>
                <c:pt idx="11">
                  <c:v>62132</c:v>
                </c:pt>
                <c:pt idx="12">
                  <c:v>70056</c:v>
                </c:pt>
                <c:pt idx="13">
                  <c:v>48908</c:v>
                </c:pt>
                <c:pt idx="14">
                  <c:v>43778</c:v>
                </c:pt>
                <c:pt idx="15">
                  <c:v>25856</c:v>
                </c:pt>
                <c:pt idx="16">
                  <c:v>33542</c:v>
                </c:pt>
                <c:pt idx="17">
                  <c:v>48032</c:v>
                </c:pt>
                <c:pt idx="18">
                  <c:v>58607</c:v>
                </c:pt>
                <c:pt idx="19">
                  <c:v>43624</c:v>
                </c:pt>
                <c:pt idx="20">
                  <c:v>47369</c:v>
                </c:pt>
                <c:pt idx="21">
                  <c:v>62126</c:v>
                </c:pt>
                <c:pt idx="22">
                  <c:v>55955</c:v>
                </c:pt>
                <c:pt idx="23">
                  <c:v>43712</c:v>
                </c:pt>
                <c:pt idx="24">
                  <c:v>32582</c:v>
                </c:pt>
                <c:pt idx="25">
                  <c:v>34667</c:v>
                </c:pt>
                <c:pt idx="26">
                  <c:v>13346</c:v>
                </c:pt>
                <c:pt idx="27">
                  <c:v>34664</c:v>
                </c:pt>
                <c:pt idx="28">
                  <c:v>30490</c:v>
                </c:pt>
                <c:pt idx="29">
                  <c:v>43515</c:v>
                </c:pt>
                <c:pt idx="30">
                  <c:v>17516</c:v>
                </c:pt>
                <c:pt idx="31">
                  <c:v>42386</c:v>
                </c:pt>
                <c:pt idx="32">
                  <c:v>47643</c:v>
                </c:pt>
                <c:pt idx="33">
                  <c:v>18466</c:v>
                </c:pt>
                <c:pt idx="34">
                  <c:v>27121</c:v>
                </c:pt>
                <c:pt idx="35">
                  <c:v>51557</c:v>
                </c:pt>
                <c:pt idx="36">
                  <c:v>55082</c:v>
                </c:pt>
                <c:pt idx="37">
                  <c:v>46266</c:v>
                </c:pt>
                <c:pt idx="38">
                  <c:v>66091</c:v>
                </c:pt>
                <c:pt idx="39">
                  <c:v>74018</c:v>
                </c:pt>
                <c:pt idx="40">
                  <c:v>29612</c:v>
                </c:pt>
                <c:pt idx="41">
                  <c:v>36662</c:v>
                </c:pt>
                <c:pt idx="42">
                  <c:v>40187</c:v>
                </c:pt>
                <c:pt idx="43">
                  <c:v>25634</c:v>
                </c:pt>
                <c:pt idx="44">
                  <c:v>11288</c:v>
                </c:pt>
                <c:pt idx="45">
                  <c:v>13853</c:v>
                </c:pt>
                <c:pt idx="46">
                  <c:v>26678</c:v>
                </c:pt>
                <c:pt idx="47">
                  <c:v>11261</c:v>
                </c:pt>
                <c:pt idx="48">
                  <c:v>26327</c:v>
                </c:pt>
                <c:pt idx="49">
                  <c:v>30497</c:v>
                </c:pt>
                <c:pt idx="50">
                  <c:v>36752</c:v>
                </c:pt>
                <c:pt idx="51">
                  <c:v>25804</c:v>
                </c:pt>
                <c:pt idx="52">
                  <c:v>30234</c:v>
                </c:pt>
                <c:pt idx="53">
                  <c:v>32449</c:v>
                </c:pt>
                <c:pt idx="54">
                  <c:v>27366</c:v>
                </c:pt>
                <c:pt idx="55">
                  <c:v>33095</c:v>
                </c:pt>
                <c:pt idx="56">
                  <c:v>21686</c:v>
                </c:pt>
                <c:pt idx="57">
                  <c:v>36976</c:v>
                </c:pt>
                <c:pt idx="58">
                  <c:v>39681</c:v>
                </c:pt>
                <c:pt idx="59">
                  <c:v>50498</c:v>
                </c:pt>
                <c:pt idx="60">
                  <c:v>35170</c:v>
                </c:pt>
                <c:pt idx="61">
                  <c:v>38175</c:v>
                </c:pt>
                <c:pt idx="62">
                  <c:v>47190</c:v>
                </c:pt>
                <c:pt idx="63">
                  <c:v>50195</c:v>
                </c:pt>
                <c:pt idx="64">
                  <c:v>12696</c:v>
                </c:pt>
                <c:pt idx="65">
                  <c:v>21351</c:v>
                </c:pt>
                <c:pt idx="66">
                  <c:v>54859</c:v>
                </c:pt>
                <c:pt idx="67">
                  <c:v>51550</c:v>
                </c:pt>
                <c:pt idx="68">
                  <c:v>64765</c:v>
                </c:pt>
                <c:pt idx="69">
                  <c:v>73575</c:v>
                </c:pt>
                <c:pt idx="70">
                  <c:v>33137</c:v>
                </c:pt>
                <c:pt idx="71">
                  <c:v>17624</c:v>
                </c:pt>
                <c:pt idx="72">
                  <c:v>21629</c:v>
                </c:pt>
                <c:pt idx="73">
                  <c:v>29639</c:v>
                </c:pt>
                <c:pt idx="74">
                  <c:v>33644</c:v>
                </c:pt>
                <c:pt idx="75">
                  <c:v>41654</c:v>
                </c:pt>
                <c:pt idx="76">
                  <c:v>45659</c:v>
                </c:pt>
                <c:pt idx="77">
                  <c:v>49664</c:v>
                </c:pt>
                <c:pt idx="78">
                  <c:v>16418</c:v>
                </c:pt>
                <c:pt idx="79">
                  <c:v>36551</c:v>
                </c:pt>
                <c:pt idx="80">
                  <c:v>28019</c:v>
                </c:pt>
                <c:pt idx="81">
                  <c:v>36879</c:v>
                </c:pt>
                <c:pt idx="82">
                  <c:v>29711</c:v>
                </c:pt>
                <c:pt idx="83">
                  <c:v>35700</c:v>
                </c:pt>
                <c:pt idx="84">
                  <c:v>23771</c:v>
                </c:pt>
                <c:pt idx="85">
                  <c:v>41180</c:v>
                </c:pt>
                <c:pt idx="86">
                  <c:v>15581</c:v>
                </c:pt>
                <c:pt idx="87">
                  <c:v>24236</c:v>
                </c:pt>
                <c:pt idx="88">
                  <c:v>40982</c:v>
                </c:pt>
                <c:pt idx="89">
                  <c:v>51114</c:v>
                </c:pt>
                <c:pt idx="90">
                  <c:v>54196</c:v>
                </c:pt>
                <c:pt idx="91">
                  <c:v>58161</c:v>
                </c:pt>
                <c:pt idx="92">
                  <c:v>53093</c:v>
                </c:pt>
                <c:pt idx="93">
                  <c:v>65648</c:v>
                </c:pt>
                <c:pt idx="94">
                  <c:v>69833</c:v>
                </c:pt>
                <c:pt idx="95">
                  <c:v>77980</c:v>
                </c:pt>
                <c:pt idx="96">
                  <c:v>24113</c:v>
                </c:pt>
                <c:pt idx="97">
                  <c:v>39094</c:v>
                </c:pt>
                <c:pt idx="98">
                  <c:v>19601</c:v>
                </c:pt>
                <c:pt idx="99">
                  <c:v>39078</c:v>
                </c:pt>
                <c:pt idx="100">
                  <c:v>41933</c:v>
                </c:pt>
                <c:pt idx="101">
                  <c:v>66094</c:v>
                </c:pt>
                <c:pt idx="102">
                  <c:v>50231</c:v>
                </c:pt>
                <c:pt idx="103">
                  <c:v>57278</c:v>
                </c:pt>
                <c:pt idx="104">
                  <c:v>61463</c:v>
                </c:pt>
                <c:pt idx="105">
                  <c:v>60360</c:v>
                </c:pt>
                <c:pt idx="106">
                  <c:v>69170</c:v>
                </c:pt>
                <c:pt idx="107">
                  <c:v>37649</c:v>
                </c:pt>
                <c:pt idx="108">
                  <c:v>45369</c:v>
                </c:pt>
                <c:pt idx="109">
                  <c:v>32056</c:v>
                </c:pt>
                <c:pt idx="110">
                  <c:v>38305</c:v>
                </c:pt>
                <c:pt idx="111">
                  <c:v>40910</c:v>
                </c:pt>
                <c:pt idx="112">
                  <c:v>46120</c:v>
                </c:pt>
                <c:pt idx="113">
                  <c:v>34271</c:v>
                </c:pt>
                <c:pt idx="114">
                  <c:v>44788</c:v>
                </c:pt>
                <c:pt idx="115">
                  <c:v>44185</c:v>
                </c:pt>
                <c:pt idx="116">
                  <c:v>53200</c:v>
                </c:pt>
                <c:pt idx="117">
                  <c:v>44507</c:v>
                </c:pt>
                <c:pt idx="118">
                  <c:v>58604</c:v>
                </c:pt>
                <c:pt idx="119">
                  <c:v>33666</c:v>
                </c:pt>
                <c:pt idx="120">
                  <c:v>18983</c:v>
                </c:pt>
                <c:pt idx="121">
                  <c:v>9176</c:v>
                </c:pt>
                <c:pt idx="122">
                  <c:v>36746</c:v>
                </c:pt>
                <c:pt idx="123">
                  <c:v>39091</c:v>
                </c:pt>
                <c:pt idx="124">
                  <c:v>15431</c:v>
                </c:pt>
                <c:pt idx="125">
                  <c:v>62349</c:v>
                </c:pt>
                <c:pt idx="126">
                  <c:v>48094</c:v>
                </c:pt>
                <c:pt idx="127">
                  <c:v>21548</c:v>
                </c:pt>
                <c:pt idx="128">
                  <c:v>29243</c:v>
                </c:pt>
                <c:pt idx="129">
                  <c:v>31403</c:v>
                </c:pt>
                <c:pt idx="130">
                  <c:v>39436</c:v>
                </c:pt>
                <c:pt idx="131">
                  <c:v>34401</c:v>
                </c:pt>
                <c:pt idx="132">
                  <c:v>28928</c:v>
                </c:pt>
                <c:pt idx="133">
                  <c:v>38828</c:v>
                </c:pt>
                <c:pt idx="134">
                  <c:v>33878</c:v>
                </c:pt>
                <c:pt idx="135">
                  <c:v>36353</c:v>
                </c:pt>
                <c:pt idx="136">
                  <c:v>41436</c:v>
                </c:pt>
                <c:pt idx="137">
                  <c:v>41303</c:v>
                </c:pt>
                <c:pt idx="138">
                  <c:v>66587</c:v>
                </c:pt>
                <c:pt idx="139">
                  <c:v>52369</c:v>
                </c:pt>
                <c:pt idx="140">
                  <c:v>62582</c:v>
                </c:pt>
                <c:pt idx="141">
                  <c:v>41644</c:v>
                </c:pt>
                <c:pt idx="142">
                  <c:v>49564</c:v>
                </c:pt>
                <c:pt idx="143">
                  <c:v>45219</c:v>
                </c:pt>
                <c:pt idx="144">
                  <c:v>48794</c:v>
                </c:pt>
                <c:pt idx="145">
                  <c:v>46562</c:v>
                </c:pt>
                <c:pt idx="146">
                  <c:v>76173</c:v>
                </c:pt>
                <c:pt idx="147">
                  <c:v>54572</c:v>
                </c:pt>
                <c:pt idx="148">
                  <c:v>50567</c:v>
                </c:pt>
                <c:pt idx="149">
                  <c:v>70592</c:v>
                </c:pt>
                <c:pt idx="150">
                  <c:v>58577</c:v>
                </c:pt>
                <c:pt idx="151">
                  <c:v>67043</c:v>
                </c:pt>
                <c:pt idx="152">
                  <c:v>62478</c:v>
                </c:pt>
                <c:pt idx="153">
                  <c:v>80738</c:v>
                </c:pt>
                <c:pt idx="154">
                  <c:v>53819</c:v>
                </c:pt>
                <c:pt idx="155">
                  <c:v>71608</c:v>
                </c:pt>
                <c:pt idx="156">
                  <c:v>55944</c:v>
                </c:pt>
              </c:numCache>
            </c:numRef>
          </c:xVal>
          <c:yVal>
            <c:numRef>
              <c:f>Cancer!$AI$2:$AI$158</c:f>
              <c:numCache>
                <c:formatCode>0.0000</c:formatCode>
                <c:ptCount val="157"/>
                <c:pt idx="0">
                  <c:v>1</c:v>
                </c:pt>
                <c:pt idx="1">
                  <c:v>1</c:v>
                </c:pt>
                <c:pt idx="2">
                  <c:v>0.99300699300699302</c:v>
                </c:pt>
                <c:pt idx="3">
                  <c:v>1</c:v>
                </c:pt>
                <c:pt idx="4">
                  <c:v>0.99300699300699302</c:v>
                </c:pt>
                <c:pt idx="5">
                  <c:v>0.97202797202797198</c:v>
                </c:pt>
                <c:pt idx="6">
                  <c:v>0.97902097902097895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0.98601398601398604</c:v>
                </c:pt>
                <c:pt idx="12">
                  <c:v>0.94405594405594395</c:v>
                </c:pt>
                <c:pt idx="13">
                  <c:v>0.94405594405594395</c:v>
                </c:pt>
                <c:pt idx="14">
                  <c:v>0.965034965034965</c:v>
                </c:pt>
                <c:pt idx="15">
                  <c:v>0.97902097902097895</c:v>
                </c:pt>
                <c:pt idx="16">
                  <c:v>0.99300699300699302</c:v>
                </c:pt>
                <c:pt idx="17">
                  <c:v>0.98601398601398604</c:v>
                </c:pt>
                <c:pt idx="18">
                  <c:v>0.98601398601398604</c:v>
                </c:pt>
                <c:pt idx="19">
                  <c:v>0.98601398601398604</c:v>
                </c:pt>
                <c:pt idx="20">
                  <c:v>0.98601398601398604</c:v>
                </c:pt>
                <c:pt idx="21">
                  <c:v>0.94405594405594395</c:v>
                </c:pt>
                <c:pt idx="22">
                  <c:v>0.97202797202797198</c:v>
                </c:pt>
                <c:pt idx="23">
                  <c:v>0.97202797202797198</c:v>
                </c:pt>
                <c:pt idx="24">
                  <c:v>0.965034965034965</c:v>
                </c:pt>
                <c:pt idx="25">
                  <c:v>0.97202797202797198</c:v>
                </c:pt>
                <c:pt idx="26">
                  <c:v>0.95804195804195802</c:v>
                </c:pt>
                <c:pt idx="27">
                  <c:v>0.97902097902097895</c:v>
                </c:pt>
                <c:pt idx="28">
                  <c:v>0.965034965034965</c:v>
                </c:pt>
                <c:pt idx="29">
                  <c:v>0.97202797202797198</c:v>
                </c:pt>
                <c:pt idx="30">
                  <c:v>0.92307692307692302</c:v>
                </c:pt>
                <c:pt idx="31">
                  <c:v>1</c:v>
                </c:pt>
                <c:pt idx="32">
                  <c:v>0.97202797202797198</c:v>
                </c:pt>
                <c:pt idx="33">
                  <c:v>0.95104895104895104</c:v>
                </c:pt>
                <c:pt idx="34">
                  <c:v>0.99300699300699302</c:v>
                </c:pt>
                <c:pt idx="35">
                  <c:v>0.98601398601398604</c:v>
                </c:pt>
                <c:pt idx="36">
                  <c:v>0.98601398601398604</c:v>
                </c:pt>
                <c:pt idx="37">
                  <c:v>0.97902097902097895</c:v>
                </c:pt>
                <c:pt idx="38">
                  <c:v>0.95104895104895104</c:v>
                </c:pt>
                <c:pt idx="39">
                  <c:v>0.97902097902097895</c:v>
                </c:pt>
                <c:pt idx="40">
                  <c:v>0.97902097902097895</c:v>
                </c:pt>
                <c:pt idx="41">
                  <c:v>0.97202797202797198</c:v>
                </c:pt>
                <c:pt idx="42">
                  <c:v>0.97202797202797198</c:v>
                </c:pt>
                <c:pt idx="43">
                  <c:v>0.965034965034965</c:v>
                </c:pt>
                <c:pt idx="44">
                  <c:v>0.965034965034965</c:v>
                </c:pt>
                <c:pt idx="45">
                  <c:v>0.965034965034965</c:v>
                </c:pt>
                <c:pt idx="46">
                  <c:v>0.97902097902097895</c:v>
                </c:pt>
                <c:pt idx="47">
                  <c:v>0.97202797202797198</c:v>
                </c:pt>
                <c:pt idx="48">
                  <c:v>0.97902097902097895</c:v>
                </c:pt>
                <c:pt idx="49">
                  <c:v>0.93706293706293697</c:v>
                </c:pt>
                <c:pt idx="50">
                  <c:v>0.97902097902097895</c:v>
                </c:pt>
                <c:pt idx="51">
                  <c:v>0.97202797202797198</c:v>
                </c:pt>
                <c:pt idx="52">
                  <c:v>0.965034965034965</c:v>
                </c:pt>
                <c:pt idx="53">
                  <c:v>0.95804195804195802</c:v>
                </c:pt>
                <c:pt idx="54">
                  <c:v>0.97902097902097895</c:v>
                </c:pt>
                <c:pt idx="55">
                  <c:v>0.965034965034965</c:v>
                </c:pt>
                <c:pt idx="56">
                  <c:v>0.93006993006993</c:v>
                </c:pt>
                <c:pt idx="57">
                  <c:v>0.99300699300699302</c:v>
                </c:pt>
                <c:pt idx="58">
                  <c:v>0.97902097902097895</c:v>
                </c:pt>
                <c:pt idx="59">
                  <c:v>0.98601398601398604</c:v>
                </c:pt>
                <c:pt idx="60">
                  <c:v>0.97902097902097895</c:v>
                </c:pt>
                <c:pt idx="61">
                  <c:v>0.97202797202797198</c:v>
                </c:pt>
                <c:pt idx="62">
                  <c:v>0.95804195804195802</c:v>
                </c:pt>
                <c:pt idx="63">
                  <c:v>0.95804195804195802</c:v>
                </c:pt>
                <c:pt idx="64">
                  <c:v>0.95104895104895104</c:v>
                </c:pt>
                <c:pt idx="65">
                  <c:v>0.95104895104895104</c:v>
                </c:pt>
                <c:pt idx="66">
                  <c:v>0.94405594405594395</c:v>
                </c:pt>
                <c:pt idx="67">
                  <c:v>0.97902097902097895</c:v>
                </c:pt>
                <c:pt idx="68">
                  <c:v>0.965034965034965</c:v>
                </c:pt>
                <c:pt idx="69">
                  <c:v>0.965034965034965</c:v>
                </c:pt>
                <c:pt idx="70">
                  <c:v>0.97202797202797198</c:v>
                </c:pt>
                <c:pt idx="71">
                  <c:v>0.97202797202797198</c:v>
                </c:pt>
                <c:pt idx="72">
                  <c:v>0.97202797202797198</c:v>
                </c:pt>
                <c:pt idx="73">
                  <c:v>0.965034965034965</c:v>
                </c:pt>
                <c:pt idx="74">
                  <c:v>0.965034965034965</c:v>
                </c:pt>
                <c:pt idx="75">
                  <c:v>0.965034965034965</c:v>
                </c:pt>
                <c:pt idx="76">
                  <c:v>0.965034965034965</c:v>
                </c:pt>
                <c:pt idx="77">
                  <c:v>0.965034965034965</c:v>
                </c:pt>
                <c:pt idx="78">
                  <c:v>0.95104895104895104</c:v>
                </c:pt>
                <c:pt idx="79">
                  <c:v>0.97202797202797198</c:v>
                </c:pt>
                <c:pt idx="80">
                  <c:v>0.95804195804195802</c:v>
                </c:pt>
                <c:pt idx="81">
                  <c:v>0.97902097902097895</c:v>
                </c:pt>
                <c:pt idx="82">
                  <c:v>0.97202797202797198</c:v>
                </c:pt>
                <c:pt idx="83">
                  <c:v>0.965034965034965</c:v>
                </c:pt>
                <c:pt idx="84">
                  <c:v>0.93006993006993</c:v>
                </c:pt>
                <c:pt idx="85">
                  <c:v>0.97202797202797198</c:v>
                </c:pt>
                <c:pt idx="86">
                  <c:v>0.95104895104895104</c:v>
                </c:pt>
                <c:pt idx="87">
                  <c:v>0.965034965034965</c:v>
                </c:pt>
                <c:pt idx="88">
                  <c:v>0.97902097902097895</c:v>
                </c:pt>
                <c:pt idx="89">
                  <c:v>0.94405594405594395</c:v>
                </c:pt>
                <c:pt idx="90">
                  <c:v>1</c:v>
                </c:pt>
                <c:pt idx="91">
                  <c:v>0.99300699300699302</c:v>
                </c:pt>
                <c:pt idx="92">
                  <c:v>0.965034965034965</c:v>
                </c:pt>
                <c:pt idx="93">
                  <c:v>0.97902097902097895</c:v>
                </c:pt>
                <c:pt idx="94">
                  <c:v>0.97202797202797198</c:v>
                </c:pt>
                <c:pt idx="95">
                  <c:v>0.97202797202797198</c:v>
                </c:pt>
                <c:pt idx="96">
                  <c:v>0.97902097902097895</c:v>
                </c:pt>
                <c:pt idx="97">
                  <c:v>0.97902097902097895</c:v>
                </c:pt>
                <c:pt idx="98">
                  <c:v>0.93006993006993</c:v>
                </c:pt>
                <c:pt idx="99">
                  <c:v>1</c:v>
                </c:pt>
                <c:pt idx="100">
                  <c:v>0.965034965034965</c:v>
                </c:pt>
                <c:pt idx="101">
                  <c:v>0.95104895104895104</c:v>
                </c:pt>
                <c:pt idx="102">
                  <c:v>0.98601398601398604</c:v>
                </c:pt>
                <c:pt idx="103">
                  <c:v>0.965034965034965</c:v>
                </c:pt>
                <c:pt idx="104">
                  <c:v>0.95104895104895104</c:v>
                </c:pt>
                <c:pt idx="105">
                  <c:v>0.97202797202797198</c:v>
                </c:pt>
                <c:pt idx="106">
                  <c:v>0.97202797202797198</c:v>
                </c:pt>
                <c:pt idx="107">
                  <c:v>0.97202797202797198</c:v>
                </c:pt>
                <c:pt idx="108">
                  <c:v>0.99300699300699302</c:v>
                </c:pt>
                <c:pt idx="109">
                  <c:v>0.93706293706293697</c:v>
                </c:pt>
                <c:pt idx="110">
                  <c:v>0.95804195804195802</c:v>
                </c:pt>
                <c:pt idx="111">
                  <c:v>0.97202797202797198</c:v>
                </c:pt>
                <c:pt idx="112">
                  <c:v>0.97202797202797198</c:v>
                </c:pt>
                <c:pt idx="113">
                  <c:v>0.98601398601398604</c:v>
                </c:pt>
                <c:pt idx="114">
                  <c:v>0.97202797202797198</c:v>
                </c:pt>
                <c:pt idx="115">
                  <c:v>0.95804195804195802</c:v>
                </c:pt>
                <c:pt idx="116">
                  <c:v>0.95104895104895104</c:v>
                </c:pt>
                <c:pt idx="117">
                  <c:v>0.98601398601398604</c:v>
                </c:pt>
                <c:pt idx="118">
                  <c:v>0.95104895104895104</c:v>
                </c:pt>
                <c:pt idx="119">
                  <c:v>1</c:v>
                </c:pt>
                <c:pt idx="120">
                  <c:v>0.965034965034965</c:v>
                </c:pt>
                <c:pt idx="121">
                  <c:v>0.97202797202797198</c:v>
                </c:pt>
                <c:pt idx="122">
                  <c:v>0.95104895104895104</c:v>
                </c:pt>
                <c:pt idx="123">
                  <c:v>0.94405594405594395</c:v>
                </c:pt>
                <c:pt idx="124">
                  <c:v>0.95104895104895104</c:v>
                </c:pt>
                <c:pt idx="125">
                  <c:v>0.95104895104895104</c:v>
                </c:pt>
                <c:pt idx="126">
                  <c:v>0.93706293706293697</c:v>
                </c:pt>
                <c:pt idx="127">
                  <c:v>0.95104895104895104</c:v>
                </c:pt>
                <c:pt idx="128">
                  <c:v>0.97202797202797198</c:v>
                </c:pt>
                <c:pt idx="129">
                  <c:v>0.91608391608391604</c:v>
                </c:pt>
                <c:pt idx="130">
                  <c:v>0.95804195804195802</c:v>
                </c:pt>
                <c:pt idx="131">
                  <c:v>0.93706293706293697</c:v>
                </c:pt>
                <c:pt idx="132">
                  <c:v>0.90909090909090895</c:v>
                </c:pt>
                <c:pt idx="133">
                  <c:v>0.91608391608391604</c:v>
                </c:pt>
                <c:pt idx="134">
                  <c:v>0.90909090909090895</c:v>
                </c:pt>
                <c:pt idx="135">
                  <c:v>0.91608391608391604</c:v>
                </c:pt>
                <c:pt idx="136">
                  <c:v>0.91608391608391604</c:v>
                </c:pt>
                <c:pt idx="137">
                  <c:v>0.90909090909090895</c:v>
                </c:pt>
                <c:pt idx="138">
                  <c:v>0.95804195804195802</c:v>
                </c:pt>
                <c:pt idx="139">
                  <c:v>0.97202797202797198</c:v>
                </c:pt>
                <c:pt idx="140">
                  <c:v>0.965034965034965</c:v>
                </c:pt>
                <c:pt idx="141">
                  <c:v>0.95804195804195802</c:v>
                </c:pt>
                <c:pt idx="142">
                  <c:v>0.97902097902097895</c:v>
                </c:pt>
                <c:pt idx="143">
                  <c:v>0.95104895104895104</c:v>
                </c:pt>
                <c:pt idx="144">
                  <c:v>0.95804195804195802</c:v>
                </c:pt>
                <c:pt idx="145">
                  <c:v>0.965034965034965</c:v>
                </c:pt>
                <c:pt idx="146">
                  <c:v>0.93006993006993</c:v>
                </c:pt>
                <c:pt idx="147">
                  <c:v>0.97202797202797198</c:v>
                </c:pt>
                <c:pt idx="148">
                  <c:v>0.97202797202797198</c:v>
                </c:pt>
                <c:pt idx="149">
                  <c:v>0.98601398601398604</c:v>
                </c:pt>
                <c:pt idx="150">
                  <c:v>0.965034965034965</c:v>
                </c:pt>
                <c:pt idx="151">
                  <c:v>0.90909090909090895</c:v>
                </c:pt>
                <c:pt idx="152">
                  <c:v>0.90909090909090895</c:v>
                </c:pt>
                <c:pt idx="153">
                  <c:v>0.93006993006993</c:v>
                </c:pt>
                <c:pt idx="154">
                  <c:v>0.98601398601398604</c:v>
                </c:pt>
                <c:pt idx="155">
                  <c:v>0.93006993006993</c:v>
                </c:pt>
                <c:pt idx="156">
                  <c:v>0.95104895104895104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8E-46AD-A0D8-34BD315FC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409920"/>
        <c:axId val="603253568"/>
      </c:scatterChart>
      <c:valAx>
        <c:axId val="781409920"/>
        <c:scaling>
          <c:orientation val="minMax"/>
          <c:min val="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03253568"/>
        <c:crosses val="autoZero"/>
        <c:crossBetween val="midCat"/>
      </c:valAx>
      <c:valAx>
        <c:axId val="603253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81409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Iris!$AG$1</c:f>
              <c:strCache>
                <c:ptCount val="1"/>
                <c:pt idx="0">
                  <c:v>acc KAN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Iris!$AF$2:$AF$145</c:f>
              <c:numCache>
                <c:formatCode>General</c:formatCode>
                <c:ptCount val="144"/>
                <c:pt idx="0">
                  <c:v>2769</c:v>
                </c:pt>
                <c:pt idx="1">
                  <c:v>384</c:v>
                </c:pt>
                <c:pt idx="2">
                  <c:v>1153</c:v>
                </c:pt>
                <c:pt idx="3">
                  <c:v>1075</c:v>
                </c:pt>
                <c:pt idx="4">
                  <c:v>1489</c:v>
                </c:pt>
                <c:pt idx="5">
                  <c:v>2534</c:v>
                </c:pt>
                <c:pt idx="6">
                  <c:v>1747</c:v>
                </c:pt>
                <c:pt idx="7">
                  <c:v>2952</c:v>
                </c:pt>
                <c:pt idx="8">
                  <c:v>342</c:v>
                </c:pt>
                <c:pt idx="9">
                  <c:v>1280</c:v>
                </c:pt>
                <c:pt idx="10">
                  <c:v>973</c:v>
                </c:pt>
                <c:pt idx="11">
                  <c:v>907</c:v>
                </c:pt>
                <c:pt idx="12">
                  <c:v>1213</c:v>
                </c:pt>
                <c:pt idx="13">
                  <c:v>2063</c:v>
                </c:pt>
                <c:pt idx="14">
                  <c:v>1423</c:v>
                </c:pt>
                <c:pt idx="15">
                  <c:v>2403</c:v>
                </c:pt>
                <c:pt idx="16">
                  <c:v>279</c:v>
                </c:pt>
                <c:pt idx="17">
                  <c:v>583</c:v>
                </c:pt>
                <c:pt idx="18">
                  <c:v>1043</c:v>
                </c:pt>
                <c:pt idx="19">
                  <c:v>793</c:v>
                </c:pt>
                <c:pt idx="20">
                  <c:v>1383</c:v>
                </c:pt>
                <c:pt idx="21">
                  <c:v>1003</c:v>
                </c:pt>
                <c:pt idx="22">
                  <c:v>1723</c:v>
                </c:pt>
                <c:pt idx="23">
                  <c:v>1639</c:v>
                </c:pt>
                <c:pt idx="24">
                  <c:v>321</c:v>
                </c:pt>
                <c:pt idx="25">
                  <c:v>1673</c:v>
                </c:pt>
                <c:pt idx="26">
                  <c:v>405</c:v>
                </c:pt>
                <c:pt idx="27">
                  <c:v>1517</c:v>
                </c:pt>
                <c:pt idx="28">
                  <c:v>2013</c:v>
                </c:pt>
                <c:pt idx="29">
                  <c:v>715</c:v>
                </c:pt>
                <c:pt idx="30">
                  <c:v>1698</c:v>
                </c:pt>
                <c:pt idx="31">
                  <c:v>1231</c:v>
                </c:pt>
                <c:pt idx="32">
                  <c:v>2116</c:v>
                </c:pt>
                <c:pt idx="33">
                  <c:v>1075</c:v>
                </c:pt>
                <c:pt idx="34">
                  <c:v>1243</c:v>
                </c:pt>
                <c:pt idx="35">
                  <c:v>739</c:v>
                </c:pt>
                <c:pt idx="36">
                  <c:v>1397</c:v>
                </c:pt>
                <c:pt idx="37">
                  <c:v>2377</c:v>
                </c:pt>
                <c:pt idx="38">
                  <c:v>1093</c:v>
                </c:pt>
                <c:pt idx="39">
                  <c:v>1019</c:v>
                </c:pt>
                <c:pt idx="40">
                  <c:v>2378</c:v>
                </c:pt>
                <c:pt idx="41">
                  <c:v>1187</c:v>
                </c:pt>
                <c:pt idx="42">
                  <c:v>1273</c:v>
                </c:pt>
                <c:pt idx="43">
                  <c:v>3005</c:v>
                </c:pt>
                <c:pt idx="44">
                  <c:v>2071</c:v>
                </c:pt>
                <c:pt idx="45">
                  <c:v>1754</c:v>
                </c:pt>
                <c:pt idx="46">
                  <c:v>2902</c:v>
                </c:pt>
                <c:pt idx="47">
                  <c:v>1201</c:v>
                </c:pt>
                <c:pt idx="48">
                  <c:v>1593</c:v>
                </c:pt>
                <c:pt idx="49">
                  <c:v>1985</c:v>
                </c:pt>
                <c:pt idx="50">
                  <c:v>2848</c:v>
                </c:pt>
                <c:pt idx="51">
                  <c:v>1963</c:v>
                </c:pt>
                <c:pt idx="52">
                  <c:v>3318</c:v>
                </c:pt>
                <c:pt idx="53">
                  <c:v>803</c:v>
                </c:pt>
                <c:pt idx="54">
                  <c:v>1908</c:v>
                </c:pt>
                <c:pt idx="55">
                  <c:v>1383</c:v>
                </c:pt>
                <c:pt idx="56">
                  <c:v>1765</c:v>
                </c:pt>
                <c:pt idx="57">
                  <c:v>3501</c:v>
                </c:pt>
                <c:pt idx="58">
                  <c:v>847</c:v>
                </c:pt>
                <c:pt idx="59">
                  <c:v>2509</c:v>
                </c:pt>
                <c:pt idx="60">
                  <c:v>3476</c:v>
                </c:pt>
                <c:pt idx="61">
                  <c:v>2395</c:v>
                </c:pt>
                <c:pt idx="62">
                  <c:v>4050</c:v>
                </c:pt>
                <c:pt idx="63">
                  <c:v>1333</c:v>
                </c:pt>
                <c:pt idx="64">
                  <c:v>2328</c:v>
                </c:pt>
                <c:pt idx="65">
                  <c:v>671</c:v>
                </c:pt>
                <c:pt idx="66">
                  <c:v>851</c:v>
                </c:pt>
                <c:pt idx="67">
                  <c:v>1155</c:v>
                </c:pt>
                <c:pt idx="68">
                  <c:v>3164</c:v>
                </c:pt>
                <c:pt idx="69">
                  <c:v>1459</c:v>
                </c:pt>
                <c:pt idx="70">
                  <c:v>979</c:v>
                </c:pt>
                <c:pt idx="71">
                  <c:v>1243</c:v>
                </c:pt>
                <c:pt idx="72">
                  <c:v>1687</c:v>
                </c:pt>
                <c:pt idx="73">
                  <c:v>594</c:v>
                </c:pt>
                <c:pt idx="74">
                  <c:v>3005</c:v>
                </c:pt>
                <c:pt idx="75">
                  <c:v>2395</c:v>
                </c:pt>
                <c:pt idx="76">
                  <c:v>468</c:v>
                </c:pt>
                <c:pt idx="77">
                  <c:v>1153</c:v>
                </c:pt>
                <c:pt idx="78">
                  <c:v>2328</c:v>
                </c:pt>
                <c:pt idx="79">
                  <c:v>2041</c:v>
                </c:pt>
                <c:pt idx="80">
                  <c:v>531</c:v>
                </c:pt>
                <c:pt idx="81">
                  <c:v>913</c:v>
                </c:pt>
                <c:pt idx="82">
                  <c:v>1611</c:v>
                </c:pt>
                <c:pt idx="83">
                  <c:v>1067</c:v>
                </c:pt>
                <c:pt idx="84">
                  <c:v>1355</c:v>
                </c:pt>
                <c:pt idx="85">
                  <c:v>2013</c:v>
                </c:pt>
                <c:pt idx="86">
                  <c:v>1754</c:v>
                </c:pt>
                <c:pt idx="87">
                  <c:v>2225</c:v>
                </c:pt>
                <c:pt idx="88">
                  <c:v>510</c:v>
                </c:pt>
                <c:pt idx="89">
                  <c:v>405</c:v>
                </c:pt>
                <c:pt idx="90">
                  <c:v>1438</c:v>
                </c:pt>
                <c:pt idx="91">
                  <c:v>1675</c:v>
                </c:pt>
                <c:pt idx="92">
                  <c:v>3790</c:v>
                </c:pt>
                <c:pt idx="93">
                  <c:v>1453</c:v>
                </c:pt>
                <c:pt idx="94">
                  <c:v>1839</c:v>
                </c:pt>
                <c:pt idx="95">
                  <c:v>1765</c:v>
                </c:pt>
                <c:pt idx="96">
                  <c:v>2041</c:v>
                </c:pt>
                <c:pt idx="97">
                  <c:v>468</c:v>
                </c:pt>
                <c:pt idx="98">
                  <c:v>4050</c:v>
                </c:pt>
                <c:pt idx="99">
                  <c:v>2902</c:v>
                </c:pt>
                <c:pt idx="100">
                  <c:v>1949</c:v>
                </c:pt>
                <c:pt idx="101">
                  <c:v>4416</c:v>
                </c:pt>
                <c:pt idx="102">
                  <c:v>4599</c:v>
                </c:pt>
                <c:pt idx="103">
                  <c:v>1411</c:v>
                </c:pt>
                <c:pt idx="104">
                  <c:v>1915</c:v>
                </c:pt>
                <c:pt idx="105">
                  <c:v>5148</c:v>
                </c:pt>
                <c:pt idx="106">
                  <c:v>1459</c:v>
                </c:pt>
                <c:pt idx="107">
                  <c:v>2509</c:v>
                </c:pt>
                <c:pt idx="108">
                  <c:v>2223</c:v>
                </c:pt>
                <c:pt idx="109">
                  <c:v>3295</c:v>
                </c:pt>
                <c:pt idx="110">
                  <c:v>4418</c:v>
                </c:pt>
                <c:pt idx="111">
                  <c:v>847</c:v>
                </c:pt>
                <c:pt idx="112">
                  <c:v>979</c:v>
                </c:pt>
                <c:pt idx="113">
                  <c:v>2287</c:v>
                </c:pt>
                <c:pt idx="114">
                  <c:v>2771</c:v>
                </c:pt>
                <c:pt idx="115">
                  <c:v>1579</c:v>
                </c:pt>
                <c:pt idx="116">
                  <c:v>1687</c:v>
                </c:pt>
                <c:pt idx="117">
                  <c:v>2538</c:v>
                </c:pt>
                <c:pt idx="118">
                  <c:v>3947</c:v>
                </c:pt>
                <c:pt idx="119">
                  <c:v>2228</c:v>
                </c:pt>
                <c:pt idx="120">
                  <c:v>2143</c:v>
                </c:pt>
                <c:pt idx="121">
                  <c:v>3319</c:v>
                </c:pt>
                <c:pt idx="122">
                  <c:v>1912</c:v>
                </c:pt>
                <c:pt idx="123">
                  <c:v>1693</c:v>
                </c:pt>
                <c:pt idx="124">
                  <c:v>2071</c:v>
                </c:pt>
                <c:pt idx="125">
                  <c:v>3867</c:v>
                </c:pt>
                <c:pt idx="126">
                  <c:v>2317</c:v>
                </c:pt>
                <c:pt idx="127">
                  <c:v>1991</c:v>
                </c:pt>
                <c:pt idx="128">
                  <c:v>3688</c:v>
                </c:pt>
                <c:pt idx="129">
                  <c:v>3501</c:v>
                </c:pt>
                <c:pt idx="130">
                  <c:v>1333</c:v>
                </c:pt>
                <c:pt idx="131">
                  <c:v>447</c:v>
                </c:pt>
                <c:pt idx="132">
                  <c:v>1111</c:v>
                </c:pt>
                <c:pt idx="133">
                  <c:v>1243</c:v>
                </c:pt>
                <c:pt idx="134">
                  <c:v>1517</c:v>
                </c:pt>
                <c:pt idx="135">
                  <c:v>3476</c:v>
                </c:pt>
                <c:pt idx="136">
                  <c:v>2958</c:v>
                </c:pt>
                <c:pt idx="137">
                  <c:v>2719</c:v>
                </c:pt>
                <c:pt idx="138">
                  <c:v>1513</c:v>
                </c:pt>
                <c:pt idx="139">
                  <c:v>2643</c:v>
                </c:pt>
                <c:pt idx="140">
                  <c:v>3043</c:v>
                </c:pt>
                <c:pt idx="141">
                  <c:v>935</c:v>
                </c:pt>
                <c:pt idx="142">
                  <c:v>2593</c:v>
                </c:pt>
                <c:pt idx="143">
                  <c:v>2611</c:v>
                </c:pt>
              </c:numCache>
            </c:numRef>
          </c:xVal>
          <c:yVal>
            <c:numRef>
              <c:f>Iris!$AG$2:$AG$145</c:f>
              <c:numCache>
                <c:formatCode>General</c:formatCode>
                <c:ptCount val="1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0.97368419170379605</c:v>
                </c:pt>
                <c:pt idx="5">
                  <c:v>0.97368419170379605</c:v>
                </c:pt>
                <c:pt idx="6">
                  <c:v>0.97368419170379605</c:v>
                </c:pt>
                <c:pt idx="7">
                  <c:v>0.97368419170379605</c:v>
                </c:pt>
                <c:pt idx="8">
                  <c:v>0.97368419170379605</c:v>
                </c:pt>
                <c:pt idx="9">
                  <c:v>0.97368419170379605</c:v>
                </c:pt>
                <c:pt idx="10">
                  <c:v>0.97368419170379605</c:v>
                </c:pt>
                <c:pt idx="11">
                  <c:v>0.97368419170379605</c:v>
                </c:pt>
                <c:pt idx="12">
                  <c:v>0.97368419170379605</c:v>
                </c:pt>
                <c:pt idx="13">
                  <c:v>0.97368419170379605</c:v>
                </c:pt>
                <c:pt idx="14">
                  <c:v>0.97368419170379605</c:v>
                </c:pt>
                <c:pt idx="15">
                  <c:v>0.97368419170379605</c:v>
                </c:pt>
                <c:pt idx="16">
                  <c:v>0.97368419170379605</c:v>
                </c:pt>
                <c:pt idx="17">
                  <c:v>0.97368419170379605</c:v>
                </c:pt>
                <c:pt idx="18">
                  <c:v>0.97368419170379605</c:v>
                </c:pt>
                <c:pt idx="19">
                  <c:v>0.97368419170379605</c:v>
                </c:pt>
                <c:pt idx="20">
                  <c:v>0.97368419170379605</c:v>
                </c:pt>
                <c:pt idx="21">
                  <c:v>0.97368419170379605</c:v>
                </c:pt>
                <c:pt idx="22">
                  <c:v>0.97368419170379605</c:v>
                </c:pt>
                <c:pt idx="23">
                  <c:v>0.97368419170379605</c:v>
                </c:pt>
                <c:pt idx="24">
                  <c:v>0.97368419170379605</c:v>
                </c:pt>
                <c:pt idx="25">
                  <c:v>0.97368419170379605</c:v>
                </c:pt>
                <c:pt idx="26">
                  <c:v>0.97368419170379605</c:v>
                </c:pt>
                <c:pt idx="27">
                  <c:v>0.97368419170379605</c:v>
                </c:pt>
                <c:pt idx="28">
                  <c:v>0.97368419170379605</c:v>
                </c:pt>
                <c:pt idx="29">
                  <c:v>0.94736844301223699</c:v>
                </c:pt>
                <c:pt idx="30">
                  <c:v>0.94736844301223699</c:v>
                </c:pt>
                <c:pt idx="31">
                  <c:v>0.94736844301223699</c:v>
                </c:pt>
                <c:pt idx="32">
                  <c:v>0.94736844301223699</c:v>
                </c:pt>
                <c:pt idx="33">
                  <c:v>0.94736844301223699</c:v>
                </c:pt>
                <c:pt idx="34">
                  <c:v>0.94736844301223699</c:v>
                </c:pt>
                <c:pt idx="35">
                  <c:v>0.94736844301223699</c:v>
                </c:pt>
                <c:pt idx="36">
                  <c:v>0.94736844301223699</c:v>
                </c:pt>
                <c:pt idx="37">
                  <c:v>0.94736844301223699</c:v>
                </c:pt>
                <c:pt idx="38">
                  <c:v>0.94736844301223699</c:v>
                </c:pt>
                <c:pt idx="39">
                  <c:v>0.94736844301223699</c:v>
                </c:pt>
                <c:pt idx="40">
                  <c:v>0.94736844301223699</c:v>
                </c:pt>
                <c:pt idx="41">
                  <c:v>0.94736844301223699</c:v>
                </c:pt>
                <c:pt idx="42">
                  <c:v>0.473684221506118</c:v>
                </c:pt>
                <c:pt idx="43">
                  <c:v>0.94736844301223699</c:v>
                </c:pt>
                <c:pt idx="44">
                  <c:v>0.94736844301223699</c:v>
                </c:pt>
                <c:pt idx="45">
                  <c:v>0.94736844301223699</c:v>
                </c:pt>
                <c:pt idx="46">
                  <c:v>0.94736844301223699</c:v>
                </c:pt>
                <c:pt idx="47">
                  <c:v>0.92105263471603305</c:v>
                </c:pt>
                <c:pt idx="48">
                  <c:v>0.92105263471603305</c:v>
                </c:pt>
                <c:pt idx="49">
                  <c:v>0.92105263471603305</c:v>
                </c:pt>
                <c:pt idx="50">
                  <c:v>0.92105263471603305</c:v>
                </c:pt>
                <c:pt idx="51">
                  <c:v>0.92105263471603305</c:v>
                </c:pt>
                <c:pt idx="52">
                  <c:v>0.92105263471603305</c:v>
                </c:pt>
                <c:pt idx="53">
                  <c:v>0.92105263471603305</c:v>
                </c:pt>
                <c:pt idx="54">
                  <c:v>0.92105263471603305</c:v>
                </c:pt>
                <c:pt idx="55">
                  <c:v>0.92105263471603305</c:v>
                </c:pt>
                <c:pt idx="56">
                  <c:v>0.92105263471603305</c:v>
                </c:pt>
                <c:pt idx="57">
                  <c:v>0.92105263471603305</c:v>
                </c:pt>
                <c:pt idx="58">
                  <c:v>0.92105263471603305</c:v>
                </c:pt>
                <c:pt idx="59">
                  <c:v>0.92105263471603305</c:v>
                </c:pt>
                <c:pt idx="60">
                  <c:v>0.92105263471603305</c:v>
                </c:pt>
                <c:pt idx="61">
                  <c:v>0.92105263471603305</c:v>
                </c:pt>
                <c:pt idx="62">
                  <c:v>0.92105263471603305</c:v>
                </c:pt>
                <c:pt idx="63">
                  <c:v>0.92105263471603305</c:v>
                </c:pt>
                <c:pt idx="64">
                  <c:v>0.92105263471603305</c:v>
                </c:pt>
                <c:pt idx="65">
                  <c:v>0.89473682641982999</c:v>
                </c:pt>
                <c:pt idx="66">
                  <c:v>0.89473682641982999</c:v>
                </c:pt>
                <c:pt idx="67">
                  <c:v>0.89473682641982999</c:v>
                </c:pt>
                <c:pt idx="68">
                  <c:v>0.89473682641982999</c:v>
                </c:pt>
                <c:pt idx="69">
                  <c:v>0.89473682641982999</c:v>
                </c:pt>
                <c:pt idx="70">
                  <c:v>0.89473682641982999</c:v>
                </c:pt>
                <c:pt idx="71">
                  <c:v>0.89473682641982999</c:v>
                </c:pt>
                <c:pt idx="72">
                  <c:v>0.89473682641982999</c:v>
                </c:pt>
                <c:pt idx="73">
                  <c:v>0.89473682641982999</c:v>
                </c:pt>
                <c:pt idx="74">
                  <c:v>0.86842107772827104</c:v>
                </c:pt>
                <c:pt idx="75">
                  <c:v>0.86842107772827104</c:v>
                </c:pt>
                <c:pt idx="76">
                  <c:v>0.86842107772827104</c:v>
                </c:pt>
                <c:pt idx="77">
                  <c:v>0.84210526943206698</c:v>
                </c:pt>
                <c:pt idx="78">
                  <c:v>0.84210526943206698</c:v>
                </c:pt>
                <c:pt idx="79">
                  <c:v>0.84210526943206698</c:v>
                </c:pt>
                <c:pt idx="80">
                  <c:v>0.84210526943206698</c:v>
                </c:pt>
                <c:pt idx="81">
                  <c:v>0.81578946113586404</c:v>
                </c:pt>
                <c:pt idx="82">
                  <c:v>0.5</c:v>
                </c:pt>
                <c:pt idx="83">
                  <c:v>0.78947371244430498</c:v>
                </c:pt>
                <c:pt idx="84">
                  <c:v>0.76315790414810103</c:v>
                </c:pt>
                <c:pt idx="85">
                  <c:v>0.73684209585189797</c:v>
                </c:pt>
                <c:pt idx="86">
                  <c:v>0.73684209585189797</c:v>
                </c:pt>
                <c:pt idx="87">
                  <c:v>0.73684209585189797</c:v>
                </c:pt>
                <c:pt idx="88">
                  <c:v>0.73684209585189797</c:v>
                </c:pt>
                <c:pt idx="89">
                  <c:v>0.71052628755569402</c:v>
                </c:pt>
                <c:pt idx="90">
                  <c:v>0.71052628755569402</c:v>
                </c:pt>
                <c:pt idx="91">
                  <c:v>0.57894736528396595</c:v>
                </c:pt>
                <c:pt idx="92">
                  <c:v>0.71052628755569402</c:v>
                </c:pt>
                <c:pt idx="93">
                  <c:v>0.71052628755569402</c:v>
                </c:pt>
                <c:pt idx="94">
                  <c:v>0.71052628755569402</c:v>
                </c:pt>
                <c:pt idx="95">
                  <c:v>0.68421053886413497</c:v>
                </c:pt>
                <c:pt idx="96">
                  <c:v>0.68421053886413497</c:v>
                </c:pt>
                <c:pt idx="97">
                  <c:v>0.68421053886413497</c:v>
                </c:pt>
                <c:pt idx="98">
                  <c:v>0.65789473056793202</c:v>
                </c:pt>
                <c:pt idx="99">
                  <c:v>0.65789473056793202</c:v>
                </c:pt>
                <c:pt idx="100">
                  <c:v>0.36842104792594899</c:v>
                </c:pt>
                <c:pt idx="101">
                  <c:v>0.63157892227172796</c:v>
                </c:pt>
                <c:pt idx="102">
                  <c:v>0.63157892227172796</c:v>
                </c:pt>
                <c:pt idx="103">
                  <c:v>0.63157892227172796</c:v>
                </c:pt>
                <c:pt idx="104">
                  <c:v>0.63157892227172796</c:v>
                </c:pt>
                <c:pt idx="105">
                  <c:v>0.63157892227172796</c:v>
                </c:pt>
                <c:pt idx="106">
                  <c:v>0.60526317358016901</c:v>
                </c:pt>
                <c:pt idx="107">
                  <c:v>0.60526317358016901</c:v>
                </c:pt>
                <c:pt idx="108">
                  <c:v>0.57894736528396595</c:v>
                </c:pt>
                <c:pt idx="109">
                  <c:v>0.60526317358016901</c:v>
                </c:pt>
                <c:pt idx="110">
                  <c:v>0.60526317358016901</c:v>
                </c:pt>
                <c:pt idx="111">
                  <c:v>0.57894736528396595</c:v>
                </c:pt>
                <c:pt idx="112">
                  <c:v>0.57894736528396595</c:v>
                </c:pt>
                <c:pt idx="113">
                  <c:v>0.63157892227172796</c:v>
                </c:pt>
                <c:pt idx="114">
                  <c:v>0.52631580829620295</c:v>
                </c:pt>
                <c:pt idx="115">
                  <c:v>0.57894736528396595</c:v>
                </c:pt>
                <c:pt idx="116">
                  <c:v>0.55263155698776201</c:v>
                </c:pt>
                <c:pt idx="117">
                  <c:v>0.55263155698776201</c:v>
                </c:pt>
                <c:pt idx="118">
                  <c:v>0.55263155698776201</c:v>
                </c:pt>
                <c:pt idx="119">
                  <c:v>0.55263155698776201</c:v>
                </c:pt>
                <c:pt idx="120">
                  <c:v>0.55263155698776201</c:v>
                </c:pt>
                <c:pt idx="121">
                  <c:v>0.60526317358016901</c:v>
                </c:pt>
                <c:pt idx="122">
                  <c:v>0.52631580829620295</c:v>
                </c:pt>
                <c:pt idx="123">
                  <c:v>0.52631580829620295</c:v>
                </c:pt>
                <c:pt idx="124">
                  <c:v>0.5</c:v>
                </c:pt>
                <c:pt idx="125">
                  <c:v>0.81578946113586404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0.473684221506118</c:v>
                </c:pt>
                <c:pt idx="130">
                  <c:v>0.473684221506118</c:v>
                </c:pt>
                <c:pt idx="131">
                  <c:v>0.94736844301223699</c:v>
                </c:pt>
                <c:pt idx="132">
                  <c:v>0.473684221506118</c:v>
                </c:pt>
                <c:pt idx="133">
                  <c:v>0.473684221506118</c:v>
                </c:pt>
                <c:pt idx="134">
                  <c:v>0.44736841320991499</c:v>
                </c:pt>
                <c:pt idx="135">
                  <c:v>0.44736841320991499</c:v>
                </c:pt>
                <c:pt idx="136">
                  <c:v>0.44736841320991499</c:v>
                </c:pt>
                <c:pt idx="137">
                  <c:v>0.42105263471603299</c:v>
                </c:pt>
                <c:pt idx="138">
                  <c:v>0.42105263471603299</c:v>
                </c:pt>
                <c:pt idx="139">
                  <c:v>0.42105263471603299</c:v>
                </c:pt>
                <c:pt idx="140">
                  <c:v>0.39473685622215199</c:v>
                </c:pt>
                <c:pt idx="141">
                  <c:v>0.71052628755569402</c:v>
                </c:pt>
                <c:pt idx="142">
                  <c:v>0.36842104792594899</c:v>
                </c:pt>
                <c:pt idx="143">
                  <c:v>0.34210526943206698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BC-493D-8558-31D7B2F8F980}"/>
            </c:ext>
          </c:extLst>
        </c:ser>
        <c:ser>
          <c:idx val="1"/>
          <c:order val="1"/>
          <c:tx>
            <c:strRef>
              <c:f>Iris!$AH$1</c:f>
              <c:strCache>
                <c:ptCount val="1"/>
                <c:pt idx="0">
                  <c:v>acc MLP min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Iris!$AF$2:$AF$145</c:f>
              <c:numCache>
                <c:formatCode>General</c:formatCode>
                <c:ptCount val="144"/>
                <c:pt idx="0">
                  <c:v>2769</c:v>
                </c:pt>
                <c:pt idx="1">
                  <c:v>384</c:v>
                </c:pt>
                <c:pt idx="2">
                  <c:v>1153</c:v>
                </c:pt>
                <c:pt idx="3">
                  <c:v>1075</c:v>
                </c:pt>
                <c:pt idx="4">
                  <c:v>1489</c:v>
                </c:pt>
                <c:pt idx="5">
                  <c:v>2534</c:v>
                </c:pt>
                <c:pt idx="6">
                  <c:v>1747</c:v>
                </c:pt>
                <c:pt idx="7">
                  <c:v>2952</c:v>
                </c:pt>
                <c:pt idx="8">
                  <c:v>342</c:v>
                </c:pt>
                <c:pt idx="9">
                  <c:v>1280</c:v>
                </c:pt>
                <c:pt idx="10">
                  <c:v>973</c:v>
                </c:pt>
                <c:pt idx="11">
                  <c:v>907</c:v>
                </c:pt>
                <c:pt idx="12">
                  <c:v>1213</c:v>
                </c:pt>
                <c:pt idx="13">
                  <c:v>2063</c:v>
                </c:pt>
                <c:pt idx="14">
                  <c:v>1423</c:v>
                </c:pt>
                <c:pt idx="15">
                  <c:v>2403</c:v>
                </c:pt>
                <c:pt idx="16">
                  <c:v>279</c:v>
                </c:pt>
                <c:pt idx="17">
                  <c:v>583</c:v>
                </c:pt>
                <c:pt idx="18">
                  <c:v>1043</c:v>
                </c:pt>
                <c:pt idx="19">
                  <c:v>793</c:v>
                </c:pt>
                <c:pt idx="20">
                  <c:v>1383</c:v>
                </c:pt>
                <c:pt idx="21">
                  <c:v>1003</c:v>
                </c:pt>
                <c:pt idx="22">
                  <c:v>1723</c:v>
                </c:pt>
                <c:pt idx="23">
                  <c:v>1639</c:v>
                </c:pt>
                <c:pt idx="24">
                  <c:v>321</c:v>
                </c:pt>
                <c:pt idx="25">
                  <c:v>1673</c:v>
                </c:pt>
                <c:pt idx="26">
                  <c:v>405</c:v>
                </c:pt>
                <c:pt idx="27">
                  <c:v>1517</c:v>
                </c:pt>
                <c:pt idx="28">
                  <c:v>2013</c:v>
                </c:pt>
                <c:pt idx="29">
                  <c:v>715</c:v>
                </c:pt>
                <c:pt idx="30">
                  <c:v>1698</c:v>
                </c:pt>
                <c:pt idx="31">
                  <c:v>1231</c:v>
                </c:pt>
                <c:pt idx="32">
                  <c:v>2116</c:v>
                </c:pt>
                <c:pt idx="33">
                  <c:v>1075</c:v>
                </c:pt>
                <c:pt idx="34">
                  <c:v>1243</c:v>
                </c:pt>
                <c:pt idx="35">
                  <c:v>739</c:v>
                </c:pt>
                <c:pt idx="36">
                  <c:v>1397</c:v>
                </c:pt>
                <c:pt idx="37">
                  <c:v>2377</c:v>
                </c:pt>
                <c:pt idx="38">
                  <c:v>1093</c:v>
                </c:pt>
                <c:pt idx="39">
                  <c:v>1019</c:v>
                </c:pt>
                <c:pt idx="40">
                  <c:v>2378</c:v>
                </c:pt>
                <c:pt idx="41">
                  <c:v>1187</c:v>
                </c:pt>
                <c:pt idx="42">
                  <c:v>1273</c:v>
                </c:pt>
                <c:pt idx="43">
                  <c:v>3005</c:v>
                </c:pt>
                <c:pt idx="44">
                  <c:v>2071</c:v>
                </c:pt>
                <c:pt idx="45">
                  <c:v>1754</c:v>
                </c:pt>
                <c:pt idx="46">
                  <c:v>2902</c:v>
                </c:pt>
                <c:pt idx="47">
                  <c:v>1201</c:v>
                </c:pt>
                <c:pt idx="48">
                  <c:v>1593</c:v>
                </c:pt>
                <c:pt idx="49">
                  <c:v>1985</c:v>
                </c:pt>
                <c:pt idx="50">
                  <c:v>2848</c:v>
                </c:pt>
                <c:pt idx="51">
                  <c:v>1963</c:v>
                </c:pt>
                <c:pt idx="52">
                  <c:v>3318</c:v>
                </c:pt>
                <c:pt idx="53">
                  <c:v>803</c:v>
                </c:pt>
                <c:pt idx="54">
                  <c:v>1908</c:v>
                </c:pt>
                <c:pt idx="55">
                  <c:v>1383</c:v>
                </c:pt>
                <c:pt idx="56">
                  <c:v>1765</c:v>
                </c:pt>
                <c:pt idx="57">
                  <c:v>3501</c:v>
                </c:pt>
                <c:pt idx="58">
                  <c:v>847</c:v>
                </c:pt>
                <c:pt idx="59">
                  <c:v>2509</c:v>
                </c:pt>
                <c:pt idx="60">
                  <c:v>3476</c:v>
                </c:pt>
                <c:pt idx="61">
                  <c:v>2395</c:v>
                </c:pt>
                <c:pt idx="62">
                  <c:v>4050</c:v>
                </c:pt>
                <c:pt idx="63">
                  <c:v>1333</c:v>
                </c:pt>
                <c:pt idx="64">
                  <c:v>2328</c:v>
                </c:pt>
                <c:pt idx="65">
                  <c:v>671</c:v>
                </c:pt>
                <c:pt idx="66">
                  <c:v>851</c:v>
                </c:pt>
                <c:pt idx="67">
                  <c:v>1155</c:v>
                </c:pt>
                <c:pt idx="68">
                  <c:v>3164</c:v>
                </c:pt>
                <c:pt idx="69">
                  <c:v>1459</c:v>
                </c:pt>
                <c:pt idx="70">
                  <c:v>979</c:v>
                </c:pt>
                <c:pt idx="71">
                  <c:v>1243</c:v>
                </c:pt>
                <c:pt idx="72">
                  <c:v>1687</c:v>
                </c:pt>
                <c:pt idx="73">
                  <c:v>594</c:v>
                </c:pt>
                <c:pt idx="74">
                  <c:v>3005</c:v>
                </c:pt>
                <c:pt idx="75">
                  <c:v>2395</c:v>
                </c:pt>
                <c:pt idx="76">
                  <c:v>468</c:v>
                </c:pt>
                <c:pt idx="77">
                  <c:v>1153</c:v>
                </c:pt>
                <c:pt idx="78">
                  <c:v>2328</c:v>
                </c:pt>
                <c:pt idx="79">
                  <c:v>2041</c:v>
                </c:pt>
                <c:pt idx="80">
                  <c:v>531</c:v>
                </c:pt>
                <c:pt idx="81">
                  <c:v>913</c:v>
                </c:pt>
                <c:pt idx="82">
                  <c:v>1611</c:v>
                </c:pt>
                <c:pt idx="83">
                  <c:v>1067</c:v>
                </c:pt>
                <c:pt idx="84">
                  <c:v>1355</c:v>
                </c:pt>
                <c:pt idx="85">
                  <c:v>2013</c:v>
                </c:pt>
                <c:pt idx="86">
                  <c:v>1754</c:v>
                </c:pt>
                <c:pt idx="87">
                  <c:v>2225</c:v>
                </c:pt>
                <c:pt idx="88">
                  <c:v>510</c:v>
                </c:pt>
                <c:pt idx="89">
                  <c:v>405</c:v>
                </c:pt>
                <c:pt idx="90">
                  <c:v>1438</c:v>
                </c:pt>
                <c:pt idx="91">
                  <c:v>1675</c:v>
                </c:pt>
                <c:pt idx="92">
                  <c:v>3790</c:v>
                </c:pt>
                <c:pt idx="93">
                  <c:v>1453</c:v>
                </c:pt>
                <c:pt idx="94">
                  <c:v>1839</c:v>
                </c:pt>
                <c:pt idx="95">
                  <c:v>1765</c:v>
                </c:pt>
                <c:pt idx="96">
                  <c:v>2041</c:v>
                </c:pt>
                <c:pt idx="97">
                  <c:v>468</c:v>
                </c:pt>
                <c:pt idx="98">
                  <c:v>4050</c:v>
                </c:pt>
                <c:pt idx="99">
                  <c:v>2902</c:v>
                </c:pt>
                <c:pt idx="100">
                  <c:v>1949</c:v>
                </c:pt>
                <c:pt idx="101">
                  <c:v>4416</c:v>
                </c:pt>
                <c:pt idx="102">
                  <c:v>4599</c:v>
                </c:pt>
                <c:pt idx="103">
                  <c:v>1411</c:v>
                </c:pt>
                <c:pt idx="104">
                  <c:v>1915</c:v>
                </c:pt>
                <c:pt idx="105">
                  <c:v>5148</c:v>
                </c:pt>
                <c:pt idx="106">
                  <c:v>1459</c:v>
                </c:pt>
                <c:pt idx="107">
                  <c:v>2509</c:v>
                </c:pt>
                <c:pt idx="108">
                  <c:v>2223</c:v>
                </c:pt>
                <c:pt idx="109">
                  <c:v>3295</c:v>
                </c:pt>
                <c:pt idx="110">
                  <c:v>4418</c:v>
                </c:pt>
                <c:pt idx="111">
                  <c:v>847</c:v>
                </c:pt>
                <c:pt idx="112">
                  <c:v>979</c:v>
                </c:pt>
                <c:pt idx="113">
                  <c:v>2287</c:v>
                </c:pt>
                <c:pt idx="114">
                  <c:v>2771</c:v>
                </c:pt>
                <c:pt idx="115">
                  <c:v>1579</c:v>
                </c:pt>
                <c:pt idx="116">
                  <c:v>1687</c:v>
                </c:pt>
                <c:pt idx="117">
                  <c:v>2538</c:v>
                </c:pt>
                <c:pt idx="118">
                  <c:v>3947</c:v>
                </c:pt>
                <c:pt idx="119">
                  <c:v>2228</c:v>
                </c:pt>
                <c:pt idx="120">
                  <c:v>2143</c:v>
                </c:pt>
                <c:pt idx="121">
                  <c:v>3319</c:v>
                </c:pt>
                <c:pt idx="122">
                  <c:v>1912</c:v>
                </c:pt>
                <c:pt idx="123">
                  <c:v>1693</c:v>
                </c:pt>
                <c:pt idx="124">
                  <c:v>2071</c:v>
                </c:pt>
                <c:pt idx="125">
                  <c:v>3867</c:v>
                </c:pt>
                <c:pt idx="126">
                  <c:v>2317</c:v>
                </c:pt>
                <c:pt idx="127">
                  <c:v>1991</c:v>
                </c:pt>
                <c:pt idx="128">
                  <c:v>3688</c:v>
                </c:pt>
                <c:pt idx="129">
                  <c:v>3501</c:v>
                </c:pt>
                <c:pt idx="130">
                  <c:v>1333</c:v>
                </c:pt>
                <c:pt idx="131">
                  <c:v>447</c:v>
                </c:pt>
                <c:pt idx="132">
                  <c:v>1111</c:v>
                </c:pt>
                <c:pt idx="133">
                  <c:v>1243</c:v>
                </c:pt>
                <c:pt idx="134">
                  <c:v>1517</c:v>
                </c:pt>
                <c:pt idx="135">
                  <c:v>3476</c:v>
                </c:pt>
                <c:pt idx="136">
                  <c:v>2958</c:v>
                </c:pt>
                <c:pt idx="137">
                  <c:v>2719</c:v>
                </c:pt>
                <c:pt idx="138">
                  <c:v>1513</c:v>
                </c:pt>
                <c:pt idx="139">
                  <c:v>2643</c:v>
                </c:pt>
                <c:pt idx="140">
                  <c:v>3043</c:v>
                </c:pt>
                <c:pt idx="141">
                  <c:v>935</c:v>
                </c:pt>
                <c:pt idx="142">
                  <c:v>2593</c:v>
                </c:pt>
                <c:pt idx="143">
                  <c:v>2611</c:v>
                </c:pt>
              </c:numCache>
            </c:numRef>
          </c:xVal>
          <c:yVal>
            <c:numRef>
              <c:f>Iris!$AH$2:$AH$145</c:f>
              <c:numCache>
                <c:formatCode>General</c:formatCode>
                <c:ptCount val="144"/>
                <c:pt idx="0">
                  <c:v>0.97368421052631504</c:v>
                </c:pt>
                <c:pt idx="1">
                  <c:v>0.97368421052631504</c:v>
                </c:pt>
                <c:pt idx="2">
                  <c:v>1</c:v>
                </c:pt>
                <c:pt idx="3">
                  <c:v>1</c:v>
                </c:pt>
                <c:pt idx="4">
                  <c:v>0.97368421052631504</c:v>
                </c:pt>
                <c:pt idx="5">
                  <c:v>0.97368421052631504</c:v>
                </c:pt>
                <c:pt idx="6">
                  <c:v>0.97368421052631504</c:v>
                </c:pt>
                <c:pt idx="7">
                  <c:v>0.97368421052631504</c:v>
                </c:pt>
                <c:pt idx="8">
                  <c:v>0.97368421052631504</c:v>
                </c:pt>
                <c:pt idx="9">
                  <c:v>0.97368421052631504</c:v>
                </c:pt>
                <c:pt idx="10">
                  <c:v>0.97368421052631504</c:v>
                </c:pt>
                <c:pt idx="11">
                  <c:v>0.97368421052631504</c:v>
                </c:pt>
                <c:pt idx="12">
                  <c:v>0.94736842105263097</c:v>
                </c:pt>
                <c:pt idx="13">
                  <c:v>0.97368421052631504</c:v>
                </c:pt>
                <c:pt idx="14">
                  <c:v>0.97368421052631504</c:v>
                </c:pt>
                <c:pt idx="15">
                  <c:v>0.97368421052631504</c:v>
                </c:pt>
                <c:pt idx="16">
                  <c:v>0.97368421052631504</c:v>
                </c:pt>
                <c:pt idx="17">
                  <c:v>0.97368421052631504</c:v>
                </c:pt>
                <c:pt idx="18">
                  <c:v>0.97368421052631504</c:v>
                </c:pt>
                <c:pt idx="19">
                  <c:v>0.97368421052631504</c:v>
                </c:pt>
                <c:pt idx="20">
                  <c:v>0.97368421052631504</c:v>
                </c:pt>
                <c:pt idx="21">
                  <c:v>0.97368421052631504</c:v>
                </c:pt>
                <c:pt idx="22">
                  <c:v>0.97368421052631504</c:v>
                </c:pt>
                <c:pt idx="23">
                  <c:v>0.97368421052631504</c:v>
                </c:pt>
                <c:pt idx="24">
                  <c:v>0.97368421052631504</c:v>
                </c:pt>
                <c:pt idx="25">
                  <c:v>0.97368421052631504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0.97368421052631504</c:v>
                </c:pt>
                <c:pt idx="30">
                  <c:v>0.97368421052631504</c:v>
                </c:pt>
                <c:pt idx="31">
                  <c:v>0.97368421052631504</c:v>
                </c:pt>
                <c:pt idx="32">
                  <c:v>0.97368421052631504</c:v>
                </c:pt>
                <c:pt idx="33">
                  <c:v>0.97368421052631504</c:v>
                </c:pt>
                <c:pt idx="34">
                  <c:v>0.97368421052631504</c:v>
                </c:pt>
                <c:pt idx="35">
                  <c:v>0.97368421052631504</c:v>
                </c:pt>
                <c:pt idx="36">
                  <c:v>0.97368421052631504</c:v>
                </c:pt>
                <c:pt idx="37">
                  <c:v>0.97368421052631504</c:v>
                </c:pt>
                <c:pt idx="38">
                  <c:v>0.97368421052631504</c:v>
                </c:pt>
                <c:pt idx="39">
                  <c:v>0.97368421052631504</c:v>
                </c:pt>
                <c:pt idx="40">
                  <c:v>0.97368421052631504</c:v>
                </c:pt>
                <c:pt idx="41">
                  <c:v>0.97368421052631504</c:v>
                </c:pt>
                <c:pt idx="42">
                  <c:v>0.97368421052631504</c:v>
                </c:pt>
                <c:pt idx="43">
                  <c:v>0.94736842105263097</c:v>
                </c:pt>
                <c:pt idx="44">
                  <c:v>0.94736842105263097</c:v>
                </c:pt>
                <c:pt idx="45">
                  <c:v>0.94736842105263097</c:v>
                </c:pt>
                <c:pt idx="46">
                  <c:v>0.94736842105263097</c:v>
                </c:pt>
                <c:pt idx="47">
                  <c:v>0.97368421052631504</c:v>
                </c:pt>
                <c:pt idx="48">
                  <c:v>0.97368421052631504</c:v>
                </c:pt>
                <c:pt idx="49">
                  <c:v>0.97368421052631504</c:v>
                </c:pt>
                <c:pt idx="50">
                  <c:v>0.97368421052631504</c:v>
                </c:pt>
                <c:pt idx="51">
                  <c:v>0.97368421052631504</c:v>
                </c:pt>
                <c:pt idx="52">
                  <c:v>0.97368421052631504</c:v>
                </c:pt>
                <c:pt idx="53">
                  <c:v>0.97368421052631504</c:v>
                </c:pt>
                <c:pt idx="54">
                  <c:v>0.97368421052631504</c:v>
                </c:pt>
                <c:pt idx="55">
                  <c:v>0.97368421052631504</c:v>
                </c:pt>
                <c:pt idx="56">
                  <c:v>0.94736842105263097</c:v>
                </c:pt>
                <c:pt idx="57">
                  <c:v>0.92105263157894701</c:v>
                </c:pt>
                <c:pt idx="58">
                  <c:v>1</c:v>
                </c:pt>
                <c:pt idx="59">
                  <c:v>0.94736842105263097</c:v>
                </c:pt>
                <c:pt idx="60">
                  <c:v>0.92105263157894701</c:v>
                </c:pt>
                <c:pt idx="61">
                  <c:v>0.94736842105263097</c:v>
                </c:pt>
                <c:pt idx="62">
                  <c:v>0.92105263157894701</c:v>
                </c:pt>
                <c:pt idx="63">
                  <c:v>0.94736842105263097</c:v>
                </c:pt>
                <c:pt idx="64">
                  <c:v>0.94736842105263097</c:v>
                </c:pt>
                <c:pt idx="65">
                  <c:v>0.94736842105263097</c:v>
                </c:pt>
                <c:pt idx="66">
                  <c:v>0.97368421052631504</c:v>
                </c:pt>
                <c:pt idx="67">
                  <c:v>0.97368421052631504</c:v>
                </c:pt>
                <c:pt idx="68">
                  <c:v>1</c:v>
                </c:pt>
                <c:pt idx="69">
                  <c:v>0.94736842105263097</c:v>
                </c:pt>
                <c:pt idx="70">
                  <c:v>0.94736842105263097</c:v>
                </c:pt>
                <c:pt idx="71">
                  <c:v>0.94736842105263097</c:v>
                </c:pt>
                <c:pt idx="72">
                  <c:v>0.94736842105263097</c:v>
                </c:pt>
                <c:pt idx="73">
                  <c:v>0.97368421052631504</c:v>
                </c:pt>
                <c:pt idx="74">
                  <c:v>0.97368421052631504</c:v>
                </c:pt>
                <c:pt idx="75">
                  <c:v>0.97368421052631504</c:v>
                </c:pt>
                <c:pt idx="76">
                  <c:v>0.94736842105263097</c:v>
                </c:pt>
                <c:pt idx="77">
                  <c:v>1</c:v>
                </c:pt>
                <c:pt idx="78">
                  <c:v>1</c:v>
                </c:pt>
                <c:pt idx="79">
                  <c:v>0.92105263157894701</c:v>
                </c:pt>
                <c:pt idx="80">
                  <c:v>0.94736842105263097</c:v>
                </c:pt>
                <c:pt idx="81">
                  <c:v>0.94736842105263097</c:v>
                </c:pt>
                <c:pt idx="82">
                  <c:v>0.97368421052631504</c:v>
                </c:pt>
                <c:pt idx="83">
                  <c:v>0.97368421052631504</c:v>
                </c:pt>
                <c:pt idx="84">
                  <c:v>0.97368421052631504</c:v>
                </c:pt>
                <c:pt idx="85">
                  <c:v>0.97368421052631504</c:v>
                </c:pt>
                <c:pt idx="86">
                  <c:v>1</c:v>
                </c:pt>
                <c:pt idx="87">
                  <c:v>1</c:v>
                </c:pt>
                <c:pt idx="88">
                  <c:v>0.97368421052631504</c:v>
                </c:pt>
                <c:pt idx="89">
                  <c:v>0.97368421052631504</c:v>
                </c:pt>
                <c:pt idx="90">
                  <c:v>0.97368421052631504</c:v>
                </c:pt>
                <c:pt idx="91">
                  <c:v>0.97368421052631504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0.97368421052631504</c:v>
                </c:pt>
                <c:pt idx="98">
                  <c:v>0.97368421052631504</c:v>
                </c:pt>
                <c:pt idx="99">
                  <c:v>1</c:v>
                </c:pt>
                <c:pt idx="100">
                  <c:v>0.97368421052631504</c:v>
                </c:pt>
                <c:pt idx="101">
                  <c:v>1</c:v>
                </c:pt>
                <c:pt idx="102">
                  <c:v>0.92105263157894701</c:v>
                </c:pt>
                <c:pt idx="103">
                  <c:v>0.94736842105263097</c:v>
                </c:pt>
                <c:pt idx="104">
                  <c:v>0.94736842105263097</c:v>
                </c:pt>
                <c:pt idx="105">
                  <c:v>0.94736842105263097</c:v>
                </c:pt>
                <c:pt idx="106">
                  <c:v>0.97368421052631504</c:v>
                </c:pt>
                <c:pt idx="107">
                  <c:v>1</c:v>
                </c:pt>
                <c:pt idx="108">
                  <c:v>0.97368421052631504</c:v>
                </c:pt>
                <c:pt idx="109">
                  <c:v>0.92105263157894701</c:v>
                </c:pt>
                <c:pt idx="110">
                  <c:v>0.92105263157894701</c:v>
                </c:pt>
                <c:pt idx="111">
                  <c:v>0.97368421052631504</c:v>
                </c:pt>
                <c:pt idx="112">
                  <c:v>0.97368421052631504</c:v>
                </c:pt>
                <c:pt idx="113">
                  <c:v>0.97368421052631504</c:v>
                </c:pt>
                <c:pt idx="114">
                  <c:v>0.97368421052631504</c:v>
                </c:pt>
                <c:pt idx="115">
                  <c:v>0.94736842105263097</c:v>
                </c:pt>
                <c:pt idx="116">
                  <c:v>1</c:v>
                </c:pt>
                <c:pt idx="117">
                  <c:v>1</c:v>
                </c:pt>
                <c:pt idx="118">
                  <c:v>0.92105263157894701</c:v>
                </c:pt>
                <c:pt idx="119">
                  <c:v>0.94736842105263097</c:v>
                </c:pt>
                <c:pt idx="120">
                  <c:v>0.94736842105263097</c:v>
                </c:pt>
                <c:pt idx="121">
                  <c:v>0.97368421052631504</c:v>
                </c:pt>
                <c:pt idx="122">
                  <c:v>1</c:v>
                </c:pt>
                <c:pt idx="123">
                  <c:v>0.94736842105263097</c:v>
                </c:pt>
                <c:pt idx="124">
                  <c:v>1</c:v>
                </c:pt>
                <c:pt idx="125">
                  <c:v>0.97368421052631504</c:v>
                </c:pt>
                <c:pt idx="126">
                  <c:v>0.92105263157894701</c:v>
                </c:pt>
                <c:pt idx="127">
                  <c:v>0.94736842105263097</c:v>
                </c:pt>
                <c:pt idx="128">
                  <c:v>0.94736842105263097</c:v>
                </c:pt>
                <c:pt idx="129">
                  <c:v>1</c:v>
                </c:pt>
                <c:pt idx="130">
                  <c:v>1</c:v>
                </c:pt>
                <c:pt idx="131">
                  <c:v>0.97368421052631504</c:v>
                </c:pt>
                <c:pt idx="132">
                  <c:v>0.94736842105263097</c:v>
                </c:pt>
                <c:pt idx="133">
                  <c:v>0.94736842105263097</c:v>
                </c:pt>
                <c:pt idx="134">
                  <c:v>0.97368421052631504</c:v>
                </c:pt>
                <c:pt idx="135">
                  <c:v>1</c:v>
                </c:pt>
                <c:pt idx="136">
                  <c:v>0.92105263157894701</c:v>
                </c:pt>
                <c:pt idx="137">
                  <c:v>0.92105263157894701</c:v>
                </c:pt>
                <c:pt idx="138">
                  <c:v>0.94736842105263097</c:v>
                </c:pt>
                <c:pt idx="139">
                  <c:v>0.92105263157894701</c:v>
                </c:pt>
                <c:pt idx="140">
                  <c:v>0.94736842105263097</c:v>
                </c:pt>
                <c:pt idx="141">
                  <c:v>0.97368421052631504</c:v>
                </c:pt>
                <c:pt idx="142">
                  <c:v>0.94736842105263097</c:v>
                </c:pt>
                <c:pt idx="14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BC-493D-8558-31D7B2F8F980}"/>
            </c:ext>
          </c:extLst>
        </c:ser>
        <c:ser>
          <c:idx val="2"/>
          <c:order val="2"/>
          <c:tx>
            <c:strRef>
              <c:f>Iris!$AI$1</c:f>
              <c:strCache>
                <c:ptCount val="1"/>
                <c:pt idx="0">
                  <c:v>acc MLP max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Iris!$AF$2:$AF$145</c:f>
              <c:numCache>
                <c:formatCode>General</c:formatCode>
                <c:ptCount val="144"/>
                <c:pt idx="0">
                  <c:v>2769</c:v>
                </c:pt>
                <c:pt idx="1">
                  <c:v>384</c:v>
                </c:pt>
                <c:pt idx="2">
                  <c:v>1153</c:v>
                </c:pt>
                <c:pt idx="3">
                  <c:v>1075</c:v>
                </c:pt>
                <c:pt idx="4">
                  <c:v>1489</c:v>
                </c:pt>
                <c:pt idx="5">
                  <c:v>2534</c:v>
                </c:pt>
                <c:pt idx="6">
                  <c:v>1747</c:v>
                </c:pt>
                <c:pt idx="7">
                  <c:v>2952</c:v>
                </c:pt>
                <c:pt idx="8">
                  <c:v>342</c:v>
                </c:pt>
                <c:pt idx="9">
                  <c:v>1280</c:v>
                </c:pt>
                <c:pt idx="10">
                  <c:v>973</c:v>
                </c:pt>
                <c:pt idx="11">
                  <c:v>907</c:v>
                </c:pt>
                <c:pt idx="12">
                  <c:v>1213</c:v>
                </c:pt>
                <c:pt idx="13">
                  <c:v>2063</c:v>
                </c:pt>
                <c:pt idx="14">
                  <c:v>1423</c:v>
                </c:pt>
                <c:pt idx="15">
                  <c:v>2403</c:v>
                </c:pt>
                <c:pt idx="16">
                  <c:v>279</c:v>
                </c:pt>
                <c:pt idx="17">
                  <c:v>583</c:v>
                </c:pt>
                <c:pt idx="18">
                  <c:v>1043</c:v>
                </c:pt>
                <c:pt idx="19">
                  <c:v>793</c:v>
                </c:pt>
                <c:pt idx="20">
                  <c:v>1383</c:v>
                </c:pt>
                <c:pt idx="21">
                  <c:v>1003</c:v>
                </c:pt>
                <c:pt idx="22">
                  <c:v>1723</c:v>
                </c:pt>
                <c:pt idx="23">
                  <c:v>1639</c:v>
                </c:pt>
                <c:pt idx="24">
                  <c:v>321</c:v>
                </c:pt>
                <c:pt idx="25">
                  <c:v>1673</c:v>
                </c:pt>
                <c:pt idx="26">
                  <c:v>405</c:v>
                </c:pt>
                <c:pt idx="27">
                  <c:v>1517</c:v>
                </c:pt>
                <c:pt idx="28">
                  <c:v>2013</c:v>
                </c:pt>
                <c:pt idx="29">
                  <c:v>715</c:v>
                </c:pt>
                <c:pt idx="30">
                  <c:v>1698</c:v>
                </c:pt>
                <c:pt idx="31">
                  <c:v>1231</c:v>
                </c:pt>
                <c:pt idx="32">
                  <c:v>2116</c:v>
                </c:pt>
                <c:pt idx="33">
                  <c:v>1075</c:v>
                </c:pt>
                <c:pt idx="34">
                  <c:v>1243</c:v>
                </c:pt>
                <c:pt idx="35">
                  <c:v>739</c:v>
                </c:pt>
                <c:pt idx="36">
                  <c:v>1397</c:v>
                </c:pt>
                <c:pt idx="37">
                  <c:v>2377</c:v>
                </c:pt>
                <c:pt idx="38">
                  <c:v>1093</c:v>
                </c:pt>
                <c:pt idx="39">
                  <c:v>1019</c:v>
                </c:pt>
                <c:pt idx="40">
                  <c:v>2378</c:v>
                </c:pt>
                <c:pt idx="41">
                  <c:v>1187</c:v>
                </c:pt>
                <c:pt idx="42">
                  <c:v>1273</c:v>
                </c:pt>
                <c:pt idx="43">
                  <c:v>3005</c:v>
                </c:pt>
                <c:pt idx="44">
                  <c:v>2071</c:v>
                </c:pt>
                <c:pt idx="45">
                  <c:v>1754</c:v>
                </c:pt>
                <c:pt idx="46">
                  <c:v>2902</c:v>
                </c:pt>
                <c:pt idx="47">
                  <c:v>1201</c:v>
                </c:pt>
                <c:pt idx="48">
                  <c:v>1593</c:v>
                </c:pt>
                <c:pt idx="49">
                  <c:v>1985</c:v>
                </c:pt>
                <c:pt idx="50">
                  <c:v>2848</c:v>
                </c:pt>
                <c:pt idx="51">
                  <c:v>1963</c:v>
                </c:pt>
                <c:pt idx="52">
                  <c:v>3318</c:v>
                </c:pt>
                <c:pt idx="53">
                  <c:v>803</c:v>
                </c:pt>
                <c:pt idx="54">
                  <c:v>1908</c:v>
                </c:pt>
                <c:pt idx="55">
                  <c:v>1383</c:v>
                </c:pt>
                <c:pt idx="56">
                  <c:v>1765</c:v>
                </c:pt>
                <c:pt idx="57">
                  <c:v>3501</c:v>
                </c:pt>
                <c:pt idx="58">
                  <c:v>847</c:v>
                </c:pt>
                <c:pt idx="59">
                  <c:v>2509</c:v>
                </c:pt>
                <c:pt idx="60">
                  <c:v>3476</c:v>
                </c:pt>
                <c:pt idx="61">
                  <c:v>2395</c:v>
                </c:pt>
                <c:pt idx="62">
                  <c:v>4050</c:v>
                </c:pt>
                <c:pt idx="63">
                  <c:v>1333</c:v>
                </c:pt>
                <c:pt idx="64">
                  <c:v>2328</c:v>
                </c:pt>
                <c:pt idx="65">
                  <c:v>671</c:v>
                </c:pt>
                <c:pt idx="66">
                  <c:v>851</c:v>
                </c:pt>
                <c:pt idx="67">
                  <c:v>1155</c:v>
                </c:pt>
                <c:pt idx="68">
                  <c:v>3164</c:v>
                </c:pt>
                <c:pt idx="69">
                  <c:v>1459</c:v>
                </c:pt>
                <c:pt idx="70">
                  <c:v>979</c:v>
                </c:pt>
                <c:pt idx="71">
                  <c:v>1243</c:v>
                </c:pt>
                <c:pt idx="72">
                  <c:v>1687</c:v>
                </c:pt>
                <c:pt idx="73">
                  <c:v>594</c:v>
                </c:pt>
                <c:pt idx="74">
                  <c:v>3005</c:v>
                </c:pt>
                <c:pt idx="75">
                  <c:v>2395</c:v>
                </c:pt>
                <c:pt idx="76">
                  <c:v>468</c:v>
                </c:pt>
                <c:pt idx="77">
                  <c:v>1153</c:v>
                </c:pt>
                <c:pt idx="78">
                  <c:v>2328</c:v>
                </c:pt>
                <c:pt idx="79">
                  <c:v>2041</c:v>
                </c:pt>
                <c:pt idx="80">
                  <c:v>531</c:v>
                </c:pt>
                <c:pt idx="81">
                  <c:v>913</c:v>
                </c:pt>
                <c:pt idx="82">
                  <c:v>1611</c:v>
                </c:pt>
                <c:pt idx="83">
                  <c:v>1067</c:v>
                </c:pt>
                <c:pt idx="84">
                  <c:v>1355</c:v>
                </c:pt>
                <c:pt idx="85">
                  <c:v>2013</c:v>
                </c:pt>
                <c:pt idx="86">
                  <c:v>1754</c:v>
                </c:pt>
                <c:pt idx="87">
                  <c:v>2225</c:v>
                </c:pt>
                <c:pt idx="88">
                  <c:v>510</c:v>
                </c:pt>
                <c:pt idx="89">
                  <c:v>405</c:v>
                </c:pt>
                <c:pt idx="90">
                  <c:v>1438</c:v>
                </c:pt>
                <c:pt idx="91">
                  <c:v>1675</c:v>
                </c:pt>
                <c:pt idx="92">
                  <c:v>3790</c:v>
                </c:pt>
                <c:pt idx="93">
                  <c:v>1453</c:v>
                </c:pt>
                <c:pt idx="94">
                  <c:v>1839</c:v>
                </c:pt>
                <c:pt idx="95">
                  <c:v>1765</c:v>
                </c:pt>
                <c:pt idx="96">
                  <c:v>2041</c:v>
                </c:pt>
                <c:pt idx="97">
                  <c:v>468</c:v>
                </c:pt>
                <c:pt idx="98">
                  <c:v>4050</c:v>
                </c:pt>
                <c:pt idx="99">
                  <c:v>2902</c:v>
                </c:pt>
                <c:pt idx="100">
                  <c:v>1949</c:v>
                </c:pt>
                <c:pt idx="101">
                  <c:v>4416</c:v>
                </c:pt>
                <c:pt idx="102">
                  <c:v>4599</c:v>
                </c:pt>
                <c:pt idx="103">
                  <c:v>1411</c:v>
                </c:pt>
                <c:pt idx="104">
                  <c:v>1915</c:v>
                </c:pt>
                <c:pt idx="105">
                  <c:v>5148</c:v>
                </c:pt>
                <c:pt idx="106">
                  <c:v>1459</c:v>
                </c:pt>
                <c:pt idx="107">
                  <c:v>2509</c:v>
                </c:pt>
                <c:pt idx="108">
                  <c:v>2223</c:v>
                </c:pt>
                <c:pt idx="109">
                  <c:v>3295</c:v>
                </c:pt>
                <c:pt idx="110">
                  <c:v>4418</c:v>
                </c:pt>
                <c:pt idx="111">
                  <c:v>847</c:v>
                </c:pt>
                <c:pt idx="112">
                  <c:v>979</c:v>
                </c:pt>
                <c:pt idx="113">
                  <c:v>2287</c:v>
                </c:pt>
                <c:pt idx="114">
                  <c:v>2771</c:v>
                </c:pt>
                <c:pt idx="115">
                  <c:v>1579</c:v>
                </c:pt>
                <c:pt idx="116">
                  <c:v>1687</c:v>
                </c:pt>
                <c:pt idx="117">
                  <c:v>2538</c:v>
                </c:pt>
                <c:pt idx="118">
                  <c:v>3947</c:v>
                </c:pt>
                <c:pt idx="119">
                  <c:v>2228</c:v>
                </c:pt>
                <c:pt idx="120">
                  <c:v>2143</c:v>
                </c:pt>
                <c:pt idx="121">
                  <c:v>3319</c:v>
                </c:pt>
                <c:pt idx="122">
                  <c:v>1912</c:v>
                </c:pt>
                <c:pt idx="123">
                  <c:v>1693</c:v>
                </c:pt>
                <c:pt idx="124">
                  <c:v>2071</c:v>
                </c:pt>
                <c:pt idx="125">
                  <c:v>3867</c:v>
                </c:pt>
                <c:pt idx="126">
                  <c:v>2317</c:v>
                </c:pt>
                <c:pt idx="127">
                  <c:v>1991</c:v>
                </c:pt>
                <c:pt idx="128">
                  <c:v>3688</c:v>
                </c:pt>
                <c:pt idx="129">
                  <c:v>3501</c:v>
                </c:pt>
                <c:pt idx="130">
                  <c:v>1333</c:v>
                </c:pt>
                <c:pt idx="131">
                  <c:v>447</c:v>
                </c:pt>
                <c:pt idx="132">
                  <c:v>1111</c:v>
                </c:pt>
                <c:pt idx="133">
                  <c:v>1243</c:v>
                </c:pt>
                <c:pt idx="134">
                  <c:v>1517</c:v>
                </c:pt>
                <c:pt idx="135">
                  <c:v>3476</c:v>
                </c:pt>
                <c:pt idx="136">
                  <c:v>2958</c:v>
                </c:pt>
                <c:pt idx="137">
                  <c:v>2719</c:v>
                </c:pt>
                <c:pt idx="138">
                  <c:v>1513</c:v>
                </c:pt>
                <c:pt idx="139">
                  <c:v>2643</c:v>
                </c:pt>
                <c:pt idx="140">
                  <c:v>3043</c:v>
                </c:pt>
                <c:pt idx="141">
                  <c:v>935</c:v>
                </c:pt>
                <c:pt idx="142">
                  <c:v>2593</c:v>
                </c:pt>
                <c:pt idx="143">
                  <c:v>2611</c:v>
                </c:pt>
              </c:numCache>
            </c:numRef>
          </c:xVal>
          <c:yVal>
            <c:numRef>
              <c:f>Iris!$AI$2:$AI$145</c:f>
              <c:numCache>
                <c:formatCode>General</c:formatCode>
                <c:ptCount val="144"/>
                <c:pt idx="0">
                  <c:v>0.97368421052631504</c:v>
                </c:pt>
                <c:pt idx="1">
                  <c:v>0.94736842105263097</c:v>
                </c:pt>
                <c:pt idx="2">
                  <c:v>1</c:v>
                </c:pt>
                <c:pt idx="3">
                  <c:v>1</c:v>
                </c:pt>
                <c:pt idx="4">
                  <c:v>0.97368421052631504</c:v>
                </c:pt>
                <c:pt idx="5">
                  <c:v>0.97368421052631504</c:v>
                </c:pt>
                <c:pt idx="6">
                  <c:v>0.94736842105263097</c:v>
                </c:pt>
                <c:pt idx="7">
                  <c:v>0.97368421052631504</c:v>
                </c:pt>
                <c:pt idx="8">
                  <c:v>0.97368421052631504</c:v>
                </c:pt>
                <c:pt idx="9">
                  <c:v>0.97368421052631504</c:v>
                </c:pt>
                <c:pt idx="10">
                  <c:v>0.97368421052631504</c:v>
                </c:pt>
                <c:pt idx="11">
                  <c:v>0.94736842105263097</c:v>
                </c:pt>
                <c:pt idx="12">
                  <c:v>0.97368421052631504</c:v>
                </c:pt>
                <c:pt idx="13">
                  <c:v>0.97368421052631504</c:v>
                </c:pt>
                <c:pt idx="14">
                  <c:v>0.97368421052631504</c:v>
                </c:pt>
                <c:pt idx="15">
                  <c:v>0.97368421052631504</c:v>
                </c:pt>
                <c:pt idx="16">
                  <c:v>0.97368421052631504</c:v>
                </c:pt>
                <c:pt idx="17">
                  <c:v>0.97368421052631504</c:v>
                </c:pt>
                <c:pt idx="18">
                  <c:v>0.97368421052631504</c:v>
                </c:pt>
                <c:pt idx="19">
                  <c:v>0.97368421052631504</c:v>
                </c:pt>
                <c:pt idx="20">
                  <c:v>0.94736842105263097</c:v>
                </c:pt>
                <c:pt idx="21">
                  <c:v>0.97368421052631504</c:v>
                </c:pt>
                <c:pt idx="22">
                  <c:v>0.97368421052631504</c:v>
                </c:pt>
                <c:pt idx="23">
                  <c:v>0.97368421052631504</c:v>
                </c:pt>
                <c:pt idx="24">
                  <c:v>0.97368421052631504</c:v>
                </c:pt>
                <c:pt idx="25">
                  <c:v>0.97368421052631504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0.97368421052631504</c:v>
                </c:pt>
                <c:pt idx="30">
                  <c:v>0.97368421052631504</c:v>
                </c:pt>
                <c:pt idx="31">
                  <c:v>0.97368421052631504</c:v>
                </c:pt>
                <c:pt idx="32">
                  <c:v>0.97368421052631504</c:v>
                </c:pt>
                <c:pt idx="33">
                  <c:v>0.97368421052631504</c:v>
                </c:pt>
                <c:pt idx="34">
                  <c:v>0.97368421052631504</c:v>
                </c:pt>
                <c:pt idx="35">
                  <c:v>0.97368421052631504</c:v>
                </c:pt>
                <c:pt idx="36">
                  <c:v>0.97368421052631504</c:v>
                </c:pt>
                <c:pt idx="37">
                  <c:v>0.97368421052631504</c:v>
                </c:pt>
                <c:pt idx="38">
                  <c:v>0.97368421052631504</c:v>
                </c:pt>
                <c:pt idx="39">
                  <c:v>0.97368421052631504</c:v>
                </c:pt>
                <c:pt idx="40">
                  <c:v>0.97368421052631504</c:v>
                </c:pt>
                <c:pt idx="41">
                  <c:v>0.97368421052631504</c:v>
                </c:pt>
                <c:pt idx="42">
                  <c:v>0.97368421052631504</c:v>
                </c:pt>
                <c:pt idx="43">
                  <c:v>0.94736842105263097</c:v>
                </c:pt>
                <c:pt idx="44">
                  <c:v>0.94736842105263097</c:v>
                </c:pt>
                <c:pt idx="45">
                  <c:v>0.94736842105263097</c:v>
                </c:pt>
                <c:pt idx="46">
                  <c:v>0.94736842105263097</c:v>
                </c:pt>
                <c:pt idx="47">
                  <c:v>0.97368421052631504</c:v>
                </c:pt>
                <c:pt idx="48">
                  <c:v>0.97368421052631504</c:v>
                </c:pt>
                <c:pt idx="49">
                  <c:v>0.97368421052631504</c:v>
                </c:pt>
                <c:pt idx="50">
                  <c:v>0.97368421052631504</c:v>
                </c:pt>
                <c:pt idx="51">
                  <c:v>0.97368421052631504</c:v>
                </c:pt>
                <c:pt idx="52">
                  <c:v>0.97368421052631504</c:v>
                </c:pt>
                <c:pt idx="53">
                  <c:v>0.97368421052631504</c:v>
                </c:pt>
                <c:pt idx="54">
                  <c:v>0.97368421052631504</c:v>
                </c:pt>
                <c:pt idx="55">
                  <c:v>0.97368421052631504</c:v>
                </c:pt>
                <c:pt idx="56">
                  <c:v>0.94736842105263097</c:v>
                </c:pt>
                <c:pt idx="57">
                  <c:v>0.92105263157894701</c:v>
                </c:pt>
                <c:pt idx="58">
                  <c:v>1</c:v>
                </c:pt>
                <c:pt idx="59">
                  <c:v>0.97368421052631504</c:v>
                </c:pt>
                <c:pt idx="60">
                  <c:v>0.94736842105263097</c:v>
                </c:pt>
                <c:pt idx="61">
                  <c:v>0.92105263157894701</c:v>
                </c:pt>
                <c:pt idx="62">
                  <c:v>0.92105263157894701</c:v>
                </c:pt>
                <c:pt idx="63">
                  <c:v>0.94736842105263097</c:v>
                </c:pt>
                <c:pt idx="64">
                  <c:v>0.94736842105263097</c:v>
                </c:pt>
                <c:pt idx="65">
                  <c:v>0.97368421052631504</c:v>
                </c:pt>
                <c:pt idx="66">
                  <c:v>0.94736842105263097</c:v>
                </c:pt>
                <c:pt idx="67">
                  <c:v>0.97368421052631504</c:v>
                </c:pt>
                <c:pt idx="68">
                  <c:v>1</c:v>
                </c:pt>
                <c:pt idx="69">
                  <c:v>0.97368421052631504</c:v>
                </c:pt>
                <c:pt idx="70">
                  <c:v>0.94736842105263097</c:v>
                </c:pt>
                <c:pt idx="71">
                  <c:v>0.94736842105263097</c:v>
                </c:pt>
                <c:pt idx="72">
                  <c:v>0.94736842105263097</c:v>
                </c:pt>
                <c:pt idx="73">
                  <c:v>0.94736842105263097</c:v>
                </c:pt>
                <c:pt idx="74">
                  <c:v>0.97368421052631504</c:v>
                </c:pt>
                <c:pt idx="75">
                  <c:v>1</c:v>
                </c:pt>
                <c:pt idx="76">
                  <c:v>0.94736842105263097</c:v>
                </c:pt>
                <c:pt idx="77">
                  <c:v>1</c:v>
                </c:pt>
                <c:pt idx="78">
                  <c:v>1</c:v>
                </c:pt>
                <c:pt idx="79">
                  <c:v>0.94736842105263097</c:v>
                </c:pt>
                <c:pt idx="80">
                  <c:v>0.94736842105263097</c:v>
                </c:pt>
                <c:pt idx="81">
                  <c:v>0.97368421052631504</c:v>
                </c:pt>
                <c:pt idx="82">
                  <c:v>0.97368421052631504</c:v>
                </c:pt>
                <c:pt idx="83">
                  <c:v>0.97368421052631504</c:v>
                </c:pt>
                <c:pt idx="84">
                  <c:v>0.97368421052631504</c:v>
                </c:pt>
                <c:pt idx="85">
                  <c:v>0.97368421052631504</c:v>
                </c:pt>
                <c:pt idx="86">
                  <c:v>1</c:v>
                </c:pt>
                <c:pt idx="87">
                  <c:v>1</c:v>
                </c:pt>
                <c:pt idx="88">
                  <c:v>0.97368421052631504</c:v>
                </c:pt>
                <c:pt idx="89">
                  <c:v>0.97368421052631504</c:v>
                </c:pt>
                <c:pt idx="90">
                  <c:v>0.97368421052631504</c:v>
                </c:pt>
                <c:pt idx="91">
                  <c:v>0.97368421052631504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0.97368421052631504</c:v>
                </c:pt>
                <c:pt idx="96">
                  <c:v>1</c:v>
                </c:pt>
                <c:pt idx="97">
                  <c:v>0.97368421052631504</c:v>
                </c:pt>
                <c:pt idx="98">
                  <c:v>0.97368421052631504</c:v>
                </c:pt>
                <c:pt idx="99">
                  <c:v>1</c:v>
                </c:pt>
                <c:pt idx="100">
                  <c:v>0.97368421052631504</c:v>
                </c:pt>
                <c:pt idx="101">
                  <c:v>1</c:v>
                </c:pt>
                <c:pt idx="102">
                  <c:v>0.92105263157894701</c:v>
                </c:pt>
                <c:pt idx="103">
                  <c:v>0.94736842105263097</c:v>
                </c:pt>
                <c:pt idx="104">
                  <c:v>0.94736842105263097</c:v>
                </c:pt>
                <c:pt idx="105">
                  <c:v>0.94736842105263097</c:v>
                </c:pt>
                <c:pt idx="106">
                  <c:v>1</c:v>
                </c:pt>
                <c:pt idx="107">
                  <c:v>1</c:v>
                </c:pt>
                <c:pt idx="108">
                  <c:v>0.97368421052631504</c:v>
                </c:pt>
                <c:pt idx="109">
                  <c:v>0.92105263157894701</c:v>
                </c:pt>
                <c:pt idx="110">
                  <c:v>0.92105263157894701</c:v>
                </c:pt>
                <c:pt idx="111">
                  <c:v>0.97368421052631504</c:v>
                </c:pt>
                <c:pt idx="112">
                  <c:v>0.97368421052631504</c:v>
                </c:pt>
                <c:pt idx="113">
                  <c:v>0.97368421052631504</c:v>
                </c:pt>
                <c:pt idx="114">
                  <c:v>0.97368421052631504</c:v>
                </c:pt>
                <c:pt idx="115">
                  <c:v>0.94736842105263097</c:v>
                </c:pt>
                <c:pt idx="116">
                  <c:v>1</c:v>
                </c:pt>
                <c:pt idx="117">
                  <c:v>1</c:v>
                </c:pt>
                <c:pt idx="118">
                  <c:v>0.92105263157894701</c:v>
                </c:pt>
                <c:pt idx="119">
                  <c:v>0.94736842105263097</c:v>
                </c:pt>
                <c:pt idx="120">
                  <c:v>0.94736842105263097</c:v>
                </c:pt>
                <c:pt idx="121">
                  <c:v>0.97368421052631504</c:v>
                </c:pt>
                <c:pt idx="122">
                  <c:v>1</c:v>
                </c:pt>
                <c:pt idx="123">
                  <c:v>0.94736842105263097</c:v>
                </c:pt>
                <c:pt idx="124">
                  <c:v>1</c:v>
                </c:pt>
                <c:pt idx="125">
                  <c:v>0.97368421052631504</c:v>
                </c:pt>
                <c:pt idx="126">
                  <c:v>0.94736842105263097</c:v>
                </c:pt>
                <c:pt idx="127">
                  <c:v>0.94736842105263097</c:v>
                </c:pt>
                <c:pt idx="128">
                  <c:v>0.92105263157894701</c:v>
                </c:pt>
                <c:pt idx="129">
                  <c:v>1</c:v>
                </c:pt>
                <c:pt idx="130">
                  <c:v>1</c:v>
                </c:pt>
                <c:pt idx="131">
                  <c:v>0.97368421052631504</c:v>
                </c:pt>
                <c:pt idx="132">
                  <c:v>0.94736842105263097</c:v>
                </c:pt>
                <c:pt idx="133">
                  <c:v>0.94736842105263097</c:v>
                </c:pt>
                <c:pt idx="134">
                  <c:v>0.97368421052631504</c:v>
                </c:pt>
                <c:pt idx="135">
                  <c:v>1</c:v>
                </c:pt>
                <c:pt idx="136">
                  <c:v>0.92105263157894701</c:v>
                </c:pt>
                <c:pt idx="137">
                  <c:v>0.94736842105263097</c:v>
                </c:pt>
                <c:pt idx="138">
                  <c:v>0.94736842105263097</c:v>
                </c:pt>
                <c:pt idx="139">
                  <c:v>0.92105263157894701</c:v>
                </c:pt>
                <c:pt idx="140">
                  <c:v>0.94736842105263097</c:v>
                </c:pt>
                <c:pt idx="141">
                  <c:v>0.97368421052631504</c:v>
                </c:pt>
                <c:pt idx="142">
                  <c:v>0.94736842105263097</c:v>
                </c:pt>
                <c:pt idx="14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BC-493D-8558-31D7B2F8F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457056"/>
        <c:axId val="752458976"/>
      </c:scatterChart>
      <c:valAx>
        <c:axId val="752457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458976"/>
        <c:crosses val="autoZero"/>
        <c:crossBetween val="midCat"/>
      </c:valAx>
      <c:valAx>
        <c:axId val="752458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457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Wine!$AG$1</c:f>
              <c:strCache>
                <c:ptCount val="1"/>
                <c:pt idx="0">
                  <c:v>acc KAN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Wine!$AF$2:$AF$229</c:f>
              <c:numCache>
                <c:formatCode>General</c:formatCode>
                <c:ptCount val="228"/>
                <c:pt idx="0">
                  <c:v>4930</c:v>
                </c:pt>
                <c:pt idx="1">
                  <c:v>5975</c:v>
                </c:pt>
                <c:pt idx="2">
                  <c:v>2929</c:v>
                </c:pt>
                <c:pt idx="3">
                  <c:v>5608</c:v>
                </c:pt>
                <c:pt idx="4">
                  <c:v>6783</c:v>
                </c:pt>
                <c:pt idx="5">
                  <c:v>7958</c:v>
                </c:pt>
                <c:pt idx="6">
                  <c:v>7591</c:v>
                </c:pt>
                <c:pt idx="7">
                  <c:v>8896</c:v>
                </c:pt>
                <c:pt idx="8">
                  <c:v>6964</c:v>
                </c:pt>
                <c:pt idx="9">
                  <c:v>8399</c:v>
                </c:pt>
                <c:pt idx="10">
                  <c:v>7642</c:v>
                </c:pt>
                <c:pt idx="11">
                  <c:v>8812</c:v>
                </c:pt>
                <c:pt idx="12">
                  <c:v>10617</c:v>
                </c:pt>
                <c:pt idx="13">
                  <c:v>6815</c:v>
                </c:pt>
                <c:pt idx="14">
                  <c:v>8260</c:v>
                </c:pt>
                <c:pt idx="15">
                  <c:v>4049</c:v>
                </c:pt>
                <c:pt idx="16">
                  <c:v>7753</c:v>
                </c:pt>
                <c:pt idx="17">
                  <c:v>11003</c:v>
                </c:pt>
                <c:pt idx="18">
                  <c:v>5494</c:v>
                </c:pt>
                <c:pt idx="19">
                  <c:v>10567</c:v>
                </c:pt>
                <c:pt idx="20">
                  <c:v>12732</c:v>
                </c:pt>
                <c:pt idx="21">
                  <c:v>6939</c:v>
                </c:pt>
                <c:pt idx="22">
                  <c:v>4721</c:v>
                </c:pt>
                <c:pt idx="23">
                  <c:v>12257</c:v>
                </c:pt>
                <c:pt idx="24">
                  <c:v>11152</c:v>
                </c:pt>
                <c:pt idx="25">
                  <c:v>13437</c:v>
                </c:pt>
                <c:pt idx="26">
                  <c:v>6061</c:v>
                </c:pt>
                <c:pt idx="27">
                  <c:v>7346</c:v>
                </c:pt>
                <c:pt idx="28">
                  <c:v>8631</c:v>
                </c:pt>
                <c:pt idx="29">
                  <c:v>3601</c:v>
                </c:pt>
                <c:pt idx="30">
                  <c:v>8340</c:v>
                </c:pt>
                <c:pt idx="31">
                  <c:v>9785</c:v>
                </c:pt>
                <c:pt idx="32">
                  <c:v>4886</c:v>
                </c:pt>
                <c:pt idx="33">
                  <c:v>6171</c:v>
                </c:pt>
                <c:pt idx="34">
                  <c:v>2316</c:v>
                </c:pt>
                <c:pt idx="35">
                  <c:v>5798</c:v>
                </c:pt>
                <c:pt idx="36">
                  <c:v>7323</c:v>
                </c:pt>
                <c:pt idx="37">
                  <c:v>7020</c:v>
                </c:pt>
                <c:pt idx="38">
                  <c:v>6286</c:v>
                </c:pt>
                <c:pt idx="39">
                  <c:v>9834</c:v>
                </c:pt>
                <c:pt idx="40">
                  <c:v>3974</c:v>
                </c:pt>
                <c:pt idx="41">
                  <c:v>9207</c:v>
                </c:pt>
                <c:pt idx="42">
                  <c:v>10772</c:v>
                </c:pt>
                <c:pt idx="43">
                  <c:v>1884</c:v>
                </c:pt>
                <c:pt idx="44">
                  <c:v>8094</c:v>
                </c:pt>
                <c:pt idx="45">
                  <c:v>11340</c:v>
                </c:pt>
                <c:pt idx="46">
                  <c:v>12422</c:v>
                </c:pt>
                <c:pt idx="47">
                  <c:v>9705</c:v>
                </c:pt>
                <c:pt idx="48">
                  <c:v>9378</c:v>
                </c:pt>
                <c:pt idx="49">
                  <c:v>9629</c:v>
                </c:pt>
                <c:pt idx="50">
                  <c:v>11614</c:v>
                </c:pt>
                <c:pt idx="51">
                  <c:v>14897</c:v>
                </c:pt>
                <c:pt idx="52">
                  <c:v>2604</c:v>
                </c:pt>
                <c:pt idx="53">
                  <c:v>8717</c:v>
                </c:pt>
                <c:pt idx="54">
                  <c:v>8182</c:v>
                </c:pt>
                <c:pt idx="55">
                  <c:v>9172</c:v>
                </c:pt>
                <c:pt idx="56">
                  <c:v>12982</c:v>
                </c:pt>
                <c:pt idx="57">
                  <c:v>14352</c:v>
                </c:pt>
                <c:pt idx="58">
                  <c:v>5798</c:v>
                </c:pt>
                <c:pt idx="59">
                  <c:v>7323</c:v>
                </c:pt>
                <c:pt idx="60">
                  <c:v>10088</c:v>
                </c:pt>
                <c:pt idx="61">
                  <c:v>11853</c:v>
                </c:pt>
                <c:pt idx="62">
                  <c:v>11454</c:v>
                </c:pt>
                <c:pt idx="63">
                  <c:v>10615</c:v>
                </c:pt>
                <c:pt idx="64">
                  <c:v>12820</c:v>
                </c:pt>
                <c:pt idx="65">
                  <c:v>15025</c:v>
                </c:pt>
                <c:pt idx="66">
                  <c:v>11761</c:v>
                </c:pt>
                <c:pt idx="67">
                  <c:v>14186</c:v>
                </c:pt>
                <c:pt idx="68">
                  <c:v>16611</c:v>
                </c:pt>
                <c:pt idx="69">
                  <c:v>12907</c:v>
                </c:pt>
                <c:pt idx="70">
                  <c:v>15552</c:v>
                </c:pt>
                <c:pt idx="71">
                  <c:v>3180</c:v>
                </c:pt>
                <c:pt idx="72">
                  <c:v>3612</c:v>
                </c:pt>
                <c:pt idx="73">
                  <c:v>7729</c:v>
                </c:pt>
                <c:pt idx="74">
                  <c:v>10939</c:v>
                </c:pt>
                <c:pt idx="75">
                  <c:v>8563</c:v>
                </c:pt>
                <c:pt idx="76">
                  <c:v>9397</c:v>
                </c:pt>
                <c:pt idx="77">
                  <c:v>11322</c:v>
                </c:pt>
                <c:pt idx="78">
                  <c:v>13247</c:v>
                </c:pt>
                <c:pt idx="79">
                  <c:v>4273</c:v>
                </c:pt>
                <c:pt idx="80">
                  <c:v>5019</c:v>
                </c:pt>
                <c:pt idx="81">
                  <c:v>9176</c:v>
                </c:pt>
                <c:pt idx="82">
                  <c:v>10258</c:v>
                </c:pt>
                <c:pt idx="83">
                  <c:v>2172</c:v>
                </c:pt>
                <c:pt idx="84">
                  <c:v>8691</c:v>
                </c:pt>
                <c:pt idx="85">
                  <c:v>7192</c:v>
                </c:pt>
                <c:pt idx="86">
                  <c:v>9897</c:v>
                </c:pt>
                <c:pt idx="87">
                  <c:v>11612</c:v>
                </c:pt>
                <c:pt idx="88">
                  <c:v>10162</c:v>
                </c:pt>
                <c:pt idx="89">
                  <c:v>15722</c:v>
                </c:pt>
                <c:pt idx="90">
                  <c:v>2748</c:v>
                </c:pt>
                <c:pt idx="91">
                  <c:v>8323</c:v>
                </c:pt>
                <c:pt idx="92">
                  <c:v>9469</c:v>
                </c:pt>
                <c:pt idx="93">
                  <c:v>6710</c:v>
                </c:pt>
                <c:pt idx="94">
                  <c:v>18197</c:v>
                </c:pt>
                <c:pt idx="95">
                  <c:v>8475</c:v>
                </c:pt>
                <c:pt idx="96">
                  <c:v>7622</c:v>
                </c:pt>
                <c:pt idx="97">
                  <c:v>9627</c:v>
                </c:pt>
                <c:pt idx="98">
                  <c:v>6895</c:v>
                </c:pt>
                <c:pt idx="99">
                  <c:v>9334</c:v>
                </c:pt>
                <c:pt idx="100">
                  <c:v>10328</c:v>
                </c:pt>
                <c:pt idx="101">
                  <c:v>12093</c:v>
                </c:pt>
                <c:pt idx="102">
                  <c:v>2748</c:v>
                </c:pt>
                <c:pt idx="103">
                  <c:v>6889</c:v>
                </c:pt>
                <c:pt idx="104">
                  <c:v>7821</c:v>
                </c:pt>
                <c:pt idx="105">
                  <c:v>8753</c:v>
                </c:pt>
                <c:pt idx="106">
                  <c:v>8030</c:v>
                </c:pt>
                <c:pt idx="107">
                  <c:v>9685</c:v>
                </c:pt>
                <c:pt idx="108">
                  <c:v>10496</c:v>
                </c:pt>
                <c:pt idx="109">
                  <c:v>12301</c:v>
                </c:pt>
                <c:pt idx="110">
                  <c:v>13599</c:v>
                </c:pt>
                <c:pt idx="111">
                  <c:v>6406</c:v>
                </c:pt>
                <c:pt idx="112">
                  <c:v>10242</c:v>
                </c:pt>
                <c:pt idx="113">
                  <c:v>4273</c:v>
                </c:pt>
                <c:pt idx="114">
                  <c:v>4945</c:v>
                </c:pt>
                <c:pt idx="115">
                  <c:v>13439</c:v>
                </c:pt>
                <c:pt idx="116">
                  <c:v>5617</c:v>
                </c:pt>
                <c:pt idx="117">
                  <c:v>8475</c:v>
                </c:pt>
                <c:pt idx="118">
                  <c:v>5684</c:v>
                </c:pt>
                <c:pt idx="119">
                  <c:v>6466</c:v>
                </c:pt>
                <c:pt idx="120">
                  <c:v>7248</c:v>
                </c:pt>
                <c:pt idx="121">
                  <c:v>4582</c:v>
                </c:pt>
                <c:pt idx="122">
                  <c:v>5787</c:v>
                </c:pt>
                <c:pt idx="123">
                  <c:v>3036</c:v>
                </c:pt>
                <c:pt idx="124">
                  <c:v>11077</c:v>
                </c:pt>
                <c:pt idx="125">
                  <c:v>3377</c:v>
                </c:pt>
                <c:pt idx="126">
                  <c:v>8091</c:v>
                </c:pt>
                <c:pt idx="127">
                  <c:v>3468</c:v>
                </c:pt>
                <c:pt idx="128">
                  <c:v>3180</c:v>
                </c:pt>
                <c:pt idx="129">
                  <c:v>7318</c:v>
                </c:pt>
                <c:pt idx="130">
                  <c:v>9243</c:v>
                </c:pt>
                <c:pt idx="131">
                  <c:v>11152</c:v>
                </c:pt>
                <c:pt idx="132">
                  <c:v>15025</c:v>
                </c:pt>
                <c:pt idx="133">
                  <c:v>11077</c:v>
                </c:pt>
                <c:pt idx="134">
                  <c:v>6289</c:v>
                </c:pt>
                <c:pt idx="135">
                  <c:v>6710</c:v>
                </c:pt>
                <c:pt idx="136">
                  <c:v>5393</c:v>
                </c:pt>
                <c:pt idx="137">
                  <c:v>15722</c:v>
                </c:pt>
                <c:pt idx="138">
                  <c:v>4945</c:v>
                </c:pt>
                <c:pt idx="139">
                  <c:v>17372</c:v>
                </c:pt>
                <c:pt idx="140">
                  <c:v>10779</c:v>
                </c:pt>
                <c:pt idx="141">
                  <c:v>10242</c:v>
                </c:pt>
                <c:pt idx="142">
                  <c:v>14352</c:v>
                </c:pt>
                <c:pt idx="143">
                  <c:v>13439</c:v>
                </c:pt>
                <c:pt idx="144">
                  <c:v>11316</c:v>
                </c:pt>
                <c:pt idx="145">
                  <c:v>15858</c:v>
                </c:pt>
                <c:pt idx="146">
                  <c:v>8534</c:v>
                </c:pt>
                <c:pt idx="147">
                  <c:v>9040</c:v>
                </c:pt>
                <c:pt idx="148">
                  <c:v>9172</c:v>
                </c:pt>
                <c:pt idx="149">
                  <c:v>11853</c:v>
                </c:pt>
                <c:pt idx="150">
                  <c:v>7946</c:v>
                </c:pt>
                <c:pt idx="151">
                  <c:v>10134</c:v>
                </c:pt>
                <c:pt idx="152">
                  <c:v>8182</c:v>
                </c:pt>
                <c:pt idx="153">
                  <c:v>12907</c:v>
                </c:pt>
                <c:pt idx="154">
                  <c:v>12322</c:v>
                </c:pt>
                <c:pt idx="155">
                  <c:v>14657</c:v>
                </c:pt>
                <c:pt idx="156">
                  <c:v>11612</c:v>
                </c:pt>
                <c:pt idx="157">
                  <c:v>13437</c:v>
                </c:pt>
                <c:pt idx="158">
                  <c:v>18197</c:v>
                </c:pt>
                <c:pt idx="159">
                  <c:v>12239</c:v>
                </c:pt>
                <c:pt idx="160">
                  <c:v>11228</c:v>
                </c:pt>
                <c:pt idx="161">
                  <c:v>13543</c:v>
                </c:pt>
                <c:pt idx="162">
                  <c:v>23147</c:v>
                </c:pt>
                <c:pt idx="163">
                  <c:v>14847</c:v>
                </c:pt>
                <c:pt idx="164">
                  <c:v>16115</c:v>
                </c:pt>
                <c:pt idx="165">
                  <c:v>14959</c:v>
                </c:pt>
                <c:pt idx="166">
                  <c:v>18044</c:v>
                </c:pt>
                <c:pt idx="167">
                  <c:v>4044</c:v>
                </c:pt>
                <c:pt idx="168">
                  <c:v>8323</c:v>
                </c:pt>
                <c:pt idx="169">
                  <c:v>12820</c:v>
                </c:pt>
                <c:pt idx="170">
                  <c:v>12830</c:v>
                </c:pt>
                <c:pt idx="171">
                  <c:v>14344</c:v>
                </c:pt>
                <c:pt idx="172">
                  <c:v>13982</c:v>
                </c:pt>
                <c:pt idx="173">
                  <c:v>16962</c:v>
                </c:pt>
                <c:pt idx="174">
                  <c:v>10756</c:v>
                </c:pt>
                <c:pt idx="175">
                  <c:v>7192</c:v>
                </c:pt>
                <c:pt idx="176">
                  <c:v>9631</c:v>
                </c:pt>
                <c:pt idx="177">
                  <c:v>16387</c:v>
                </c:pt>
                <c:pt idx="178">
                  <c:v>13011</c:v>
                </c:pt>
                <c:pt idx="179">
                  <c:v>8717</c:v>
                </c:pt>
                <c:pt idx="180">
                  <c:v>12257</c:v>
                </c:pt>
                <c:pt idx="181">
                  <c:v>10088</c:v>
                </c:pt>
                <c:pt idx="182">
                  <c:v>11454</c:v>
                </c:pt>
                <c:pt idx="183">
                  <c:v>16611</c:v>
                </c:pt>
                <c:pt idx="184">
                  <c:v>9077</c:v>
                </c:pt>
                <c:pt idx="185">
                  <c:v>15472</c:v>
                </c:pt>
                <c:pt idx="186">
                  <c:v>19847</c:v>
                </c:pt>
                <c:pt idx="187">
                  <c:v>11459</c:v>
                </c:pt>
                <c:pt idx="188">
                  <c:v>18870</c:v>
                </c:pt>
                <c:pt idx="189">
                  <c:v>19111</c:v>
                </c:pt>
                <c:pt idx="190">
                  <c:v>21129</c:v>
                </c:pt>
                <c:pt idx="191">
                  <c:v>16417</c:v>
                </c:pt>
                <c:pt idx="192">
                  <c:v>9897</c:v>
                </c:pt>
                <c:pt idx="193">
                  <c:v>10162</c:v>
                </c:pt>
                <c:pt idx="194">
                  <c:v>11761</c:v>
                </c:pt>
                <c:pt idx="195">
                  <c:v>15552</c:v>
                </c:pt>
                <c:pt idx="196">
                  <c:v>12492</c:v>
                </c:pt>
                <c:pt idx="197">
                  <c:v>18117</c:v>
                </c:pt>
                <c:pt idx="198">
                  <c:v>12058</c:v>
                </c:pt>
                <c:pt idx="199">
                  <c:v>12830</c:v>
                </c:pt>
                <c:pt idx="200">
                  <c:v>14568</c:v>
                </c:pt>
                <c:pt idx="201">
                  <c:v>16306</c:v>
                </c:pt>
                <c:pt idx="202">
                  <c:v>19782</c:v>
                </c:pt>
                <c:pt idx="203">
                  <c:v>12982</c:v>
                </c:pt>
                <c:pt idx="204">
                  <c:v>10935</c:v>
                </c:pt>
                <c:pt idx="205">
                  <c:v>11002</c:v>
                </c:pt>
                <c:pt idx="206">
                  <c:v>17068</c:v>
                </c:pt>
                <c:pt idx="207">
                  <c:v>13360</c:v>
                </c:pt>
                <c:pt idx="208">
                  <c:v>20672</c:v>
                </c:pt>
                <c:pt idx="209">
                  <c:v>10585</c:v>
                </c:pt>
                <c:pt idx="210">
                  <c:v>13501</c:v>
                </c:pt>
                <c:pt idx="211">
                  <c:v>12927</c:v>
                </c:pt>
                <c:pt idx="212">
                  <c:v>13464</c:v>
                </c:pt>
                <c:pt idx="213">
                  <c:v>15266</c:v>
                </c:pt>
                <c:pt idx="214">
                  <c:v>14563</c:v>
                </c:pt>
                <c:pt idx="215">
                  <c:v>14662</c:v>
                </c:pt>
                <c:pt idx="216">
                  <c:v>12043</c:v>
                </c:pt>
                <c:pt idx="217">
                  <c:v>17093</c:v>
                </c:pt>
                <c:pt idx="218">
                  <c:v>10615</c:v>
                </c:pt>
                <c:pt idx="219">
                  <c:v>10327</c:v>
                </c:pt>
                <c:pt idx="220">
                  <c:v>11577</c:v>
                </c:pt>
                <c:pt idx="221">
                  <c:v>12827</c:v>
                </c:pt>
                <c:pt idx="222">
                  <c:v>14077</c:v>
                </c:pt>
                <c:pt idx="223">
                  <c:v>9454</c:v>
                </c:pt>
                <c:pt idx="224">
                  <c:v>17667</c:v>
                </c:pt>
                <c:pt idx="225">
                  <c:v>15075</c:v>
                </c:pt>
                <c:pt idx="226">
                  <c:v>9469</c:v>
                </c:pt>
                <c:pt idx="227">
                  <c:v>14186</c:v>
                </c:pt>
              </c:numCache>
            </c:numRef>
          </c:xVal>
          <c:yVal>
            <c:numRef>
              <c:f>Wine!$AG$2:$AG$229</c:f>
              <c:numCache>
                <c:formatCode>General</c:formatCode>
                <c:ptCount val="2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0.977777779102325</c:v>
                </c:pt>
                <c:pt idx="27">
                  <c:v>0.977777779102325</c:v>
                </c:pt>
                <c:pt idx="28">
                  <c:v>0.977777779102325</c:v>
                </c:pt>
                <c:pt idx="29">
                  <c:v>0.977777779102325</c:v>
                </c:pt>
                <c:pt idx="30">
                  <c:v>0.977777779102325</c:v>
                </c:pt>
                <c:pt idx="31">
                  <c:v>0.977777779102325</c:v>
                </c:pt>
                <c:pt idx="32">
                  <c:v>0.977777779102325</c:v>
                </c:pt>
                <c:pt idx="33">
                  <c:v>0.977777779102325</c:v>
                </c:pt>
                <c:pt idx="34">
                  <c:v>0.977777779102325</c:v>
                </c:pt>
                <c:pt idx="35">
                  <c:v>0.977777779102325</c:v>
                </c:pt>
                <c:pt idx="36">
                  <c:v>0.977777779102325</c:v>
                </c:pt>
                <c:pt idx="37">
                  <c:v>0.977777779102325</c:v>
                </c:pt>
                <c:pt idx="38">
                  <c:v>0.977777779102325</c:v>
                </c:pt>
                <c:pt idx="39">
                  <c:v>0.977777779102325</c:v>
                </c:pt>
                <c:pt idx="40">
                  <c:v>0.977777779102325</c:v>
                </c:pt>
                <c:pt idx="41">
                  <c:v>0.977777779102325</c:v>
                </c:pt>
                <c:pt idx="42">
                  <c:v>0.977777779102325</c:v>
                </c:pt>
                <c:pt idx="43">
                  <c:v>0.977777779102325</c:v>
                </c:pt>
                <c:pt idx="44">
                  <c:v>0.977777779102325</c:v>
                </c:pt>
                <c:pt idx="45">
                  <c:v>0.977777779102325</c:v>
                </c:pt>
                <c:pt idx="46">
                  <c:v>0.977777779102325</c:v>
                </c:pt>
                <c:pt idx="47">
                  <c:v>0.977777779102325</c:v>
                </c:pt>
                <c:pt idx="48">
                  <c:v>0.977777779102325</c:v>
                </c:pt>
                <c:pt idx="49">
                  <c:v>0.977777779102325</c:v>
                </c:pt>
                <c:pt idx="50">
                  <c:v>0.977777779102325</c:v>
                </c:pt>
                <c:pt idx="51">
                  <c:v>0.977777779102325</c:v>
                </c:pt>
                <c:pt idx="52">
                  <c:v>0.977777779102325</c:v>
                </c:pt>
                <c:pt idx="53">
                  <c:v>0.977777779102325</c:v>
                </c:pt>
                <c:pt idx="54">
                  <c:v>0.977777779102325</c:v>
                </c:pt>
                <c:pt idx="55">
                  <c:v>0.977777779102325</c:v>
                </c:pt>
                <c:pt idx="56">
                  <c:v>0.977777779102325</c:v>
                </c:pt>
                <c:pt idx="57">
                  <c:v>0.977777779102325</c:v>
                </c:pt>
                <c:pt idx="58">
                  <c:v>0.977777779102325</c:v>
                </c:pt>
                <c:pt idx="59">
                  <c:v>0.977777779102325</c:v>
                </c:pt>
                <c:pt idx="60">
                  <c:v>0.977777779102325</c:v>
                </c:pt>
                <c:pt idx="61">
                  <c:v>0.977777779102325</c:v>
                </c:pt>
                <c:pt idx="62">
                  <c:v>0.977777779102325</c:v>
                </c:pt>
                <c:pt idx="63">
                  <c:v>0.977777779102325</c:v>
                </c:pt>
                <c:pt idx="64">
                  <c:v>0.977777779102325</c:v>
                </c:pt>
                <c:pt idx="65">
                  <c:v>0.977777779102325</c:v>
                </c:pt>
                <c:pt idx="66">
                  <c:v>0.977777779102325</c:v>
                </c:pt>
                <c:pt idx="67">
                  <c:v>0.977777779102325</c:v>
                </c:pt>
                <c:pt idx="68">
                  <c:v>0.977777779102325</c:v>
                </c:pt>
                <c:pt idx="69">
                  <c:v>0.977777779102325</c:v>
                </c:pt>
                <c:pt idx="70">
                  <c:v>0.977777779102325</c:v>
                </c:pt>
                <c:pt idx="71">
                  <c:v>0.977777779102325</c:v>
                </c:pt>
                <c:pt idx="72">
                  <c:v>0.977777779102325</c:v>
                </c:pt>
                <c:pt idx="73">
                  <c:v>0.95555555820464999</c:v>
                </c:pt>
                <c:pt idx="74">
                  <c:v>0.95555555820464999</c:v>
                </c:pt>
                <c:pt idx="75">
                  <c:v>0.95555555820464999</c:v>
                </c:pt>
                <c:pt idx="76">
                  <c:v>0.95555555820464999</c:v>
                </c:pt>
                <c:pt idx="77">
                  <c:v>0.95555555820464999</c:v>
                </c:pt>
                <c:pt idx="78">
                  <c:v>0.95555555820464999</c:v>
                </c:pt>
                <c:pt idx="79">
                  <c:v>0.95555555820464999</c:v>
                </c:pt>
                <c:pt idx="80">
                  <c:v>0.95555555820464999</c:v>
                </c:pt>
                <c:pt idx="81">
                  <c:v>0.95555555820464999</c:v>
                </c:pt>
                <c:pt idx="82">
                  <c:v>0.95555555820464999</c:v>
                </c:pt>
                <c:pt idx="83">
                  <c:v>0.95555555820464999</c:v>
                </c:pt>
                <c:pt idx="84">
                  <c:v>0.95555555820464999</c:v>
                </c:pt>
                <c:pt idx="85">
                  <c:v>0.95555555820464999</c:v>
                </c:pt>
                <c:pt idx="86">
                  <c:v>0.95555555820464999</c:v>
                </c:pt>
                <c:pt idx="87">
                  <c:v>0.95555555820464999</c:v>
                </c:pt>
                <c:pt idx="88">
                  <c:v>0.95555555820464999</c:v>
                </c:pt>
                <c:pt idx="89">
                  <c:v>0.95555555820464999</c:v>
                </c:pt>
                <c:pt idx="90">
                  <c:v>0.95555555820464999</c:v>
                </c:pt>
                <c:pt idx="91">
                  <c:v>0.95555555820464999</c:v>
                </c:pt>
                <c:pt idx="92">
                  <c:v>0.95555555820464999</c:v>
                </c:pt>
                <c:pt idx="93">
                  <c:v>0.95555555820464999</c:v>
                </c:pt>
                <c:pt idx="94">
                  <c:v>0.95555555820464999</c:v>
                </c:pt>
                <c:pt idx="95">
                  <c:v>0.95555555820464999</c:v>
                </c:pt>
                <c:pt idx="96">
                  <c:v>0.95555555820464999</c:v>
                </c:pt>
                <c:pt idx="97">
                  <c:v>0.95555555820464999</c:v>
                </c:pt>
                <c:pt idx="98">
                  <c:v>0.93333333730697599</c:v>
                </c:pt>
                <c:pt idx="99">
                  <c:v>0.93333333730697599</c:v>
                </c:pt>
                <c:pt idx="100">
                  <c:v>0.93333333730697599</c:v>
                </c:pt>
                <c:pt idx="101">
                  <c:v>0.93333333730697599</c:v>
                </c:pt>
                <c:pt idx="102">
                  <c:v>0.93333333730697599</c:v>
                </c:pt>
                <c:pt idx="103">
                  <c:v>0.93333333730697599</c:v>
                </c:pt>
                <c:pt idx="104">
                  <c:v>0.93333333730697599</c:v>
                </c:pt>
                <c:pt idx="105">
                  <c:v>0.93333333730697599</c:v>
                </c:pt>
                <c:pt idx="106">
                  <c:v>0.93333333730697599</c:v>
                </c:pt>
                <c:pt idx="107">
                  <c:v>0.93333333730697599</c:v>
                </c:pt>
                <c:pt idx="108">
                  <c:v>0.93333333730697599</c:v>
                </c:pt>
                <c:pt idx="109">
                  <c:v>0.93333333730697599</c:v>
                </c:pt>
                <c:pt idx="110">
                  <c:v>0.93333333730697599</c:v>
                </c:pt>
                <c:pt idx="111">
                  <c:v>0.93333333730697599</c:v>
                </c:pt>
                <c:pt idx="112">
                  <c:v>0.93333333730697599</c:v>
                </c:pt>
                <c:pt idx="113">
                  <c:v>0.93333333730697599</c:v>
                </c:pt>
                <c:pt idx="114">
                  <c:v>0.93333333730697599</c:v>
                </c:pt>
                <c:pt idx="115">
                  <c:v>0.93333333730697599</c:v>
                </c:pt>
                <c:pt idx="116">
                  <c:v>0.93333333730697599</c:v>
                </c:pt>
                <c:pt idx="117">
                  <c:v>0.91111111640930098</c:v>
                </c:pt>
                <c:pt idx="118">
                  <c:v>0.91111111640930098</c:v>
                </c:pt>
                <c:pt idx="119">
                  <c:v>0.91111111640930098</c:v>
                </c:pt>
                <c:pt idx="120">
                  <c:v>0.91111111640930098</c:v>
                </c:pt>
                <c:pt idx="121">
                  <c:v>0.91111111640930098</c:v>
                </c:pt>
                <c:pt idx="122">
                  <c:v>0.91111111640930098</c:v>
                </c:pt>
                <c:pt idx="123">
                  <c:v>0.91111111640930098</c:v>
                </c:pt>
                <c:pt idx="124">
                  <c:v>0.91111111640930098</c:v>
                </c:pt>
                <c:pt idx="125">
                  <c:v>0.88888889551162698</c:v>
                </c:pt>
                <c:pt idx="126">
                  <c:v>0.88888889551162698</c:v>
                </c:pt>
                <c:pt idx="127">
                  <c:v>0.88888889551162698</c:v>
                </c:pt>
                <c:pt idx="128">
                  <c:v>0.84444445371627797</c:v>
                </c:pt>
                <c:pt idx="129">
                  <c:v>0.82222223281860296</c:v>
                </c:pt>
                <c:pt idx="130">
                  <c:v>0.82222223281860296</c:v>
                </c:pt>
                <c:pt idx="131">
                  <c:v>0.80000001192092896</c:v>
                </c:pt>
                <c:pt idx="132">
                  <c:v>0.77777779102325395</c:v>
                </c:pt>
                <c:pt idx="133">
                  <c:v>0.75555557012557895</c:v>
                </c:pt>
                <c:pt idx="134">
                  <c:v>0.75555557012557895</c:v>
                </c:pt>
                <c:pt idx="135">
                  <c:v>0.73333334922790505</c:v>
                </c:pt>
                <c:pt idx="136">
                  <c:v>0.73333334922790505</c:v>
                </c:pt>
                <c:pt idx="137">
                  <c:v>0.71111112833023005</c:v>
                </c:pt>
                <c:pt idx="138">
                  <c:v>0.71111112833023005</c:v>
                </c:pt>
                <c:pt idx="139">
                  <c:v>0.68888890743255604</c:v>
                </c:pt>
                <c:pt idx="140">
                  <c:v>0.68888890743255604</c:v>
                </c:pt>
                <c:pt idx="141">
                  <c:v>0.66666668653488104</c:v>
                </c:pt>
                <c:pt idx="142">
                  <c:v>0.66666668653488104</c:v>
                </c:pt>
                <c:pt idx="143">
                  <c:v>0.66666668653488104</c:v>
                </c:pt>
                <c:pt idx="144">
                  <c:v>0.66666668653488104</c:v>
                </c:pt>
                <c:pt idx="145">
                  <c:v>0.66666668653488104</c:v>
                </c:pt>
                <c:pt idx="146">
                  <c:v>0.66666668653488104</c:v>
                </c:pt>
                <c:pt idx="147">
                  <c:v>0.64444446563720703</c:v>
                </c:pt>
                <c:pt idx="148">
                  <c:v>0.62222224473953203</c:v>
                </c:pt>
                <c:pt idx="149">
                  <c:v>0.62222224473953203</c:v>
                </c:pt>
                <c:pt idx="150">
                  <c:v>0.62222224473953203</c:v>
                </c:pt>
                <c:pt idx="151">
                  <c:v>0.62222224473953203</c:v>
                </c:pt>
                <c:pt idx="152">
                  <c:v>0.60000002384185702</c:v>
                </c:pt>
                <c:pt idx="153">
                  <c:v>0.60000002384185702</c:v>
                </c:pt>
                <c:pt idx="154">
                  <c:v>0.60000002384185702</c:v>
                </c:pt>
                <c:pt idx="155">
                  <c:v>0.60000002384185702</c:v>
                </c:pt>
                <c:pt idx="156">
                  <c:v>0.57777780294418302</c:v>
                </c:pt>
                <c:pt idx="157">
                  <c:v>0.57777780294418302</c:v>
                </c:pt>
                <c:pt idx="158">
                  <c:v>0.57777780294418302</c:v>
                </c:pt>
                <c:pt idx="159">
                  <c:v>0.57777780294418302</c:v>
                </c:pt>
                <c:pt idx="160">
                  <c:v>0.57777780294418302</c:v>
                </c:pt>
                <c:pt idx="161">
                  <c:v>0.57777780294418302</c:v>
                </c:pt>
                <c:pt idx="162">
                  <c:v>0.57777780294418302</c:v>
                </c:pt>
                <c:pt idx="163">
                  <c:v>0.55555558204650801</c:v>
                </c:pt>
                <c:pt idx="164">
                  <c:v>0.55555558204650801</c:v>
                </c:pt>
                <c:pt idx="165">
                  <c:v>0.55555558204650801</c:v>
                </c:pt>
                <c:pt idx="166">
                  <c:v>0.55555558204650801</c:v>
                </c:pt>
                <c:pt idx="167">
                  <c:v>0.55555558204650801</c:v>
                </c:pt>
                <c:pt idx="168">
                  <c:v>0.53333336114883401</c:v>
                </c:pt>
                <c:pt idx="169">
                  <c:v>0.53333336114883401</c:v>
                </c:pt>
                <c:pt idx="170">
                  <c:v>0.53333336114883401</c:v>
                </c:pt>
                <c:pt idx="171">
                  <c:v>0.53333336114883401</c:v>
                </c:pt>
                <c:pt idx="172">
                  <c:v>0.53333336114883401</c:v>
                </c:pt>
                <c:pt idx="173">
                  <c:v>0.53333336114883401</c:v>
                </c:pt>
                <c:pt idx="174">
                  <c:v>0.53333336114883401</c:v>
                </c:pt>
                <c:pt idx="175">
                  <c:v>0.511111140251159</c:v>
                </c:pt>
                <c:pt idx="176">
                  <c:v>0.511111140251159</c:v>
                </c:pt>
                <c:pt idx="177">
                  <c:v>0.511111140251159</c:v>
                </c:pt>
                <c:pt idx="178">
                  <c:v>0.511111140251159</c:v>
                </c:pt>
                <c:pt idx="179">
                  <c:v>0.488888889551162</c:v>
                </c:pt>
                <c:pt idx="180">
                  <c:v>0.488888889551162</c:v>
                </c:pt>
                <c:pt idx="181">
                  <c:v>0.488888889551162</c:v>
                </c:pt>
                <c:pt idx="182">
                  <c:v>0.488888889551162</c:v>
                </c:pt>
                <c:pt idx="183">
                  <c:v>0.488888889551162</c:v>
                </c:pt>
                <c:pt idx="184">
                  <c:v>0.488888889551162</c:v>
                </c:pt>
                <c:pt idx="185">
                  <c:v>0.488888889551162</c:v>
                </c:pt>
                <c:pt idx="186">
                  <c:v>0.488888889551162</c:v>
                </c:pt>
                <c:pt idx="187">
                  <c:v>0.488888889551162</c:v>
                </c:pt>
                <c:pt idx="188">
                  <c:v>0.488888889551162</c:v>
                </c:pt>
                <c:pt idx="189">
                  <c:v>0.488888889551162</c:v>
                </c:pt>
                <c:pt idx="190">
                  <c:v>0.488888889551162</c:v>
                </c:pt>
                <c:pt idx="191">
                  <c:v>0.488888889551162</c:v>
                </c:pt>
                <c:pt idx="192">
                  <c:v>0.46666666865348799</c:v>
                </c:pt>
                <c:pt idx="193">
                  <c:v>0.46666666865348799</c:v>
                </c:pt>
                <c:pt idx="194">
                  <c:v>0.46666666865348799</c:v>
                </c:pt>
                <c:pt idx="195">
                  <c:v>0.46666666865348799</c:v>
                </c:pt>
                <c:pt idx="196">
                  <c:v>0.46666666865348799</c:v>
                </c:pt>
                <c:pt idx="197">
                  <c:v>0.46666666865348799</c:v>
                </c:pt>
                <c:pt idx="198">
                  <c:v>0.46666666865348799</c:v>
                </c:pt>
                <c:pt idx="199">
                  <c:v>0.46666666865348799</c:v>
                </c:pt>
                <c:pt idx="200">
                  <c:v>0.46666666865348799</c:v>
                </c:pt>
                <c:pt idx="201">
                  <c:v>0.46666666865348799</c:v>
                </c:pt>
                <c:pt idx="202">
                  <c:v>0.46666666865348799</c:v>
                </c:pt>
                <c:pt idx="203">
                  <c:v>0.44444444775581299</c:v>
                </c:pt>
                <c:pt idx="204">
                  <c:v>0.44444444775581299</c:v>
                </c:pt>
                <c:pt idx="205">
                  <c:v>0.44444444775581299</c:v>
                </c:pt>
                <c:pt idx="206">
                  <c:v>0.44444444775581299</c:v>
                </c:pt>
                <c:pt idx="207">
                  <c:v>0.44444444775581299</c:v>
                </c:pt>
                <c:pt idx="208">
                  <c:v>0.44444444775581299</c:v>
                </c:pt>
                <c:pt idx="209">
                  <c:v>0.44444444775581299</c:v>
                </c:pt>
                <c:pt idx="210">
                  <c:v>0.44444444775581299</c:v>
                </c:pt>
                <c:pt idx="211">
                  <c:v>0.42222222685813898</c:v>
                </c:pt>
                <c:pt idx="212">
                  <c:v>0.42222222685813898</c:v>
                </c:pt>
                <c:pt idx="213">
                  <c:v>0.42222222685813898</c:v>
                </c:pt>
                <c:pt idx="214">
                  <c:v>0.42222222685813898</c:v>
                </c:pt>
                <c:pt idx="215">
                  <c:v>0.42222222685813898</c:v>
                </c:pt>
                <c:pt idx="216">
                  <c:v>0.42222222685813898</c:v>
                </c:pt>
                <c:pt idx="217">
                  <c:v>0.42222222685813898</c:v>
                </c:pt>
                <c:pt idx="218">
                  <c:v>0.40000000596046398</c:v>
                </c:pt>
                <c:pt idx="219">
                  <c:v>0.40000000596046398</c:v>
                </c:pt>
                <c:pt idx="220">
                  <c:v>0.40000000596046398</c:v>
                </c:pt>
                <c:pt idx="221">
                  <c:v>0.40000000596046398</c:v>
                </c:pt>
                <c:pt idx="222">
                  <c:v>0.40000000596046398</c:v>
                </c:pt>
                <c:pt idx="223">
                  <c:v>0.40000000596046398</c:v>
                </c:pt>
                <c:pt idx="224">
                  <c:v>0.40000000596046398</c:v>
                </c:pt>
                <c:pt idx="225">
                  <c:v>0.40000000596046398</c:v>
                </c:pt>
                <c:pt idx="226">
                  <c:v>0.37777778506278897</c:v>
                </c:pt>
                <c:pt idx="227">
                  <c:v>0.35555556416511502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20-4E95-A8D9-F166320BC4EA}"/>
            </c:ext>
          </c:extLst>
        </c:ser>
        <c:ser>
          <c:idx val="1"/>
          <c:order val="1"/>
          <c:tx>
            <c:strRef>
              <c:f>Wine!$AH$1</c:f>
              <c:strCache>
                <c:ptCount val="1"/>
                <c:pt idx="0">
                  <c:v>acc MLP min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Wine!$AF$2:$AF$229</c:f>
              <c:numCache>
                <c:formatCode>General</c:formatCode>
                <c:ptCount val="228"/>
                <c:pt idx="0">
                  <c:v>4930</c:v>
                </c:pt>
                <c:pt idx="1">
                  <c:v>5975</c:v>
                </c:pt>
                <c:pt idx="2">
                  <c:v>2929</c:v>
                </c:pt>
                <c:pt idx="3">
                  <c:v>5608</c:v>
                </c:pt>
                <c:pt idx="4">
                  <c:v>6783</c:v>
                </c:pt>
                <c:pt idx="5">
                  <c:v>7958</c:v>
                </c:pt>
                <c:pt idx="6">
                  <c:v>7591</c:v>
                </c:pt>
                <c:pt idx="7">
                  <c:v>8896</c:v>
                </c:pt>
                <c:pt idx="8">
                  <c:v>6964</c:v>
                </c:pt>
                <c:pt idx="9">
                  <c:v>8399</c:v>
                </c:pt>
                <c:pt idx="10">
                  <c:v>7642</c:v>
                </c:pt>
                <c:pt idx="11">
                  <c:v>8812</c:v>
                </c:pt>
                <c:pt idx="12">
                  <c:v>10617</c:v>
                </c:pt>
                <c:pt idx="13">
                  <c:v>6815</c:v>
                </c:pt>
                <c:pt idx="14">
                  <c:v>8260</c:v>
                </c:pt>
                <c:pt idx="15">
                  <c:v>4049</c:v>
                </c:pt>
                <c:pt idx="16">
                  <c:v>7753</c:v>
                </c:pt>
                <c:pt idx="17">
                  <c:v>11003</c:v>
                </c:pt>
                <c:pt idx="18">
                  <c:v>5494</c:v>
                </c:pt>
                <c:pt idx="19">
                  <c:v>10567</c:v>
                </c:pt>
                <c:pt idx="20">
                  <c:v>12732</c:v>
                </c:pt>
                <c:pt idx="21">
                  <c:v>6939</c:v>
                </c:pt>
                <c:pt idx="22">
                  <c:v>4721</c:v>
                </c:pt>
                <c:pt idx="23">
                  <c:v>12257</c:v>
                </c:pt>
                <c:pt idx="24">
                  <c:v>11152</c:v>
                </c:pt>
                <c:pt idx="25">
                  <c:v>13437</c:v>
                </c:pt>
                <c:pt idx="26">
                  <c:v>6061</c:v>
                </c:pt>
                <c:pt idx="27">
                  <c:v>7346</c:v>
                </c:pt>
                <c:pt idx="28">
                  <c:v>8631</c:v>
                </c:pt>
                <c:pt idx="29">
                  <c:v>3601</c:v>
                </c:pt>
                <c:pt idx="30">
                  <c:v>8340</c:v>
                </c:pt>
                <c:pt idx="31">
                  <c:v>9785</c:v>
                </c:pt>
                <c:pt idx="32">
                  <c:v>4886</c:v>
                </c:pt>
                <c:pt idx="33">
                  <c:v>6171</c:v>
                </c:pt>
                <c:pt idx="34">
                  <c:v>2316</c:v>
                </c:pt>
                <c:pt idx="35">
                  <c:v>5798</c:v>
                </c:pt>
                <c:pt idx="36">
                  <c:v>7323</c:v>
                </c:pt>
                <c:pt idx="37">
                  <c:v>7020</c:v>
                </c:pt>
                <c:pt idx="38">
                  <c:v>6286</c:v>
                </c:pt>
                <c:pt idx="39">
                  <c:v>9834</c:v>
                </c:pt>
                <c:pt idx="40">
                  <c:v>3974</c:v>
                </c:pt>
                <c:pt idx="41">
                  <c:v>9207</c:v>
                </c:pt>
                <c:pt idx="42">
                  <c:v>10772</c:v>
                </c:pt>
                <c:pt idx="43">
                  <c:v>1884</c:v>
                </c:pt>
                <c:pt idx="44">
                  <c:v>8094</c:v>
                </c:pt>
                <c:pt idx="45">
                  <c:v>11340</c:v>
                </c:pt>
                <c:pt idx="46">
                  <c:v>12422</c:v>
                </c:pt>
                <c:pt idx="47">
                  <c:v>9705</c:v>
                </c:pt>
                <c:pt idx="48">
                  <c:v>9378</c:v>
                </c:pt>
                <c:pt idx="49">
                  <c:v>9629</c:v>
                </c:pt>
                <c:pt idx="50">
                  <c:v>11614</c:v>
                </c:pt>
                <c:pt idx="51">
                  <c:v>14897</c:v>
                </c:pt>
                <c:pt idx="52">
                  <c:v>2604</c:v>
                </c:pt>
                <c:pt idx="53">
                  <c:v>8717</c:v>
                </c:pt>
                <c:pt idx="54">
                  <c:v>8182</c:v>
                </c:pt>
                <c:pt idx="55">
                  <c:v>9172</c:v>
                </c:pt>
                <c:pt idx="56">
                  <c:v>12982</c:v>
                </c:pt>
                <c:pt idx="57">
                  <c:v>14352</c:v>
                </c:pt>
                <c:pt idx="58">
                  <c:v>5798</c:v>
                </c:pt>
                <c:pt idx="59">
                  <c:v>7323</c:v>
                </c:pt>
                <c:pt idx="60">
                  <c:v>10088</c:v>
                </c:pt>
                <c:pt idx="61">
                  <c:v>11853</c:v>
                </c:pt>
                <c:pt idx="62">
                  <c:v>11454</c:v>
                </c:pt>
                <c:pt idx="63">
                  <c:v>10615</c:v>
                </c:pt>
                <c:pt idx="64">
                  <c:v>12820</c:v>
                </c:pt>
                <c:pt idx="65">
                  <c:v>15025</c:v>
                </c:pt>
                <c:pt idx="66">
                  <c:v>11761</c:v>
                </c:pt>
                <c:pt idx="67">
                  <c:v>14186</c:v>
                </c:pt>
                <c:pt idx="68">
                  <c:v>16611</c:v>
                </c:pt>
                <c:pt idx="69">
                  <c:v>12907</c:v>
                </c:pt>
                <c:pt idx="70">
                  <c:v>15552</c:v>
                </c:pt>
                <c:pt idx="71">
                  <c:v>3180</c:v>
                </c:pt>
                <c:pt idx="72">
                  <c:v>3612</c:v>
                </c:pt>
                <c:pt idx="73">
                  <c:v>7729</c:v>
                </c:pt>
                <c:pt idx="74">
                  <c:v>10939</c:v>
                </c:pt>
                <c:pt idx="75">
                  <c:v>8563</c:v>
                </c:pt>
                <c:pt idx="76">
                  <c:v>9397</c:v>
                </c:pt>
                <c:pt idx="77">
                  <c:v>11322</c:v>
                </c:pt>
                <c:pt idx="78">
                  <c:v>13247</c:v>
                </c:pt>
                <c:pt idx="79">
                  <c:v>4273</c:v>
                </c:pt>
                <c:pt idx="80">
                  <c:v>5019</c:v>
                </c:pt>
                <c:pt idx="81">
                  <c:v>9176</c:v>
                </c:pt>
                <c:pt idx="82">
                  <c:v>10258</c:v>
                </c:pt>
                <c:pt idx="83">
                  <c:v>2172</c:v>
                </c:pt>
                <c:pt idx="84">
                  <c:v>8691</c:v>
                </c:pt>
                <c:pt idx="85">
                  <c:v>7192</c:v>
                </c:pt>
                <c:pt idx="86">
                  <c:v>9897</c:v>
                </c:pt>
                <c:pt idx="87">
                  <c:v>11612</c:v>
                </c:pt>
                <c:pt idx="88">
                  <c:v>10162</c:v>
                </c:pt>
                <c:pt idx="89">
                  <c:v>15722</c:v>
                </c:pt>
                <c:pt idx="90">
                  <c:v>2748</c:v>
                </c:pt>
                <c:pt idx="91">
                  <c:v>8323</c:v>
                </c:pt>
                <c:pt idx="92">
                  <c:v>9469</c:v>
                </c:pt>
                <c:pt idx="93">
                  <c:v>6710</c:v>
                </c:pt>
                <c:pt idx="94">
                  <c:v>18197</c:v>
                </c:pt>
                <c:pt idx="95">
                  <c:v>8475</c:v>
                </c:pt>
                <c:pt idx="96">
                  <c:v>7622</c:v>
                </c:pt>
                <c:pt idx="97">
                  <c:v>9627</c:v>
                </c:pt>
                <c:pt idx="98">
                  <c:v>6895</c:v>
                </c:pt>
                <c:pt idx="99">
                  <c:v>9334</c:v>
                </c:pt>
                <c:pt idx="100">
                  <c:v>10328</c:v>
                </c:pt>
                <c:pt idx="101">
                  <c:v>12093</c:v>
                </c:pt>
                <c:pt idx="102">
                  <c:v>2748</c:v>
                </c:pt>
                <c:pt idx="103">
                  <c:v>6889</c:v>
                </c:pt>
                <c:pt idx="104">
                  <c:v>7821</c:v>
                </c:pt>
                <c:pt idx="105">
                  <c:v>8753</c:v>
                </c:pt>
                <c:pt idx="106">
                  <c:v>8030</c:v>
                </c:pt>
                <c:pt idx="107">
                  <c:v>9685</c:v>
                </c:pt>
                <c:pt idx="108">
                  <c:v>10496</c:v>
                </c:pt>
                <c:pt idx="109">
                  <c:v>12301</c:v>
                </c:pt>
                <c:pt idx="110">
                  <c:v>13599</c:v>
                </c:pt>
                <c:pt idx="111">
                  <c:v>6406</c:v>
                </c:pt>
                <c:pt idx="112">
                  <c:v>10242</c:v>
                </c:pt>
                <c:pt idx="113">
                  <c:v>4273</c:v>
                </c:pt>
                <c:pt idx="114">
                  <c:v>4945</c:v>
                </c:pt>
                <c:pt idx="115">
                  <c:v>13439</c:v>
                </c:pt>
                <c:pt idx="116">
                  <c:v>5617</c:v>
                </c:pt>
                <c:pt idx="117">
                  <c:v>8475</c:v>
                </c:pt>
                <c:pt idx="118">
                  <c:v>5684</c:v>
                </c:pt>
                <c:pt idx="119">
                  <c:v>6466</c:v>
                </c:pt>
                <c:pt idx="120">
                  <c:v>7248</c:v>
                </c:pt>
                <c:pt idx="121">
                  <c:v>4582</c:v>
                </c:pt>
                <c:pt idx="122">
                  <c:v>5787</c:v>
                </c:pt>
                <c:pt idx="123">
                  <c:v>3036</c:v>
                </c:pt>
                <c:pt idx="124">
                  <c:v>11077</c:v>
                </c:pt>
                <c:pt idx="125">
                  <c:v>3377</c:v>
                </c:pt>
                <c:pt idx="126">
                  <c:v>8091</c:v>
                </c:pt>
                <c:pt idx="127">
                  <c:v>3468</c:v>
                </c:pt>
                <c:pt idx="128">
                  <c:v>3180</c:v>
                </c:pt>
                <c:pt idx="129">
                  <c:v>7318</c:v>
                </c:pt>
                <c:pt idx="130">
                  <c:v>9243</c:v>
                </c:pt>
                <c:pt idx="131">
                  <c:v>11152</c:v>
                </c:pt>
                <c:pt idx="132">
                  <c:v>15025</c:v>
                </c:pt>
                <c:pt idx="133">
                  <c:v>11077</c:v>
                </c:pt>
                <c:pt idx="134">
                  <c:v>6289</c:v>
                </c:pt>
                <c:pt idx="135">
                  <c:v>6710</c:v>
                </c:pt>
                <c:pt idx="136">
                  <c:v>5393</c:v>
                </c:pt>
                <c:pt idx="137">
                  <c:v>15722</c:v>
                </c:pt>
                <c:pt idx="138">
                  <c:v>4945</c:v>
                </c:pt>
                <c:pt idx="139">
                  <c:v>17372</c:v>
                </c:pt>
                <c:pt idx="140">
                  <c:v>10779</c:v>
                </c:pt>
                <c:pt idx="141">
                  <c:v>10242</c:v>
                </c:pt>
                <c:pt idx="142">
                  <c:v>14352</c:v>
                </c:pt>
                <c:pt idx="143">
                  <c:v>13439</c:v>
                </c:pt>
                <c:pt idx="144">
                  <c:v>11316</c:v>
                </c:pt>
                <c:pt idx="145">
                  <c:v>15858</c:v>
                </c:pt>
                <c:pt idx="146">
                  <c:v>8534</c:v>
                </c:pt>
                <c:pt idx="147">
                  <c:v>9040</c:v>
                </c:pt>
                <c:pt idx="148">
                  <c:v>9172</c:v>
                </c:pt>
                <c:pt idx="149">
                  <c:v>11853</c:v>
                </c:pt>
                <c:pt idx="150">
                  <c:v>7946</c:v>
                </c:pt>
                <c:pt idx="151">
                  <c:v>10134</c:v>
                </c:pt>
                <c:pt idx="152">
                  <c:v>8182</c:v>
                </c:pt>
                <c:pt idx="153">
                  <c:v>12907</c:v>
                </c:pt>
                <c:pt idx="154">
                  <c:v>12322</c:v>
                </c:pt>
                <c:pt idx="155">
                  <c:v>14657</c:v>
                </c:pt>
                <c:pt idx="156">
                  <c:v>11612</c:v>
                </c:pt>
                <c:pt idx="157">
                  <c:v>13437</c:v>
                </c:pt>
                <c:pt idx="158">
                  <c:v>18197</c:v>
                </c:pt>
                <c:pt idx="159">
                  <c:v>12239</c:v>
                </c:pt>
                <c:pt idx="160">
                  <c:v>11228</c:v>
                </c:pt>
                <c:pt idx="161">
                  <c:v>13543</c:v>
                </c:pt>
                <c:pt idx="162">
                  <c:v>23147</c:v>
                </c:pt>
                <c:pt idx="163">
                  <c:v>14847</c:v>
                </c:pt>
                <c:pt idx="164">
                  <c:v>16115</c:v>
                </c:pt>
                <c:pt idx="165">
                  <c:v>14959</c:v>
                </c:pt>
                <c:pt idx="166">
                  <c:v>18044</c:v>
                </c:pt>
                <c:pt idx="167">
                  <c:v>4044</c:v>
                </c:pt>
                <c:pt idx="168">
                  <c:v>8323</c:v>
                </c:pt>
                <c:pt idx="169">
                  <c:v>12820</c:v>
                </c:pt>
                <c:pt idx="170">
                  <c:v>12830</c:v>
                </c:pt>
                <c:pt idx="171">
                  <c:v>14344</c:v>
                </c:pt>
                <c:pt idx="172">
                  <c:v>13982</c:v>
                </c:pt>
                <c:pt idx="173">
                  <c:v>16962</c:v>
                </c:pt>
                <c:pt idx="174">
                  <c:v>10756</c:v>
                </c:pt>
                <c:pt idx="175">
                  <c:v>7192</c:v>
                </c:pt>
                <c:pt idx="176">
                  <c:v>9631</c:v>
                </c:pt>
                <c:pt idx="177">
                  <c:v>16387</c:v>
                </c:pt>
                <c:pt idx="178">
                  <c:v>13011</c:v>
                </c:pt>
                <c:pt idx="179">
                  <c:v>8717</c:v>
                </c:pt>
                <c:pt idx="180">
                  <c:v>12257</c:v>
                </c:pt>
                <c:pt idx="181">
                  <c:v>10088</c:v>
                </c:pt>
                <c:pt idx="182">
                  <c:v>11454</c:v>
                </c:pt>
                <c:pt idx="183">
                  <c:v>16611</c:v>
                </c:pt>
                <c:pt idx="184">
                  <c:v>9077</c:v>
                </c:pt>
                <c:pt idx="185">
                  <c:v>15472</c:v>
                </c:pt>
                <c:pt idx="186">
                  <c:v>19847</c:v>
                </c:pt>
                <c:pt idx="187">
                  <c:v>11459</c:v>
                </c:pt>
                <c:pt idx="188">
                  <c:v>18870</c:v>
                </c:pt>
                <c:pt idx="189">
                  <c:v>19111</c:v>
                </c:pt>
                <c:pt idx="190">
                  <c:v>21129</c:v>
                </c:pt>
                <c:pt idx="191">
                  <c:v>16417</c:v>
                </c:pt>
                <c:pt idx="192">
                  <c:v>9897</c:v>
                </c:pt>
                <c:pt idx="193">
                  <c:v>10162</c:v>
                </c:pt>
                <c:pt idx="194">
                  <c:v>11761</c:v>
                </c:pt>
                <c:pt idx="195">
                  <c:v>15552</c:v>
                </c:pt>
                <c:pt idx="196">
                  <c:v>12492</c:v>
                </c:pt>
                <c:pt idx="197">
                  <c:v>18117</c:v>
                </c:pt>
                <c:pt idx="198">
                  <c:v>12058</c:v>
                </c:pt>
                <c:pt idx="199">
                  <c:v>12830</c:v>
                </c:pt>
                <c:pt idx="200">
                  <c:v>14568</c:v>
                </c:pt>
                <c:pt idx="201">
                  <c:v>16306</c:v>
                </c:pt>
                <c:pt idx="202">
                  <c:v>19782</c:v>
                </c:pt>
                <c:pt idx="203">
                  <c:v>12982</c:v>
                </c:pt>
                <c:pt idx="204">
                  <c:v>10935</c:v>
                </c:pt>
                <c:pt idx="205">
                  <c:v>11002</c:v>
                </c:pt>
                <c:pt idx="206">
                  <c:v>17068</c:v>
                </c:pt>
                <c:pt idx="207">
                  <c:v>13360</c:v>
                </c:pt>
                <c:pt idx="208">
                  <c:v>20672</c:v>
                </c:pt>
                <c:pt idx="209">
                  <c:v>10585</c:v>
                </c:pt>
                <c:pt idx="210">
                  <c:v>13501</c:v>
                </c:pt>
                <c:pt idx="211">
                  <c:v>12927</c:v>
                </c:pt>
                <c:pt idx="212">
                  <c:v>13464</c:v>
                </c:pt>
                <c:pt idx="213">
                  <c:v>15266</c:v>
                </c:pt>
                <c:pt idx="214">
                  <c:v>14563</c:v>
                </c:pt>
                <c:pt idx="215">
                  <c:v>14662</c:v>
                </c:pt>
                <c:pt idx="216">
                  <c:v>12043</c:v>
                </c:pt>
                <c:pt idx="217">
                  <c:v>17093</c:v>
                </c:pt>
                <c:pt idx="218">
                  <c:v>10615</c:v>
                </c:pt>
                <c:pt idx="219">
                  <c:v>10327</c:v>
                </c:pt>
                <c:pt idx="220">
                  <c:v>11577</c:v>
                </c:pt>
                <c:pt idx="221">
                  <c:v>12827</c:v>
                </c:pt>
                <c:pt idx="222">
                  <c:v>14077</c:v>
                </c:pt>
                <c:pt idx="223">
                  <c:v>9454</c:v>
                </c:pt>
                <c:pt idx="224">
                  <c:v>17667</c:v>
                </c:pt>
                <c:pt idx="225">
                  <c:v>15075</c:v>
                </c:pt>
                <c:pt idx="226">
                  <c:v>9469</c:v>
                </c:pt>
                <c:pt idx="227">
                  <c:v>14186</c:v>
                </c:pt>
              </c:numCache>
            </c:numRef>
          </c:xVal>
          <c:yVal>
            <c:numRef>
              <c:f>Wine!$AH$2:$AH$229</c:f>
              <c:numCache>
                <c:formatCode>General</c:formatCode>
                <c:ptCount val="228"/>
                <c:pt idx="0">
                  <c:v>0.95555555555555505</c:v>
                </c:pt>
                <c:pt idx="1">
                  <c:v>0.97777777777777697</c:v>
                </c:pt>
                <c:pt idx="2">
                  <c:v>0.95555555555555505</c:v>
                </c:pt>
                <c:pt idx="3">
                  <c:v>0.95555555555555505</c:v>
                </c:pt>
                <c:pt idx="4">
                  <c:v>0.95555555555555505</c:v>
                </c:pt>
                <c:pt idx="5">
                  <c:v>0.95555555555555505</c:v>
                </c:pt>
                <c:pt idx="6">
                  <c:v>0.95555555555555505</c:v>
                </c:pt>
                <c:pt idx="7">
                  <c:v>0.95555555555555505</c:v>
                </c:pt>
                <c:pt idx="8">
                  <c:v>0.95555555555555505</c:v>
                </c:pt>
                <c:pt idx="9">
                  <c:v>0.95555555555555505</c:v>
                </c:pt>
                <c:pt idx="10">
                  <c:v>0.95555555555555505</c:v>
                </c:pt>
                <c:pt idx="11">
                  <c:v>0.95555555555555505</c:v>
                </c:pt>
                <c:pt idx="12">
                  <c:v>0.95555555555555505</c:v>
                </c:pt>
                <c:pt idx="13">
                  <c:v>0.95555555555555505</c:v>
                </c:pt>
                <c:pt idx="14">
                  <c:v>1</c:v>
                </c:pt>
                <c:pt idx="15">
                  <c:v>0.95555555555555505</c:v>
                </c:pt>
                <c:pt idx="16">
                  <c:v>0.95555555555555505</c:v>
                </c:pt>
                <c:pt idx="17">
                  <c:v>1</c:v>
                </c:pt>
                <c:pt idx="18">
                  <c:v>0.95555555555555505</c:v>
                </c:pt>
                <c:pt idx="19">
                  <c:v>0.95555555555555505</c:v>
                </c:pt>
                <c:pt idx="20">
                  <c:v>0.95555555555555505</c:v>
                </c:pt>
                <c:pt idx="21">
                  <c:v>0.95555555555555505</c:v>
                </c:pt>
                <c:pt idx="22">
                  <c:v>0.95555555555555505</c:v>
                </c:pt>
                <c:pt idx="23">
                  <c:v>0.88888888888888795</c:v>
                </c:pt>
                <c:pt idx="24">
                  <c:v>0.88888888888888795</c:v>
                </c:pt>
                <c:pt idx="25">
                  <c:v>0.88888888888888795</c:v>
                </c:pt>
                <c:pt idx="26">
                  <c:v>0.95555555555555505</c:v>
                </c:pt>
                <c:pt idx="27">
                  <c:v>0.93333333333333302</c:v>
                </c:pt>
                <c:pt idx="28">
                  <c:v>1</c:v>
                </c:pt>
                <c:pt idx="29">
                  <c:v>0.93333333333333302</c:v>
                </c:pt>
                <c:pt idx="30">
                  <c:v>1</c:v>
                </c:pt>
                <c:pt idx="31">
                  <c:v>1</c:v>
                </c:pt>
                <c:pt idx="32">
                  <c:v>0.93333333333333302</c:v>
                </c:pt>
                <c:pt idx="33">
                  <c:v>0.93333333333333302</c:v>
                </c:pt>
                <c:pt idx="34">
                  <c:v>0.95555555555555505</c:v>
                </c:pt>
                <c:pt idx="35">
                  <c:v>0.95555555555555505</c:v>
                </c:pt>
                <c:pt idx="36">
                  <c:v>0.95555555555555505</c:v>
                </c:pt>
                <c:pt idx="37">
                  <c:v>0.95555555555555505</c:v>
                </c:pt>
                <c:pt idx="38">
                  <c:v>0.97777777777777697</c:v>
                </c:pt>
                <c:pt idx="39">
                  <c:v>0.95555555555555505</c:v>
                </c:pt>
                <c:pt idx="40">
                  <c:v>0.97777777777777697</c:v>
                </c:pt>
                <c:pt idx="41">
                  <c:v>0.95555555555555505</c:v>
                </c:pt>
                <c:pt idx="42">
                  <c:v>0.95555555555555505</c:v>
                </c:pt>
                <c:pt idx="43">
                  <c:v>0.95555555555555505</c:v>
                </c:pt>
                <c:pt idx="44">
                  <c:v>0.97777777777777697</c:v>
                </c:pt>
                <c:pt idx="45">
                  <c:v>0.95555555555555505</c:v>
                </c:pt>
                <c:pt idx="46">
                  <c:v>0.95555555555555505</c:v>
                </c:pt>
                <c:pt idx="47">
                  <c:v>0.95555555555555505</c:v>
                </c:pt>
                <c:pt idx="48">
                  <c:v>0.95555555555555505</c:v>
                </c:pt>
                <c:pt idx="49">
                  <c:v>0.95555555555555505</c:v>
                </c:pt>
                <c:pt idx="50">
                  <c:v>0.95555555555555505</c:v>
                </c:pt>
                <c:pt idx="51">
                  <c:v>0.95555555555555505</c:v>
                </c:pt>
                <c:pt idx="52">
                  <c:v>0.95555555555555505</c:v>
                </c:pt>
                <c:pt idx="53">
                  <c:v>0.91111111111111098</c:v>
                </c:pt>
                <c:pt idx="54">
                  <c:v>0.88888888888888795</c:v>
                </c:pt>
                <c:pt idx="55">
                  <c:v>0.88888888888888795</c:v>
                </c:pt>
                <c:pt idx="56">
                  <c:v>0.88888888888888795</c:v>
                </c:pt>
                <c:pt idx="57">
                  <c:v>0.88888888888888795</c:v>
                </c:pt>
                <c:pt idx="58">
                  <c:v>0.88888888888888795</c:v>
                </c:pt>
                <c:pt idx="59">
                  <c:v>0.88888888888888795</c:v>
                </c:pt>
                <c:pt idx="60">
                  <c:v>0.88888888888888795</c:v>
                </c:pt>
                <c:pt idx="61">
                  <c:v>0.88888888888888795</c:v>
                </c:pt>
                <c:pt idx="62">
                  <c:v>0.88888888888888795</c:v>
                </c:pt>
                <c:pt idx="63">
                  <c:v>0.88888888888888795</c:v>
                </c:pt>
                <c:pt idx="64">
                  <c:v>0.88888888888888795</c:v>
                </c:pt>
                <c:pt idx="65">
                  <c:v>0.88888888888888795</c:v>
                </c:pt>
                <c:pt idx="66">
                  <c:v>0.88888888888888795</c:v>
                </c:pt>
                <c:pt idx="67">
                  <c:v>0.88888888888888795</c:v>
                </c:pt>
                <c:pt idx="68">
                  <c:v>0.88888888888888795</c:v>
                </c:pt>
                <c:pt idx="69">
                  <c:v>0.88888888888888795</c:v>
                </c:pt>
                <c:pt idx="70">
                  <c:v>0.88888888888888795</c:v>
                </c:pt>
                <c:pt idx="71">
                  <c:v>0.88888888888888795</c:v>
                </c:pt>
                <c:pt idx="72">
                  <c:v>0.88888888888888795</c:v>
                </c:pt>
                <c:pt idx="73">
                  <c:v>1</c:v>
                </c:pt>
                <c:pt idx="74">
                  <c:v>0.97777777777777697</c:v>
                </c:pt>
                <c:pt idx="75">
                  <c:v>0.95555555555555505</c:v>
                </c:pt>
                <c:pt idx="76">
                  <c:v>0.95555555555555505</c:v>
                </c:pt>
                <c:pt idx="77">
                  <c:v>0.93333333333333302</c:v>
                </c:pt>
                <c:pt idx="78">
                  <c:v>0.95555555555555505</c:v>
                </c:pt>
                <c:pt idx="79">
                  <c:v>0.95555555555555505</c:v>
                </c:pt>
                <c:pt idx="80">
                  <c:v>0.97777777777777697</c:v>
                </c:pt>
                <c:pt idx="81">
                  <c:v>0.97777777777777697</c:v>
                </c:pt>
                <c:pt idx="82">
                  <c:v>0.88888888888888795</c:v>
                </c:pt>
                <c:pt idx="83">
                  <c:v>0.97777777777777697</c:v>
                </c:pt>
                <c:pt idx="84">
                  <c:v>0.97777777777777697</c:v>
                </c:pt>
                <c:pt idx="85">
                  <c:v>0.88888888888888795</c:v>
                </c:pt>
                <c:pt idx="86">
                  <c:v>0.88888888888888795</c:v>
                </c:pt>
                <c:pt idx="87">
                  <c:v>0.88888888888888795</c:v>
                </c:pt>
                <c:pt idx="88">
                  <c:v>0.88888888888888795</c:v>
                </c:pt>
                <c:pt idx="89">
                  <c:v>0.88888888888888795</c:v>
                </c:pt>
                <c:pt idx="90">
                  <c:v>0.88888888888888795</c:v>
                </c:pt>
                <c:pt idx="91">
                  <c:v>0.88888888888888795</c:v>
                </c:pt>
                <c:pt idx="92">
                  <c:v>0.88888888888888795</c:v>
                </c:pt>
                <c:pt idx="93">
                  <c:v>0.88888888888888795</c:v>
                </c:pt>
                <c:pt idx="94">
                  <c:v>0.88888888888888795</c:v>
                </c:pt>
                <c:pt idx="95">
                  <c:v>0.91111111111111098</c:v>
                </c:pt>
                <c:pt idx="96">
                  <c:v>0.88888888888888795</c:v>
                </c:pt>
                <c:pt idx="97">
                  <c:v>0.88888888888888795</c:v>
                </c:pt>
                <c:pt idx="98">
                  <c:v>1</c:v>
                </c:pt>
                <c:pt idx="99">
                  <c:v>1</c:v>
                </c:pt>
                <c:pt idx="100">
                  <c:v>0.97777777777777697</c:v>
                </c:pt>
                <c:pt idx="101">
                  <c:v>0.95555555555555505</c:v>
                </c:pt>
                <c:pt idx="102">
                  <c:v>0.95555555555555505</c:v>
                </c:pt>
                <c:pt idx="103">
                  <c:v>0.97777777777777697</c:v>
                </c:pt>
                <c:pt idx="104">
                  <c:v>0.97777777777777697</c:v>
                </c:pt>
                <c:pt idx="105">
                  <c:v>0.88888888888888795</c:v>
                </c:pt>
                <c:pt idx="106">
                  <c:v>0.91111111111111098</c:v>
                </c:pt>
                <c:pt idx="107">
                  <c:v>0.88888888888888795</c:v>
                </c:pt>
                <c:pt idx="108">
                  <c:v>0.95555555555555505</c:v>
                </c:pt>
                <c:pt idx="109">
                  <c:v>0.97777777777777697</c:v>
                </c:pt>
                <c:pt idx="110">
                  <c:v>0.95555555555555505</c:v>
                </c:pt>
                <c:pt idx="111">
                  <c:v>0.95555555555555505</c:v>
                </c:pt>
                <c:pt idx="112">
                  <c:v>0.88888888888888795</c:v>
                </c:pt>
                <c:pt idx="113">
                  <c:v>0.88888888888888795</c:v>
                </c:pt>
                <c:pt idx="114">
                  <c:v>0.88888888888888795</c:v>
                </c:pt>
                <c:pt idx="115">
                  <c:v>0.88888888888888795</c:v>
                </c:pt>
                <c:pt idx="116">
                  <c:v>0.88888888888888795</c:v>
                </c:pt>
                <c:pt idx="117">
                  <c:v>0.95555555555555505</c:v>
                </c:pt>
                <c:pt idx="118">
                  <c:v>0.97777777777777697</c:v>
                </c:pt>
                <c:pt idx="119">
                  <c:v>0.97777777777777697</c:v>
                </c:pt>
                <c:pt idx="120">
                  <c:v>0.88888888888888795</c:v>
                </c:pt>
                <c:pt idx="121">
                  <c:v>0.97777777777777697</c:v>
                </c:pt>
                <c:pt idx="122">
                  <c:v>0.97777777777777697</c:v>
                </c:pt>
                <c:pt idx="123">
                  <c:v>1</c:v>
                </c:pt>
                <c:pt idx="124">
                  <c:v>0.88888888888888795</c:v>
                </c:pt>
                <c:pt idx="125">
                  <c:v>0.95555555555555505</c:v>
                </c:pt>
                <c:pt idx="126">
                  <c:v>0.95555555555555505</c:v>
                </c:pt>
                <c:pt idx="127">
                  <c:v>1</c:v>
                </c:pt>
                <c:pt idx="128">
                  <c:v>0.95555555555555505</c:v>
                </c:pt>
                <c:pt idx="129">
                  <c:v>1</c:v>
                </c:pt>
                <c:pt idx="130">
                  <c:v>1</c:v>
                </c:pt>
                <c:pt idx="131">
                  <c:v>0.95555555555555505</c:v>
                </c:pt>
                <c:pt idx="132">
                  <c:v>0.95555555555555505</c:v>
                </c:pt>
                <c:pt idx="133">
                  <c:v>0.95555555555555505</c:v>
                </c:pt>
                <c:pt idx="134">
                  <c:v>0.91111111111111098</c:v>
                </c:pt>
                <c:pt idx="135">
                  <c:v>0.95555555555555505</c:v>
                </c:pt>
                <c:pt idx="136">
                  <c:v>0.97777777777777697</c:v>
                </c:pt>
                <c:pt idx="137">
                  <c:v>0.95555555555555505</c:v>
                </c:pt>
                <c:pt idx="138">
                  <c:v>0.95555555555555505</c:v>
                </c:pt>
                <c:pt idx="139">
                  <c:v>1</c:v>
                </c:pt>
                <c:pt idx="140">
                  <c:v>0.91111111111111098</c:v>
                </c:pt>
                <c:pt idx="141">
                  <c:v>0.95555555555555505</c:v>
                </c:pt>
                <c:pt idx="142">
                  <c:v>0.95555555555555505</c:v>
                </c:pt>
                <c:pt idx="143">
                  <c:v>0.93333333333333302</c:v>
                </c:pt>
                <c:pt idx="144">
                  <c:v>0.97777777777777697</c:v>
                </c:pt>
                <c:pt idx="145">
                  <c:v>0.97777777777777697</c:v>
                </c:pt>
                <c:pt idx="146">
                  <c:v>0.91111111111111098</c:v>
                </c:pt>
                <c:pt idx="147">
                  <c:v>0.97777777777777697</c:v>
                </c:pt>
                <c:pt idx="148">
                  <c:v>0.95555555555555505</c:v>
                </c:pt>
                <c:pt idx="149">
                  <c:v>0.93333333333333302</c:v>
                </c:pt>
                <c:pt idx="150">
                  <c:v>0.95555555555555505</c:v>
                </c:pt>
                <c:pt idx="151">
                  <c:v>0.97777777777777697</c:v>
                </c:pt>
                <c:pt idx="152">
                  <c:v>0.95555555555555505</c:v>
                </c:pt>
                <c:pt idx="153">
                  <c:v>0.97777777777777697</c:v>
                </c:pt>
                <c:pt idx="154">
                  <c:v>0.91111111111111098</c:v>
                </c:pt>
                <c:pt idx="155">
                  <c:v>0.93333333333333302</c:v>
                </c:pt>
                <c:pt idx="156">
                  <c:v>0.95555555555555505</c:v>
                </c:pt>
                <c:pt idx="157">
                  <c:v>0.95555555555555505</c:v>
                </c:pt>
                <c:pt idx="158">
                  <c:v>0.95555555555555505</c:v>
                </c:pt>
                <c:pt idx="159">
                  <c:v>0.97777777777777697</c:v>
                </c:pt>
                <c:pt idx="160">
                  <c:v>0.97777777777777697</c:v>
                </c:pt>
                <c:pt idx="161">
                  <c:v>0.97777777777777697</c:v>
                </c:pt>
                <c:pt idx="162">
                  <c:v>0.95555555555555505</c:v>
                </c:pt>
                <c:pt idx="163">
                  <c:v>0.91111111111111098</c:v>
                </c:pt>
                <c:pt idx="164">
                  <c:v>1</c:v>
                </c:pt>
                <c:pt idx="165">
                  <c:v>0.91111111111111098</c:v>
                </c:pt>
                <c:pt idx="166">
                  <c:v>0.93333333333333302</c:v>
                </c:pt>
                <c:pt idx="167">
                  <c:v>0.91111111111111098</c:v>
                </c:pt>
                <c:pt idx="168">
                  <c:v>0.95555555555555505</c:v>
                </c:pt>
                <c:pt idx="169">
                  <c:v>0.97777777777777697</c:v>
                </c:pt>
                <c:pt idx="170">
                  <c:v>0.97777777777777697</c:v>
                </c:pt>
                <c:pt idx="171">
                  <c:v>0.97777777777777697</c:v>
                </c:pt>
                <c:pt idx="172">
                  <c:v>0.93333333333333302</c:v>
                </c:pt>
                <c:pt idx="173">
                  <c:v>0.88888888888888795</c:v>
                </c:pt>
                <c:pt idx="174">
                  <c:v>1</c:v>
                </c:pt>
                <c:pt idx="175">
                  <c:v>0.95555555555555505</c:v>
                </c:pt>
                <c:pt idx="176">
                  <c:v>0.95555555555555505</c:v>
                </c:pt>
                <c:pt idx="177">
                  <c:v>0.93333333333333302</c:v>
                </c:pt>
                <c:pt idx="178">
                  <c:v>1</c:v>
                </c:pt>
                <c:pt idx="179">
                  <c:v>0.93333333333333302</c:v>
                </c:pt>
                <c:pt idx="180">
                  <c:v>0.95555555555555505</c:v>
                </c:pt>
                <c:pt idx="181">
                  <c:v>0.93333333333333302</c:v>
                </c:pt>
                <c:pt idx="182">
                  <c:v>0.95555555555555505</c:v>
                </c:pt>
                <c:pt idx="183">
                  <c:v>0.97777777777777697</c:v>
                </c:pt>
                <c:pt idx="184">
                  <c:v>0.97777777777777697</c:v>
                </c:pt>
                <c:pt idx="185">
                  <c:v>0.93333333333333302</c:v>
                </c:pt>
                <c:pt idx="186">
                  <c:v>0.88888888888888795</c:v>
                </c:pt>
                <c:pt idx="187">
                  <c:v>0.88888888888888795</c:v>
                </c:pt>
                <c:pt idx="188">
                  <c:v>1</c:v>
                </c:pt>
                <c:pt idx="189">
                  <c:v>0.91111111111111098</c:v>
                </c:pt>
                <c:pt idx="190">
                  <c:v>0.93333333333333302</c:v>
                </c:pt>
                <c:pt idx="191">
                  <c:v>0.93333333333333302</c:v>
                </c:pt>
                <c:pt idx="192">
                  <c:v>0.95555555555555505</c:v>
                </c:pt>
                <c:pt idx="193">
                  <c:v>0.93333333333333302</c:v>
                </c:pt>
                <c:pt idx="194">
                  <c:v>0.97777777777777697</c:v>
                </c:pt>
                <c:pt idx="195">
                  <c:v>0.97777777777777697</c:v>
                </c:pt>
                <c:pt idx="196">
                  <c:v>0.93333333333333302</c:v>
                </c:pt>
                <c:pt idx="197">
                  <c:v>0.91111111111111098</c:v>
                </c:pt>
                <c:pt idx="198">
                  <c:v>1</c:v>
                </c:pt>
                <c:pt idx="199">
                  <c:v>0.91111111111111098</c:v>
                </c:pt>
                <c:pt idx="200">
                  <c:v>0.91111111111111098</c:v>
                </c:pt>
                <c:pt idx="201">
                  <c:v>0.91111111111111098</c:v>
                </c:pt>
                <c:pt idx="202">
                  <c:v>0.95555555555555505</c:v>
                </c:pt>
                <c:pt idx="203">
                  <c:v>0.93333333333333302</c:v>
                </c:pt>
                <c:pt idx="204">
                  <c:v>0.97777777777777697</c:v>
                </c:pt>
                <c:pt idx="205">
                  <c:v>0.97777777777777697</c:v>
                </c:pt>
                <c:pt idx="206">
                  <c:v>1</c:v>
                </c:pt>
                <c:pt idx="207">
                  <c:v>1</c:v>
                </c:pt>
                <c:pt idx="208">
                  <c:v>0.95555555555555505</c:v>
                </c:pt>
                <c:pt idx="209">
                  <c:v>0.91111111111111098</c:v>
                </c:pt>
                <c:pt idx="210">
                  <c:v>0.91111111111111098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0.97777777777777697</c:v>
                </c:pt>
                <c:pt idx="216">
                  <c:v>0.91111111111111098</c:v>
                </c:pt>
                <c:pt idx="217">
                  <c:v>0.91111111111111098</c:v>
                </c:pt>
                <c:pt idx="218">
                  <c:v>0.97777777777777697</c:v>
                </c:pt>
                <c:pt idx="219">
                  <c:v>0.97777777777777697</c:v>
                </c:pt>
                <c:pt idx="220">
                  <c:v>0.93333333333333302</c:v>
                </c:pt>
                <c:pt idx="221">
                  <c:v>0.95555555555555505</c:v>
                </c:pt>
                <c:pt idx="222">
                  <c:v>0.88888888888888795</c:v>
                </c:pt>
                <c:pt idx="223">
                  <c:v>0.88888888888888795</c:v>
                </c:pt>
                <c:pt idx="224">
                  <c:v>0.97777777777777697</c:v>
                </c:pt>
                <c:pt idx="225">
                  <c:v>0.91111111111111098</c:v>
                </c:pt>
                <c:pt idx="226">
                  <c:v>0.93333333333333302</c:v>
                </c:pt>
                <c:pt idx="227">
                  <c:v>0.97777777777777697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20-4E95-A8D9-F166320BC4EA}"/>
            </c:ext>
          </c:extLst>
        </c:ser>
        <c:ser>
          <c:idx val="2"/>
          <c:order val="2"/>
          <c:tx>
            <c:strRef>
              <c:f>Wine!$AI$1</c:f>
              <c:strCache>
                <c:ptCount val="1"/>
                <c:pt idx="0">
                  <c:v>acc MLP max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Wine!$AF$2:$AF$229</c:f>
              <c:numCache>
                <c:formatCode>General</c:formatCode>
                <c:ptCount val="228"/>
                <c:pt idx="0">
                  <c:v>4930</c:v>
                </c:pt>
                <c:pt idx="1">
                  <c:v>5975</c:v>
                </c:pt>
                <c:pt idx="2">
                  <c:v>2929</c:v>
                </c:pt>
                <c:pt idx="3">
                  <c:v>5608</c:v>
                </c:pt>
                <c:pt idx="4">
                  <c:v>6783</c:v>
                </c:pt>
                <c:pt idx="5">
                  <c:v>7958</c:v>
                </c:pt>
                <c:pt idx="6">
                  <c:v>7591</c:v>
                </c:pt>
                <c:pt idx="7">
                  <c:v>8896</c:v>
                </c:pt>
                <c:pt idx="8">
                  <c:v>6964</c:v>
                </c:pt>
                <c:pt idx="9">
                  <c:v>8399</c:v>
                </c:pt>
                <c:pt idx="10">
                  <c:v>7642</c:v>
                </c:pt>
                <c:pt idx="11">
                  <c:v>8812</c:v>
                </c:pt>
                <c:pt idx="12">
                  <c:v>10617</c:v>
                </c:pt>
                <c:pt idx="13">
                  <c:v>6815</c:v>
                </c:pt>
                <c:pt idx="14">
                  <c:v>8260</c:v>
                </c:pt>
                <c:pt idx="15">
                  <c:v>4049</c:v>
                </c:pt>
                <c:pt idx="16">
                  <c:v>7753</c:v>
                </c:pt>
                <c:pt idx="17">
                  <c:v>11003</c:v>
                </c:pt>
                <c:pt idx="18">
                  <c:v>5494</c:v>
                </c:pt>
                <c:pt idx="19">
                  <c:v>10567</c:v>
                </c:pt>
                <c:pt idx="20">
                  <c:v>12732</c:v>
                </c:pt>
                <c:pt idx="21">
                  <c:v>6939</c:v>
                </c:pt>
                <c:pt idx="22">
                  <c:v>4721</c:v>
                </c:pt>
                <c:pt idx="23">
                  <c:v>12257</c:v>
                </c:pt>
                <c:pt idx="24">
                  <c:v>11152</c:v>
                </c:pt>
                <c:pt idx="25">
                  <c:v>13437</c:v>
                </c:pt>
                <c:pt idx="26">
                  <c:v>6061</c:v>
                </c:pt>
                <c:pt idx="27">
                  <c:v>7346</c:v>
                </c:pt>
                <c:pt idx="28">
                  <c:v>8631</c:v>
                </c:pt>
                <c:pt idx="29">
                  <c:v>3601</c:v>
                </c:pt>
                <c:pt idx="30">
                  <c:v>8340</c:v>
                </c:pt>
                <c:pt idx="31">
                  <c:v>9785</c:v>
                </c:pt>
                <c:pt idx="32">
                  <c:v>4886</c:v>
                </c:pt>
                <c:pt idx="33">
                  <c:v>6171</c:v>
                </c:pt>
                <c:pt idx="34">
                  <c:v>2316</c:v>
                </c:pt>
                <c:pt idx="35">
                  <c:v>5798</c:v>
                </c:pt>
                <c:pt idx="36">
                  <c:v>7323</c:v>
                </c:pt>
                <c:pt idx="37">
                  <c:v>7020</c:v>
                </c:pt>
                <c:pt idx="38">
                  <c:v>6286</c:v>
                </c:pt>
                <c:pt idx="39">
                  <c:v>9834</c:v>
                </c:pt>
                <c:pt idx="40">
                  <c:v>3974</c:v>
                </c:pt>
                <c:pt idx="41">
                  <c:v>9207</c:v>
                </c:pt>
                <c:pt idx="42">
                  <c:v>10772</c:v>
                </c:pt>
                <c:pt idx="43">
                  <c:v>1884</c:v>
                </c:pt>
                <c:pt idx="44">
                  <c:v>8094</c:v>
                </c:pt>
                <c:pt idx="45">
                  <c:v>11340</c:v>
                </c:pt>
                <c:pt idx="46">
                  <c:v>12422</c:v>
                </c:pt>
                <c:pt idx="47">
                  <c:v>9705</c:v>
                </c:pt>
                <c:pt idx="48">
                  <c:v>9378</c:v>
                </c:pt>
                <c:pt idx="49">
                  <c:v>9629</c:v>
                </c:pt>
                <c:pt idx="50">
                  <c:v>11614</c:v>
                </c:pt>
                <c:pt idx="51">
                  <c:v>14897</c:v>
                </c:pt>
                <c:pt idx="52">
                  <c:v>2604</c:v>
                </c:pt>
                <c:pt idx="53">
                  <c:v>8717</c:v>
                </c:pt>
                <c:pt idx="54">
                  <c:v>8182</c:v>
                </c:pt>
                <c:pt idx="55">
                  <c:v>9172</c:v>
                </c:pt>
                <c:pt idx="56">
                  <c:v>12982</c:v>
                </c:pt>
                <c:pt idx="57">
                  <c:v>14352</c:v>
                </c:pt>
                <c:pt idx="58">
                  <c:v>5798</c:v>
                </c:pt>
                <c:pt idx="59">
                  <c:v>7323</c:v>
                </c:pt>
                <c:pt idx="60">
                  <c:v>10088</c:v>
                </c:pt>
                <c:pt idx="61">
                  <c:v>11853</c:v>
                </c:pt>
                <c:pt idx="62">
                  <c:v>11454</c:v>
                </c:pt>
                <c:pt idx="63">
                  <c:v>10615</c:v>
                </c:pt>
                <c:pt idx="64">
                  <c:v>12820</c:v>
                </c:pt>
                <c:pt idx="65">
                  <c:v>15025</c:v>
                </c:pt>
                <c:pt idx="66">
                  <c:v>11761</c:v>
                </c:pt>
                <c:pt idx="67">
                  <c:v>14186</c:v>
                </c:pt>
                <c:pt idx="68">
                  <c:v>16611</c:v>
                </c:pt>
                <c:pt idx="69">
                  <c:v>12907</c:v>
                </c:pt>
                <c:pt idx="70">
                  <c:v>15552</c:v>
                </c:pt>
                <c:pt idx="71">
                  <c:v>3180</c:v>
                </c:pt>
                <c:pt idx="72">
                  <c:v>3612</c:v>
                </c:pt>
                <c:pt idx="73">
                  <c:v>7729</c:v>
                </c:pt>
                <c:pt idx="74">
                  <c:v>10939</c:v>
                </c:pt>
                <c:pt idx="75">
                  <c:v>8563</c:v>
                </c:pt>
                <c:pt idx="76">
                  <c:v>9397</c:v>
                </c:pt>
                <c:pt idx="77">
                  <c:v>11322</c:v>
                </c:pt>
                <c:pt idx="78">
                  <c:v>13247</c:v>
                </c:pt>
                <c:pt idx="79">
                  <c:v>4273</c:v>
                </c:pt>
                <c:pt idx="80">
                  <c:v>5019</c:v>
                </c:pt>
                <c:pt idx="81">
                  <c:v>9176</c:v>
                </c:pt>
                <c:pt idx="82">
                  <c:v>10258</c:v>
                </c:pt>
                <c:pt idx="83">
                  <c:v>2172</c:v>
                </c:pt>
                <c:pt idx="84">
                  <c:v>8691</c:v>
                </c:pt>
                <c:pt idx="85">
                  <c:v>7192</c:v>
                </c:pt>
                <c:pt idx="86">
                  <c:v>9897</c:v>
                </c:pt>
                <c:pt idx="87">
                  <c:v>11612</c:v>
                </c:pt>
                <c:pt idx="88">
                  <c:v>10162</c:v>
                </c:pt>
                <c:pt idx="89">
                  <c:v>15722</c:v>
                </c:pt>
                <c:pt idx="90">
                  <c:v>2748</c:v>
                </c:pt>
                <c:pt idx="91">
                  <c:v>8323</c:v>
                </c:pt>
                <c:pt idx="92">
                  <c:v>9469</c:v>
                </c:pt>
                <c:pt idx="93">
                  <c:v>6710</c:v>
                </c:pt>
                <c:pt idx="94">
                  <c:v>18197</c:v>
                </c:pt>
                <c:pt idx="95">
                  <c:v>8475</c:v>
                </c:pt>
                <c:pt idx="96">
                  <c:v>7622</c:v>
                </c:pt>
                <c:pt idx="97">
                  <c:v>9627</c:v>
                </c:pt>
                <c:pt idx="98">
                  <c:v>6895</c:v>
                </c:pt>
                <c:pt idx="99">
                  <c:v>9334</c:v>
                </c:pt>
                <c:pt idx="100">
                  <c:v>10328</c:v>
                </c:pt>
                <c:pt idx="101">
                  <c:v>12093</c:v>
                </c:pt>
                <c:pt idx="102">
                  <c:v>2748</c:v>
                </c:pt>
                <c:pt idx="103">
                  <c:v>6889</c:v>
                </c:pt>
                <c:pt idx="104">
                  <c:v>7821</c:v>
                </c:pt>
                <c:pt idx="105">
                  <c:v>8753</c:v>
                </c:pt>
                <c:pt idx="106">
                  <c:v>8030</c:v>
                </c:pt>
                <c:pt idx="107">
                  <c:v>9685</c:v>
                </c:pt>
                <c:pt idx="108">
                  <c:v>10496</c:v>
                </c:pt>
                <c:pt idx="109">
                  <c:v>12301</c:v>
                </c:pt>
                <c:pt idx="110">
                  <c:v>13599</c:v>
                </c:pt>
                <c:pt idx="111">
                  <c:v>6406</c:v>
                </c:pt>
                <c:pt idx="112">
                  <c:v>10242</c:v>
                </c:pt>
                <c:pt idx="113">
                  <c:v>4273</c:v>
                </c:pt>
                <c:pt idx="114">
                  <c:v>4945</c:v>
                </c:pt>
                <c:pt idx="115">
                  <c:v>13439</c:v>
                </c:pt>
                <c:pt idx="116">
                  <c:v>5617</c:v>
                </c:pt>
                <c:pt idx="117">
                  <c:v>8475</c:v>
                </c:pt>
                <c:pt idx="118">
                  <c:v>5684</c:v>
                </c:pt>
                <c:pt idx="119">
                  <c:v>6466</c:v>
                </c:pt>
                <c:pt idx="120">
                  <c:v>7248</c:v>
                </c:pt>
                <c:pt idx="121">
                  <c:v>4582</c:v>
                </c:pt>
                <c:pt idx="122">
                  <c:v>5787</c:v>
                </c:pt>
                <c:pt idx="123">
                  <c:v>3036</c:v>
                </c:pt>
                <c:pt idx="124">
                  <c:v>11077</c:v>
                </c:pt>
                <c:pt idx="125">
                  <c:v>3377</c:v>
                </c:pt>
                <c:pt idx="126">
                  <c:v>8091</c:v>
                </c:pt>
                <c:pt idx="127">
                  <c:v>3468</c:v>
                </c:pt>
                <c:pt idx="128">
                  <c:v>3180</c:v>
                </c:pt>
                <c:pt idx="129">
                  <c:v>7318</c:v>
                </c:pt>
                <c:pt idx="130">
                  <c:v>9243</c:v>
                </c:pt>
                <c:pt idx="131">
                  <c:v>11152</c:v>
                </c:pt>
                <c:pt idx="132">
                  <c:v>15025</c:v>
                </c:pt>
                <c:pt idx="133">
                  <c:v>11077</c:v>
                </c:pt>
                <c:pt idx="134">
                  <c:v>6289</c:v>
                </c:pt>
                <c:pt idx="135">
                  <c:v>6710</c:v>
                </c:pt>
                <c:pt idx="136">
                  <c:v>5393</c:v>
                </c:pt>
                <c:pt idx="137">
                  <c:v>15722</c:v>
                </c:pt>
                <c:pt idx="138">
                  <c:v>4945</c:v>
                </c:pt>
                <c:pt idx="139">
                  <c:v>17372</c:v>
                </c:pt>
                <c:pt idx="140">
                  <c:v>10779</c:v>
                </c:pt>
                <c:pt idx="141">
                  <c:v>10242</c:v>
                </c:pt>
                <c:pt idx="142">
                  <c:v>14352</c:v>
                </c:pt>
                <c:pt idx="143">
                  <c:v>13439</c:v>
                </c:pt>
                <c:pt idx="144">
                  <c:v>11316</c:v>
                </c:pt>
                <c:pt idx="145">
                  <c:v>15858</c:v>
                </c:pt>
                <c:pt idx="146">
                  <c:v>8534</c:v>
                </c:pt>
                <c:pt idx="147">
                  <c:v>9040</c:v>
                </c:pt>
                <c:pt idx="148">
                  <c:v>9172</c:v>
                </c:pt>
                <c:pt idx="149">
                  <c:v>11853</c:v>
                </c:pt>
                <c:pt idx="150">
                  <c:v>7946</c:v>
                </c:pt>
                <c:pt idx="151">
                  <c:v>10134</c:v>
                </c:pt>
                <c:pt idx="152">
                  <c:v>8182</c:v>
                </c:pt>
                <c:pt idx="153">
                  <c:v>12907</c:v>
                </c:pt>
                <c:pt idx="154">
                  <c:v>12322</c:v>
                </c:pt>
                <c:pt idx="155">
                  <c:v>14657</c:v>
                </c:pt>
                <c:pt idx="156">
                  <c:v>11612</c:v>
                </c:pt>
                <c:pt idx="157">
                  <c:v>13437</c:v>
                </c:pt>
                <c:pt idx="158">
                  <c:v>18197</c:v>
                </c:pt>
                <c:pt idx="159">
                  <c:v>12239</c:v>
                </c:pt>
                <c:pt idx="160">
                  <c:v>11228</c:v>
                </c:pt>
                <c:pt idx="161">
                  <c:v>13543</c:v>
                </c:pt>
                <c:pt idx="162">
                  <c:v>23147</c:v>
                </c:pt>
                <c:pt idx="163">
                  <c:v>14847</c:v>
                </c:pt>
                <c:pt idx="164">
                  <c:v>16115</c:v>
                </c:pt>
                <c:pt idx="165">
                  <c:v>14959</c:v>
                </c:pt>
                <c:pt idx="166">
                  <c:v>18044</c:v>
                </c:pt>
                <c:pt idx="167">
                  <c:v>4044</c:v>
                </c:pt>
                <c:pt idx="168">
                  <c:v>8323</c:v>
                </c:pt>
                <c:pt idx="169">
                  <c:v>12820</c:v>
                </c:pt>
                <c:pt idx="170">
                  <c:v>12830</c:v>
                </c:pt>
                <c:pt idx="171">
                  <c:v>14344</c:v>
                </c:pt>
                <c:pt idx="172">
                  <c:v>13982</c:v>
                </c:pt>
                <c:pt idx="173">
                  <c:v>16962</c:v>
                </c:pt>
                <c:pt idx="174">
                  <c:v>10756</c:v>
                </c:pt>
                <c:pt idx="175">
                  <c:v>7192</c:v>
                </c:pt>
                <c:pt idx="176">
                  <c:v>9631</c:v>
                </c:pt>
                <c:pt idx="177">
                  <c:v>16387</c:v>
                </c:pt>
                <c:pt idx="178">
                  <c:v>13011</c:v>
                </c:pt>
                <c:pt idx="179">
                  <c:v>8717</c:v>
                </c:pt>
                <c:pt idx="180">
                  <c:v>12257</c:v>
                </c:pt>
                <c:pt idx="181">
                  <c:v>10088</c:v>
                </c:pt>
                <c:pt idx="182">
                  <c:v>11454</c:v>
                </c:pt>
                <c:pt idx="183">
                  <c:v>16611</c:v>
                </c:pt>
                <c:pt idx="184">
                  <c:v>9077</c:v>
                </c:pt>
                <c:pt idx="185">
                  <c:v>15472</c:v>
                </c:pt>
                <c:pt idx="186">
                  <c:v>19847</c:v>
                </c:pt>
                <c:pt idx="187">
                  <c:v>11459</c:v>
                </c:pt>
                <c:pt idx="188">
                  <c:v>18870</c:v>
                </c:pt>
                <c:pt idx="189">
                  <c:v>19111</c:v>
                </c:pt>
                <c:pt idx="190">
                  <c:v>21129</c:v>
                </c:pt>
                <c:pt idx="191">
                  <c:v>16417</c:v>
                </c:pt>
                <c:pt idx="192">
                  <c:v>9897</c:v>
                </c:pt>
                <c:pt idx="193">
                  <c:v>10162</c:v>
                </c:pt>
                <c:pt idx="194">
                  <c:v>11761</c:v>
                </c:pt>
                <c:pt idx="195">
                  <c:v>15552</c:v>
                </c:pt>
                <c:pt idx="196">
                  <c:v>12492</c:v>
                </c:pt>
                <c:pt idx="197">
                  <c:v>18117</c:v>
                </c:pt>
                <c:pt idx="198">
                  <c:v>12058</c:v>
                </c:pt>
                <c:pt idx="199">
                  <c:v>12830</c:v>
                </c:pt>
                <c:pt idx="200">
                  <c:v>14568</c:v>
                </c:pt>
                <c:pt idx="201">
                  <c:v>16306</c:v>
                </c:pt>
                <c:pt idx="202">
                  <c:v>19782</c:v>
                </c:pt>
                <c:pt idx="203">
                  <c:v>12982</c:v>
                </c:pt>
                <c:pt idx="204">
                  <c:v>10935</c:v>
                </c:pt>
                <c:pt idx="205">
                  <c:v>11002</c:v>
                </c:pt>
                <c:pt idx="206">
                  <c:v>17068</c:v>
                </c:pt>
                <c:pt idx="207">
                  <c:v>13360</c:v>
                </c:pt>
                <c:pt idx="208">
                  <c:v>20672</c:v>
                </c:pt>
                <c:pt idx="209">
                  <c:v>10585</c:v>
                </c:pt>
                <c:pt idx="210">
                  <c:v>13501</c:v>
                </c:pt>
                <c:pt idx="211">
                  <c:v>12927</c:v>
                </c:pt>
                <c:pt idx="212">
                  <c:v>13464</c:v>
                </c:pt>
                <c:pt idx="213">
                  <c:v>15266</c:v>
                </c:pt>
                <c:pt idx="214">
                  <c:v>14563</c:v>
                </c:pt>
                <c:pt idx="215">
                  <c:v>14662</c:v>
                </c:pt>
                <c:pt idx="216">
                  <c:v>12043</c:v>
                </c:pt>
                <c:pt idx="217">
                  <c:v>17093</c:v>
                </c:pt>
                <c:pt idx="218">
                  <c:v>10615</c:v>
                </c:pt>
                <c:pt idx="219">
                  <c:v>10327</c:v>
                </c:pt>
                <c:pt idx="220">
                  <c:v>11577</c:v>
                </c:pt>
                <c:pt idx="221">
                  <c:v>12827</c:v>
                </c:pt>
                <c:pt idx="222">
                  <c:v>14077</c:v>
                </c:pt>
                <c:pt idx="223">
                  <c:v>9454</c:v>
                </c:pt>
                <c:pt idx="224">
                  <c:v>17667</c:v>
                </c:pt>
                <c:pt idx="225">
                  <c:v>15075</c:v>
                </c:pt>
                <c:pt idx="226">
                  <c:v>9469</c:v>
                </c:pt>
                <c:pt idx="227">
                  <c:v>14186</c:v>
                </c:pt>
              </c:numCache>
            </c:numRef>
          </c:xVal>
          <c:yVal>
            <c:numRef>
              <c:f>Wine!$AI$2:$AI$229</c:f>
              <c:numCache>
                <c:formatCode>General</c:formatCode>
                <c:ptCount val="228"/>
                <c:pt idx="0">
                  <c:v>0.97777777777777697</c:v>
                </c:pt>
                <c:pt idx="1">
                  <c:v>0.95555555555555505</c:v>
                </c:pt>
                <c:pt idx="2">
                  <c:v>0.95555555555555505</c:v>
                </c:pt>
                <c:pt idx="3">
                  <c:v>0.95555555555555505</c:v>
                </c:pt>
                <c:pt idx="4">
                  <c:v>0.95555555555555505</c:v>
                </c:pt>
                <c:pt idx="5">
                  <c:v>0.95555555555555505</c:v>
                </c:pt>
                <c:pt idx="6">
                  <c:v>0.95555555555555505</c:v>
                </c:pt>
                <c:pt idx="7">
                  <c:v>0.95555555555555505</c:v>
                </c:pt>
                <c:pt idx="8">
                  <c:v>0.95555555555555505</c:v>
                </c:pt>
                <c:pt idx="9">
                  <c:v>0.95555555555555505</c:v>
                </c:pt>
                <c:pt idx="10">
                  <c:v>0.93333333333333302</c:v>
                </c:pt>
                <c:pt idx="11">
                  <c:v>0.28888888888888797</c:v>
                </c:pt>
                <c:pt idx="12">
                  <c:v>0.28888888888888797</c:v>
                </c:pt>
                <c:pt idx="13">
                  <c:v>0.28888888888888797</c:v>
                </c:pt>
                <c:pt idx="14">
                  <c:v>0.28888888888888797</c:v>
                </c:pt>
                <c:pt idx="15">
                  <c:v>0.28888888888888797</c:v>
                </c:pt>
                <c:pt idx="16">
                  <c:v>0.28888888888888797</c:v>
                </c:pt>
                <c:pt idx="17">
                  <c:v>0.28888888888888797</c:v>
                </c:pt>
                <c:pt idx="18">
                  <c:v>0.28888888888888797</c:v>
                </c:pt>
                <c:pt idx="19">
                  <c:v>0.28888888888888797</c:v>
                </c:pt>
                <c:pt idx="20">
                  <c:v>0.28888888888888797</c:v>
                </c:pt>
                <c:pt idx="21">
                  <c:v>0.28888888888888797</c:v>
                </c:pt>
                <c:pt idx="22">
                  <c:v>0.28888888888888797</c:v>
                </c:pt>
                <c:pt idx="23">
                  <c:v>0.82222222222222197</c:v>
                </c:pt>
                <c:pt idx="24">
                  <c:v>0.88888888888888795</c:v>
                </c:pt>
                <c:pt idx="25">
                  <c:v>0.88888888888888795</c:v>
                </c:pt>
                <c:pt idx="26">
                  <c:v>0.93333333333333302</c:v>
                </c:pt>
                <c:pt idx="27">
                  <c:v>0.93333333333333302</c:v>
                </c:pt>
                <c:pt idx="28">
                  <c:v>1</c:v>
                </c:pt>
                <c:pt idx="29">
                  <c:v>0.95555555555555505</c:v>
                </c:pt>
                <c:pt idx="30">
                  <c:v>1</c:v>
                </c:pt>
                <c:pt idx="31">
                  <c:v>0.97777777777777697</c:v>
                </c:pt>
                <c:pt idx="32">
                  <c:v>0.93333333333333302</c:v>
                </c:pt>
                <c:pt idx="33">
                  <c:v>0.93333333333333302</c:v>
                </c:pt>
                <c:pt idx="34">
                  <c:v>0.97777777777777697</c:v>
                </c:pt>
                <c:pt idx="35">
                  <c:v>0.95555555555555505</c:v>
                </c:pt>
                <c:pt idx="36">
                  <c:v>0.95555555555555505</c:v>
                </c:pt>
                <c:pt idx="37">
                  <c:v>0.95555555555555505</c:v>
                </c:pt>
                <c:pt idx="38">
                  <c:v>0.95555555555555505</c:v>
                </c:pt>
                <c:pt idx="39">
                  <c:v>0.97777777777777697</c:v>
                </c:pt>
                <c:pt idx="40">
                  <c:v>0.95555555555555505</c:v>
                </c:pt>
                <c:pt idx="41">
                  <c:v>0.95555555555555505</c:v>
                </c:pt>
                <c:pt idx="42">
                  <c:v>0.95555555555555505</c:v>
                </c:pt>
                <c:pt idx="43">
                  <c:v>0.95555555555555505</c:v>
                </c:pt>
                <c:pt idx="44">
                  <c:v>0.28888888888888797</c:v>
                </c:pt>
                <c:pt idx="45">
                  <c:v>0.91111111111111098</c:v>
                </c:pt>
                <c:pt idx="46">
                  <c:v>0.28888888888888797</c:v>
                </c:pt>
                <c:pt idx="47">
                  <c:v>0.28888888888888797</c:v>
                </c:pt>
                <c:pt idx="48">
                  <c:v>0.28888888888888797</c:v>
                </c:pt>
                <c:pt idx="49">
                  <c:v>0.28888888888888797</c:v>
                </c:pt>
                <c:pt idx="50">
                  <c:v>0.28888888888888797</c:v>
                </c:pt>
                <c:pt idx="51">
                  <c:v>0.31111111111111101</c:v>
                </c:pt>
                <c:pt idx="52">
                  <c:v>0.28888888888888797</c:v>
                </c:pt>
                <c:pt idx="53">
                  <c:v>0.86666666666666603</c:v>
                </c:pt>
                <c:pt idx="54">
                  <c:v>0.75555555555555498</c:v>
                </c:pt>
                <c:pt idx="55">
                  <c:v>0.88888888888888795</c:v>
                </c:pt>
                <c:pt idx="56">
                  <c:v>0.82222222222222197</c:v>
                </c:pt>
                <c:pt idx="57">
                  <c:v>0.88888888888888795</c:v>
                </c:pt>
                <c:pt idx="58">
                  <c:v>0.62222222222222201</c:v>
                </c:pt>
                <c:pt idx="59">
                  <c:v>0.688888888888888</c:v>
                </c:pt>
                <c:pt idx="60">
                  <c:v>0.88888888888888795</c:v>
                </c:pt>
                <c:pt idx="61">
                  <c:v>0.88888888888888795</c:v>
                </c:pt>
                <c:pt idx="62">
                  <c:v>0.82222222222222197</c:v>
                </c:pt>
                <c:pt idx="63">
                  <c:v>0.86666666666666603</c:v>
                </c:pt>
                <c:pt idx="64">
                  <c:v>0.88888888888888795</c:v>
                </c:pt>
                <c:pt idx="65">
                  <c:v>0.86666666666666603</c:v>
                </c:pt>
                <c:pt idx="66">
                  <c:v>0.88888888888888795</c:v>
                </c:pt>
                <c:pt idx="67">
                  <c:v>0.88888888888888795</c:v>
                </c:pt>
                <c:pt idx="68">
                  <c:v>0.88888888888888795</c:v>
                </c:pt>
                <c:pt idx="69">
                  <c:v>0.88888888888888795</c:v>
                </c:pt>
                <c:pt idx="70">
                  <c:v>0.88888888888888795</c:v>
                </c:pt>
                <c:pt idx="71">
                  <c:v>0.6</c:v>
                </c:pt>
                <c:pt idx="72">
                  <c:v>0.6</c:v>
                </c:pt>
                <c:pt idx="73">
                  <c:v>1</c:v>
                </c:pt>
                <c:pt idx="74">
                  <c:v>0.97777777777777697</c:v>
                </c:pt>
                <c:pt idx="75">
                  <c:v>0.95555555555555505</c:v>
                </c:pt>
                <c:pt idx="76">
                  <c:v>0.95555555555555505</c:v>
                </c:pt>
                <c:pt idx="77">
                  <c:v>0.95555555555555505</c:v>
                </c:pt>
                <c:pt idx="78">
                  <c:v>0.95555555555555505</c:v>
                </c:pt>
                <c:pt idx="79">
                  <c:v>0.95555555555555505</c:v>
                </c:pt>
                <c:pt idx="80">
                  <c:v>0.97777777777777697</c:v>
                </c:pt>
                <c:pt idx="81">
                  <c:v>0.88888888888888795</c:v>
                </c:pt>
                <c:pt idx="82">
                  <c:v>0.88888888888888795</c:v>
                </c:pt>
                <c:pt idx="83">
                  <c:v>0.28888888888888797</c:v>
                </c:pt>
                <c:pt idx="84">
                  <c:v>0.28888888888888797</c:v>
                </c:pt>
                <c:pt idx="85">
                  <c:v>0.8</c:v>
                </c:pt>
                <c:pt idx="86">
                  <c:v>0.88888888888888795</c:v>
                </c:pt>
                <c:pt idx="87">
                  <c:v>0.88888888888888795</c:v>
                </c:pt>
                <c:pt idx="88">
                  <c:v>0.86666666666666603</c:v>
                </c:pt>
                <c:pt idx="89">
                  <c:v>0.86666666666666603</c:v>
                </c:pt>
                <c:pt idx="90">
                  <c:v>0.6</c:v>
                </c:pt>
                <c:pt idx="91">
                  <c:v>0.86666666666666603</c:v>
                </c:pt>
                <c:pt idx="92">
                  <c:v>0.82222222222222197</c:v>
                </c:pt>
                <c:pt idx="93">
                  <c:v>0.62222222222222201</c:v>
                </c:pt>
                <c:pt idx="94">
                  <c:v>0.88888888888888795</c:v>
                </c:pt>
                <c:pt idx="95">
                  <c:v>0.688888888888888</c:v>
                </c:pt>
                <c:pt idx="96">
                  <c:v>0.88888888888888795</c:v>
                </c:pt>
                <c:pt idx="97">
                  <c:v>0.82222222222222197</c:v>
                </c:pt>
                <c:pt idx="98">
                  <c:v>1</c:v>
                </c:pt>
                <c:pt idx="99">
                  <c:v>1</c:v>
                </c:pt>
                <c:pt idx="100">
                  <c:v>0.95555555555555505</c:v>
                </c:pt>
                <c:pt idx="101">
                  <c:v>0.95555555555555505</c:v>
                </c:pt>
                <c:pt idx="102">
                  <c:v>0.95555555555555505</c:v>
                </c:pt>
                <c:pt idx="103">
                  <c:v>0.28888888888888797</c:v>
                </c:pt>
                <c:pt idx="104">
                  <c:v>0.28888888888888797</c:v>
                </c:pt>
                <c:pt idx="105">
                  <c:v>0.91111111111111098</c:v>
                </c:pt>
                <c:pt idx="106">
                  <c:v>0.88888888888888795</c:v>
                </c:pt>
                <c:pt idx="107">
                  <c:v>0.88888888888888795</c:v>
                </c:pt>
                <c:pt idx="108">
                  <c:v>0.28888888888888797</c:v>
                </c:pt>
                <c:pt idx="109">
                  <c:v>0.28888888888888797</c:v>
                </c:pt>
                <c:pt idx="110">
                  <c:v>0.28888888888888797</c:v>
                </c:pt>
                <c:pt idx="111">
                  <c:v>0.28888888888888797</c:v>
                </c:pt>
                <c:pt idx="112">
                  <c:v>0.86666666666666603</c:v>
                </c:pt>
                <c:pt idx="113">
                  <c:v>0.62222222222222201</c:v>
                </c:pt>
                <c:pt idx="114">
                  <c:v>0.71111111111111103</c:v>
                </c:pt>
                <c:pt idx="115">
                  <c:v>0.86666666666666603</c:v>
                </c:pt>
                <c:pt idx="116">
                  <c:v>0.844444444444444</c:v>
                </c:pt>
                <c:pt idx="117">
                  <c:v>0.95555555555555505</c:v>
                </c:pt>
                <c:pt idx="118">
                  <c:v>0.28888888888888797</c:v>
                </c:pt>
                <c:pt idx="119">
                  <c:v>0.28888888888888797</c:v>
                </c:pt>
                <c:pt idx="120">
                  <c:v>0.91111111111111098</c:v>
                </c:pt>
                <c:pt idx="121">
                  <c:v>0.28888888888888797</c:v>
                </c:pt>
                <c:pt idx="122">
                  <c:v>0.28888888888888797</c:v>
                </c:pt>
                <c:pt idx="123">
                  <c:v>0.28888888888888797</c:v>
                </c:pt>
                <c:pt idx="124">
                  <c:v>0.88888888888888795</c:v>
                </c:pt>
                <c:pt idx="125">
                  <c:v>0.28888888888888797</c:v>
                </c:pt>
                <c:pt idx="126">
                  <c:v>0.28888888888888797</c:v>
                </c:pt>
                <c:pt idx="127">
                  <c:v>0.688888888888888</c:v>
                </c:pt>
                <c:pt idx="128">
                  <c:v>0.95555555555555505</c:v>
                </c:pt>
                <c:pt idx="129">
                  <c:v>0.82222222222222197</c:v>
                </c:pt>
                <c:pt idx="130">
                  <c:v>0.77777777777777701</c:v>
                </c:pt>
                <c:pt idx="131">
                  <c:v>0.93333333333333302</c:v>
                </c:pt>
                <c:pt idx="132">
                  <c:v>0.71111111111111103</c:v>
                </c:pt>
                <c:pt idx="133">
                  <c:v>0.95555555555555505</c:v>
                </c:pt>
                <c:pt idx="134">
                  <c:v>0.91111111111111098</c:v>
                </c:pt>
                <c:pt idx="135">
                  <c:v>0.95555555555555505</c:v>
                </c:pt>
                <c:pt idx="136">
                  <c:v>0.73333333333333295</c:v>
                </c:pt>
                <c:pt idx="137">
                  <c:v>0.95555555555555505</c:v>
                </c:pt>
                <c:pt idx="138">
                  <c:v>0.95555555555555505</c:v>
                </c:pt>
                <c:pt idx="139">
                  <c:v>0.82222222222222197</c:v>
                </c:pt>
                <c:pt idx="140">
                  <c:v>0.91111111111111098</c:v>
                </c:pt>
                <c:pt idx="141">
                  <c:v>0.95555555555555505</c:v>
                </c:pt>
                <c:pt idx="142">
                  <c:v>0.93333333333333302</c:v>
                </c:pt>
                <c:pt idx="143">
                  <c:v>0.93333333333333302</c:v>
                </c:pt>
                <c:pt idx="144">
                  <c:v>0.91111111111111098</c:v>
                </c:pt>
                <c:pt idx="145">
                  <c:v>0.91111111111111098</c:v>
                </c:pt>
                <c:pt idx="146">
                  <c:v>0.91111111111111098</c:v>
                </c:pt>
                <c:pt idx="147">
                  <c:v>0.844444444444444</c:v>
                </c:pt>
                <c:pt idx="148">
                  <c:v>0.95555555555555505</c:v>
                </c:pt>
                <c:pt idx="149">
                  <c:v>0.93333333333333302</c:v>
                </c:pt>
                <c:pt idx="150">
                  <c:v>0.28888888888888797</c:v>
                </c:pt>
                <c:pt idx="151">
                  <c:v>0.844444444444444</c:v>
                </c:pt>
                <c:pt idx="152">
                  <c:v>0.95555555555555505</c:v>
                </c:pt>
                <c:pt idx="153">
                  <c:v>0.71111111111111103</c:v>
                </c:pt>
                <c:pt idx="154">
                  <c:v>0.73333333333333295</c:v>
                </c:pt>
                <c:pt idx="155">
                  <c:v>0.91111111111111098</c:v>
                </c:pt>
                <c:pt idx="156">
                  <c:v>0.95555555555555505</c:v>
                </c:pt>
                <c:pt idx="157">
                  <c:v>0.95555555555555505</c:v>
                </c:pt>
                <c:pt idx="158">
                  <c:v>0.71111111111111103</c:v>
                </c:pt>
                <c:pt idx="159">
                  <c:v>0.86666666666666603</c:v>
                </c:pt>
                <c:pt idx="160">
                  <c:v>0.91111111111111098</c:v>
                </c:pt>
                <c:pt idx="161">
                  <c:v>0.86666666666666603</c:v>
                </c:pt>
                <c:pt idx="162">
                  <c:v>0.93333333333333302</c:v>
                </c:pt>
                <c:pt idx="163">
                  <c:v>0.82222222222222197</c:v>
                </c:pt>
                <c:pt idx="164">
                  <c:v>0.93333333333333302</c:v>
                </c:pt>
                <c:pt idx="165">
                  <c:v>0.91111111111111098</c:v>
                </c:pt>
                <c:pt idx="166">
                  <c:v>0.93333333333333302</c:v>
                </c:pt>
                <c:pt idx="167">
                  <c:v>0.91111111111111098</c:v>
                </c:pt>
                <c:pt idx="168">
                  <c:v>0.95555555555555505</c:v>
                </c:pt>
                <c:pt idx="169">
                  <c:v>0.71111111111111103</c:v>
                </c:pt>
                <c:pt idx="170">
                  <c:v>0.93333333333333302</c:v>
                </c:pt>
                <c:pt idx="171">
                  <c:v>0.93333333333333302</c:v>
                </c:pt>
                <c:pt idx="172">
                  <c:v>0.91111111111111098</c:v>
                </c:pt>
                <c:pt idx="173">
                  <c:v>0.88888888888888795</c:v>
                </c:pt>
                <c:pt idx="174">
                  <c:v>0.88888888888888795</c:v>
                </c:pt>
                <c:pt idx="175">
                  <c:v>0.95555555555555505</c:v>
                </c:pt>
                <c:pt idx="176">
                  <c:v>0.28888888888888797</c:v>
                </c:pt>
                <c:pt idx="177">
                  <c:v>0.91111111111111098</c:v>
                </c:pt>
                <c:pt idx="178">
                  <c:v>0.88888888888888795</c:v>
                </c:pt>
                <c:pt idx="179">
                  <c:v>0.95555555555555505</c:v>
                </c:pt>
                <c:pt idx="180">
                  <c:v>0.93333333333333302</c:v>
                </c:pt>
                <c:pt idx="181">
                  <c:v>0.95555555555555505</c:v>
                </c:pt>
                <c:pt idx="182">
                  <c:v>0.93333333333333302</c:v>
                </c:pt>
                <c:pt idx="183">
                  <c:v>0.71111111111111103</c:v>
                </c:pt>
                <c:pt idx="184">
                  <c:v>0.8</c:v>
                </c:pt>
                <c:pt idx="185">
                  <c:v>0.91111111111111098</c:v>
                </c:pt>
                <c:pt idx="186">
                  <c:v>0.88888888888888795</c:v>
                </c:pt>
                <c:pt idx="187">
                  <c:v>0.91111111111111098</c:v>
                </c:pt>
                <c:pt idx="188">
                  <c:v>0.97777777777777697</c:v>
                </c:pt>
                <c:pt idx="189">
                  <c:v>0.88888888888888795</c:v>
                </c:pt>
                <c:pt idx="190">
                  <c:v>0.93333333333333302</c:v>
                </c:pt>
                <c:pt idx="191">
                  <c:v>0.844444444444444</c:v>
                </c:pt>
                <c:pt idx="192">
                  <c:v>0.93333333333333302</c:v>
                </c:pt>
                <c:pt idx="193">
                  <c:v>0.93333333333333302</c:v>
                </c:pt>
                <c:pt idx="194">
                  <c:v>0.71111111111111103</c:v>
                </c:pt>
                <c:pt idx="195">
                  <c:v>0.71111111111111103</c:v>
                </c:pt>
                <c:pt idx="196">
                  <c:v>0.88888888888888795</c:v>
                </c:pt>
                <c:pt idx="197">
                  <c:v>0.91111111111111098</c:v>
                </c:pt>
                <c:pt idx="198">
                  <c:v>0.93333333333333302</c:v>
                </c:pt>
                <c:pt idx="199">
                  <c:v>0.91111111111111098</c:v>
                </c:pt>
                <c:pt idx="200">
                  <c:v>0.88888888888888795</c:v>
                </c:pt>
                <c:pt idx="201">
                  <c:v>0.91111111111111098</c:v>
                </c:pt>
                <c:pt idx="202">
                  <c:v>0.91111111111111098</c:v>
                </c:pt>
                <c:pt idx="203">
                  <c:v>0.93333333333333302</c:v>
                </c:pt>
                <c:pt idx="204">
                  <c:v>0.91111111111111098</c:v>
                </c:pt>
                <c:pt idx="205">
                  <c:v>0.77777777777777701</c:v>
                </c:pt>
                <c:pt idx="206">
                  <c:v>0.95555555555555505</c:v>
                </c:pt>
                <c:pt idx="207">
                  <c:v>1</c:v>
                </c:pt>
                <c:pt idx="208">
                  <c:v>0.97777777777777697</c:v>
                </c:pt>
                <c:pt idx="209">
                  <c:v>0.91111111111111098</c:v>
                </c:pt>
                <c:pt idx="210">
                  <c:v>0.91111111111111098</c:v>
                </c:pt>
                <c:pt idx="211">
                  <c:v>0.86666666666666603</c:v>
                </c:pt>
                <c:pt idx="212">
                  <c:v>0.88888888888888795</c:v>
                </c:pt>
                <c:pt idx="213">
                  <c:v>1</c:v>
                </c:pt>
                <c:pt idx="214">
                  <c:v>0.95555555555555505</c:v>
                </c:pt>
                <c:pt idx="215">
                  <c:v>1</c:v>
                </c:pt>
                <c:pt idx="216">
                  <c:v>0.91111111111111098</c:v>
                </c:pt>
                <c:pt idx="217">
                  <c:v>0.91111111111111098</c:v>
                </c:pt>
                <c:pt idx="218">
                  <c:v>0.93333333333333302</c:v>
                </c:pt>
                <c:pt idx="219">
                  <c:v>0.88888888888888795</c:v>
                </c:pt>
                <c:pt idx="220">
                  <c:v>0.91111111111111098</c:v>
                </c:pt>
                <c:pt idx="221">
                  <c:v>0.88888888888888795</c:v>
                </c:pt>
                <c:pt idx="222">
                  <c:v>0.88888888888888795</c:v>
                </c:pt>
                <c:pt idx="223">
                  <c:v>0.82222222222222197</c:v>
                </c:pt>
                <c:pt idx="224">
                  <c:v>1</c:v>
                </c:pt>
                <c:pt idx="225">
                  <c:v>0.93333333333333302</c:v>
                </c:pt>
                <c:pt idx="226">
                  <c:v>0.93333333333333302</c:v>
                </c:pt>
                <c:pt idx="227">
                  <c:v>0.688888888888888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20-4E95-A8D9-F166320BC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403855"/>
        <c:axId val="776405775"/>
      </c:scatterChart>
      <c:valAx>
        <c:axId val="776403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76405775"/>
        <c:crosses val="autoZero"/>
        <c:crossBetween val="midCat"/>
      </c:valAx>
      <c:valAx>
        <c:axId val="776405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76403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485775</xdr:colOff>
      <xdr:row>5</xdr:row>
      <xdr:rowOff>190499</xdr:rowOff>
    </xdr:from>
    <xdr:to>
      <xdr:col>6</xdr:col>
      <xdr:colOff>123825</xdr:colOff>
      <xdr:row>23</xdr:row>
      <xdr:rowOff>19050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FA6596B0-3562-4F79-A600-092ACF8FC84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361949</xdr:colOff>
      <xdr:row>5</xdr:row>
      <xdr:rowOff>38100</xdr:rowOff>
    </xdr:from>
    <xdr:to>
      <xdr:col>7</xdr:col>
      <xdr:colOff>152400</xdr:colOff>
      <xdr:row>22</xdr:row>
      <xdr:rowOff>57150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EB50F25A-55F5-4C51-BB5C-7624B2267B0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466724</xdr:colOff>
      <xdr:row>27</xdr:row>
      <xdr:rowOff>0</xdr:rowOff>
    </xdr:from>
    <xdr:to>
      <xdr:col>7</xdr:col>
      <xdr:colOff>247649</xdr:colOff>
      <xdr:row>44</xdr:row>
      <xdr:rowOff>9526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D604305-4515-48FE-9612-518246B97EF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D941595-1E3D-4A99-927A-3BC77BD27A56}" autoFormatId="16" applyNumberFormats="0" applyBorderFormats="0" applyFontFormats="0" applyPatternFormats="0" applyAlignmentFormats="0" applyWidthHeightFormats="0">
  <queryTableRefresh nextId="30">
    <queryTableFields count="2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68F9E8-EB13-4AC8-80B7-BAE51A16FD5E}" name="_27_text_logs_full_output_max" displayName="_27_text_logs_full_output_max" ref="A1:AC530" tableType="queryTable" totalsRowShown="0" headerRowDxfId="125">
  <autoFilter ref="A1:AC530" xr:uid="{F668F9E8-EB13-4AC8-80B7-BAE51A16FD5E}">
    <filterColumn colId="0">
      <filters>
        <filter val="Wine"/>
      </filters>
    </filterColumn>
  </autoFilter>
  <tableColumns count="29">
    <tableColumn id="1" xr3:uid="{84FAC9E3-D200-471C-BD97-BBEE82DB0811}" uniqueName="1" name="dataset_name" queryTableFieldId="1" dataDxfId="124"/>
    <tableColumn id="2" xr3:uid="{9FE7394F-CE82-4B5F-9B7C-BA75614EEED4}" uniqueName="2" name="kan_grid" queryTableFieldId="2" dataDxfId="123"/>
    <tableColumn id="3" xr3:uid="{4141D7C9-9AC1-42F7-B5AB-B2A442A89E2D}" uniqueName="3" name="kan_grid_passed_parameter" queryTableFieldId="3" dataDxfId="122"/>
    <tableColumn id="4" xr3:uid="{DE4B0155-C6AD-411F-92AA-A12336F18A9B}" uniqueName="4" name="kan_degree" queryTableFieldId="4" dataDxfId="121"/>
    <tableColumn id="5" xr3:uid="{0ED9BD7B-7C16-4206-A9EC-24FA69E8E7D7}" uniqueName="5" name="kan_lam" queryTableFieldId="5" dataDxfId="120"/>
    <tableColumn id="6" xr3:uid="{900096E7-6E90-4727-9E0D-8306708CFBCE}" uniqueName="6" name="kan_width" queryTableFieldId="6" dataDxfId="119"/>
    <tableColumn id="7" xr3:uid="{8152A450-A8FA-48D6-8ABA-46834E10905B}" uniqueName="7" name="kan_params" queryTableFieldId="7" dataDxfId="118"/>
    <tableColumn id="8" xr3:uid="{E78FD342-D6C7-41A8-8218-1C307911296F}" uniqueName="8" name="kan_time_difference" queryTableFieldId="8" dataDxfId="117"/>
    <tableColumn id="9" xr3:uid="{D3F358E2-B4C7-48B0-89AB-1EA9D545B68F}" uniqueName="9" name="kan_steps" queryTableFieldId="9" dataDxfId="116"/>
    <tableColumn id="10" xr3:uid="{E19452A2-0BC2-44DB-8590-C0FBEFF3A9D1}" uniqueName="10" name="kan_train_acc" queryTableFieldId="10" dataDxfId="115"/>
    <tableColumn id="11" xr3:uid="{654A4043-346A-4EDC-95F3-953186411DB0}" uniqueName="11" name="kan_val_acc" queryTableFieldId="11" dataDxfId="114"/>
    <tableColumn id="12" xr3:uid="{228FC8A5-F172-47A2-8BE7-F23E47A3BD47}" uniqueName="12" name="kan_test_acc" queryTableFieldId="12" dataDxfId="113"/>
    <tableColumn id="13" xr3:uid="{0F266B0C-9990-429A-B3F9-FED64BD8E6D5}" uniqueName="13" name="mlp_test_acc" queryTableFieldId="13" dataDxfId="112"/>
    <tableColumn id="14" xr3:uid="{D3D9D4A6-72E7-4FC3-B5AE-6106CC21BF77}" uniqueName="14" name="mlp_val_acc" queryTableFieldId="14" dataDxfId="111"/>
    <tableColumn id="15" xr3:uid="{565748A3-8438-4724-A500-D23DE638F6F2}" uniqueName="15" name="mlp_train_acc" queryTableFieldId="15" dataDxfId="110"/>
    <tableColumn id="16" xr3:uid="{FC78D209-835B-4F56-9FE9-4106E4FBD8FF}" uniqueName="16" name="mlp_steps" queryTableFieldId="16" dataDxfId="109"/>
    <tableColumn id="17" xr3:uid="{F6BD6AED-B1F8-4303-ABAF-4FD6FE84ADA6}" uniqueName="17" name="mlp_time_difference" queryTableFieldId="17" dataDxfId="108"/>
    <tableColumn id="18" xr3:uid="{B5668E22-5CED-4267-8E50-841FD01D755F}" uniqueName="18" name="mlp_params" queryTableFieldId="18" dataDxfId="107"/>
    <tableColumn id="19" xr3:uid="{9D3D0E79-0402-4594-95A1-D3984FB08F40}" uniqueName="19" name="mlp_no_layers" queryTableFieldId="19" dataDxfId="106"/>
    <tableColumn id="20" xr3:uid="{95142885-A028-4A43-B0FE-7F6F317FC2DE}" uniqueName="20" name="mlp_width_layers" queryTableFieldId="20" dataDxfId="105"/>
    <tableColumn id="21" xr3:uid="{02E1FE8E-902B-48C0-83C8-7AC9C8129FF6}" uniqueName="21" name="mlp2_test_acc" queryTableFieldId="21" dataDxfId="104"/>
    <tableColumn id="22" xr3:uid="{F2577E09-8FF9-4CE1-863B-299A42A79966}" uniqueName="22" name="mlp2_val_acc" queryTableFieldId="22" dataDxfId="103"/>
    <tableColumn id="23" xr3:uid="{5EAE36A1-BC33-46F8-A6DA-599DF2E36E3F}" uniqueName="23" name="mlp2_train_acc" queryTableFieldId="23" dataDxfId="102"/>
    <tableColumn id="24" xr3:uid="{A8C978C3-47B2-4304-A0D7-1AE643013AD1}" uniqueName="24" name="mlp2_steps" queryTableFieldId="24" dataDxfId="101"/>
    <tableColumn id="25" xr3:uid="{CE78EE2F-45F2-476C-A985-3374697AFA66}" uniqueName="25" name="mlp2_time_difference" queryTableFieldId="25" dataDxfId="100"/>
    <tableColumn id="26" xr3:uid="{377A4896-1D64-400F-8883-D5F728E6B7D5}" uniqueName="26" name="mlp2_params" queryTableFieldId="26" dataDxfId="99"/>
    <tableColumn id="27" xr3:uid="{470C4F12-8CD8-4578-8502-7E2F5CADCD43}" uniqueName="27" name="no_layers2" queryTableFieldId="27" dataDxfId="98"/>
    <tableColumn id="28" xr3:uid="{226341BB-AD3C-4F92-A842-C935AC2BAFB1}" uniqueName="28" name="width_layers2" queryTableFieldId="28" dataDxfId="97"/>
    <tableColumn id="29" xr3:uid="{44917AAA-FD5B-4014-B2A2-DA6A56134449}" uniqueName="29" name="delme" queryTableFieldId="29" dataDxfId="9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03C838-680B-4BE1-B12A-142CAD8DAB26}" name="Tabela4" displayName="Tabela4" ref="A1:AC158" totalsRowShown="0" headerRowDxfId="95" headerRowBorderDxfId="94" tableBorderDxfId="93">
  <autoFilter ref="A1:AC158" xr:uid="{3703C838-680B-4BE1-B12A-142CAD8DAB26}"/>
  <sortState xmlns:xlrd2="http://schemas.microsoft.com/office/spreadsheetml/2017/richdata2" ref="A2:AC158">
    <sortCondition descending="1" ref="L1:L158"/>
  </sortState>
  <tableColumns count="29">
    <tableColumn id="1" xr3:uid="{14498D7F-F419-4BBF-A7C7-EDE0DAD1BEC6}" name="dataset_name" dataDxfId="92"/>
    <tableColumn id="2" xr3:uid="{FB3DB7E5-2003-42E6-AC47-776356B61C37}" name="kan_grid" dataDxfId="91"/>
    <tableColumn id="3" xr3:uid="{F8DE038B-C024-4E8A-ACD6-79701A73DB50}" name="kan_grid_passed_parameter" dataDxfId="90"/>
    <tableColumn id="4" xr3:uid="{D04E1FB7-D106-4D3F-863A-35D6DD781E60}" name="kan_degree" dataDxfId="89"/>
    <tableColumn id="5" xr3:uid="{43E09FAA-54E4-42FF-97C7-4BAED1E8FAD6}" name="kan_lam" dataDxfId="88"/>
    <tableColumn id="6" xr3:uid="{4F7CE76B-C786-4AFE-835D-AFD4BC1BE18F}" name="kan_width" dataDxfId="87"/>
    <tableColumn id="7" xr3:uid="{2A23824D-BDFF-4098-81F9-86B09F32F05D}" name="kan_params" dataDxfId="86"/>
    <tableColumn id="8" xr3:uid="{46EFDE95-BAB8-4D3B-8D92-FCBDBC7A15A3}" name="kan_time_difference" dataDxfId="85"/>
    <tableColumn id="9" xr3:uid="{E71526F1-CD10-4497-9D38-D676F39CAD61}" name="kan_steps" dataDxfId="84"/>
    <tableColumn id="10" xr3:uid="{02A3B7EA-9D31-4A86-96E5-E6C58C520FE2}" name="kan_train_acc" dataDxfId="83"/>
    <tableColumn id="11" xr3:uid="{3F2920EE-DE04-4057-B5E7-F8012FA6CC96}" name="kan_val_acc" dataDxfId="82"/>
    <tableColumn id="12" xr3:uid="{882BD76E-5BB7-4E42-B093-E2FAB03C9338}" name="kan_test_acc" dataDxfId="81"/>
    <tableColumn id="13" xr3:uid="{A488F884-95E8-4521-8D71-4C377B19C1BF}" name="mlp_test_acc" dataDxfId="80"/>
    <tableColumn id="14" xr3:uid="{1904D240-9090-4131-A05C-9C19410E02CE}" name="mlp_val_acc" dataDxfId="79"/>
    <tableColumn id="15" xr3:uid="{774B9E12-1456-4181-A6BE-F180E6A1C093}" name="mlp_train_acc" dataDxfId="78"/>
    <tableColumn id="16" xr3:uid="{E2F99FEC-CF86-4CB9-87FC-DFF8EF3013AD}" name="mlp_steps" dataDxfId="77"/>
    <tableColumn id="17" xr3:uid="{E2A2E48F-A395-4DB3-A58E-1C35DDD06E8B}" name="mlp_time_difference" dataDxfId="76"/>
    <tableColumn id="18" xr3:uid="{B89C818D-E6D6-418E-A5D0-915BC85B3D1A}" name="mlp_params" dataDxfId="75"/>
    <tableColumn id="19" xr3:uid="{106F967E-226B-4840-80CF-8AF5DC1597EE}" name="mlp_no_layers" dataDxfId="74"/>
    <tableColumn id="20" xr3:uid="{1539C222-ACE6-4866-8617-6F0052E564B9}" name="mlp_width_layers" dataDxfId="73"/>
    <tableColumn id="21" xr3:uid="{6C03FF4E-44D8-403F-93AF-16E5B61F4D81}" name="mlp2_test_acc" dataDxfId="72"/>
    <tableColumn id="22" xr3:uid="{3F908CB5-E6B6-4E82-A882-CEC9D69A57B0}" name="mlp2_val_acc" dataDxfId="71"/>
    <tableColumn id="23" xr3:uid="{A19B50A9-C28C-4542-A4DC-F1F816CE5012}" name="mlp2_train_acc" dataDxfId="70"/>
    <tableColumn id="24" xr3:uid="{7054CA11-5357-4F24-A306-5EA732F982DE}" name="mlp2_steps" dataDxfId="69"/>
    <tableColumn id="25" xr3:uid="{2A097D68-E7CF-4A2C-AD62-E3C176B4B448}" name="mlp2_time_difference" dataDxfId="68"/>
    <tableColumn id="26" xr3:uid="{658C3E61-ECFF-4673-8B6A-685E3A8DB1BB}" name="mlp2_params" dataDxfId="67"/>
    <tableColumn id="27" xr3:uid="{BC8DD793-E510-4FEA-BE51-0585DEBD17CE}" name="no_layers2" dataDxfId="66"/>
    <tableColumn id="28" xr3:uid="{DF52B39B-5FA9-4FB9-8DB9-B937E5C466FB}" name="width_layers2" dataDxfId="65"/>
    <tableColumn id="29" xr3:uid="{8D44BC3A-CEE0-4E7B-B273-090E165E700F}" name="delme" dataDxfId="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23A3C-1D9F-4065-B1E5-C47CC6E7238E}" name="Tabela3" displayName="Tabela3" ref="A1:AC145" totalsRowShown="0" headerRowDxfId="63" headerRowBorderDxfId="62" tableBorderDxfId="61">
  <autoFilter ref="A1:AC145" xr:uid="{4EC23A3C-1D9F-4065-B1E5-C47CC6E7238E}"/>
  <sortState xmlns:xlrd2="http://schemas.microsoft.com/office/spreadsheetml/2017/richdata2" ref="A43:AC143">
    <sortCondition ref="G1:G145"/>
  </sortState>
  <tableColumns count="29">
    <tableColumn id="1" xr3:uid="{9D3C3BAB-72B4-4242-93A7-4030F930098F}" name="dataset_name" dataDxfId="60"/>
    <tableColumn id="2" xr3:uid="{02942EF1-C4EA-46DD-BEB6-23EDACE214E0}" name="kan_grid" dataDxfId="59"/>
    <tableColumn id="3" xr3:uid="{F7A80F0C-D62E-4513-9A14-17FD82093787}" name="kan_grid_passed_parameter" dataDxfId="58"/>
    <tableColumn id="4" xr3:uid="{A987DB2A-CB04-40E8-8A32-C52E2BD0A1E4}" name="kan_degree" dataDxfId="57"/>
    <tableColumn id="5" xr3:uid="{A03CF737-6024-46E6-B9AD-9E62F7CFE0E1}" name="kan_lam" dataDxfId="56"/>
    <tableColumn id="6" xr3:uid="{6D460C04-999E-47DF-A57B-273853515EE7}" name="kan_width" dataDxfId="55"/>
    <tableColumn id="7" xr3:uid="{1EF9DCD4-0C2B-4448-8D9B-02431471B7BF}" name="kan_params" dataDxfId="54"/>
    <tableColumn id="8" xr3:uid="{8A55B92D-7C0C-4280-9D1E-247ACB2DDEC0}" name="kan_time_difference" dataDxfId="53"/>
    <tableColumn id="9" xr3:uid="{D393CFF7-F207-45B7-8B2D-1635C60D404C}" name="kan_steps" dataDxfId="52"/>
    <tableColumn id="10" xr3:uid="{B067CB20-F1E8-4A73-A87B-5F842958191C}" name="kan_train_acc" dataDxfId="51"/>
    <tableColumn id="11" xr3:uid="{43588EB1-31F4-4316-904B-6A55EA227257}" name="kan_val_acc" dataDxfId="50"/>
    <tableColumn id="12" xr3:uid="{5CE076B8-B21D-4AF0-BD70-F445A04101DB}" name="kan_test_acc" dataDxfId="49"/>
    <tableColumn id="13" xr3:uid="{88C5BCB2-3BCF-42EA-8C39-771901A07934}" name="mlp_test_acc" dataDxfId="48"/>
    <tableColumn id="14" xr3:uid="{B3F9D381-E62C-4DB5-890C-30407E4CB7DA}" name="mlp_val_acc" dataDxfId="47"/>
    <tableColumn id="15" xr3:uid="{4277ADD6-9CA0-4019-9AFD-EB20A72E5239}" name="mlp_train_acc" dataDxfId="46"/>
    <tableColumn id="16" xr3:uid="{B32849A7-9EE3-459B-A516-A9FF499C0B87}" name="mlp_steps" dataDxfId="45"/>
    <tableColumn id="17" xr3:uid="{C4C59FB5-C62B-45DF-A338-C9B5A404B982}" name="mlp_time_difference" dataDxfId="44"/>
    <tableColumn id="18" xr3:uid="{F1F9B6F3-DF5A-4836-B507-04579B23707D}" name="mlp_params" dataDxfId="43"/>
    <tableColumn id="19" xr3:uid="{26409917-5D1E-4AC7-B95F-55821004303A}" name="mlp_no_layers" dataDxfId="42"/>
    <tableColumn id="20" xr3:uid="{E3E874DA-A4B3-4B63-AA83-241AA088A9BF}" name="mlp_width_layers" dataDxfId="41"/>
    <tableColumn id="21" xr3:uid="{9F4119A6-743A-44C4-932C-40C30CD25801}" name="mlp2_test_acc" dataDxfId="40"/>
    <tableColumn id="22" xr3:uid="{EE7B4FA2-FFB2-4003-A482-73214A33259E}" name="mlp2_val_acc" dataDxfId="39"/>
    <tableColumn id="23" xr3:uid="{A5BACB7E-F528-478F-995E-B59467746C9C}" name="mlp2_train_acc" dataDxfId="38"/>
    <tableColumn id="24" xr3:uid="{D931D6FA-134B-4495-913B-271EA7E4F17F}" name="mlp2_steps" dataDxfId="37"/>
    <tableColumn id="25" xr3:uid="{CAD06C0D-3CB1-4E37-89E1-DB3D5DF4D3D9}" name="mlp2_time_difference" dataDxfId="36"/>
    <tableColumn id="26" xr3:uid="{A54E7D92-4210-4891-82F0-D5D0197FFF8D}" name="mlp2_params" dataDxfId="35"/>
    <tableColumn id="27" xr3:uid="{D0CF43C8-F94D-4272-ABDE-373EE0131B15}" name="no_layers2" dataDxfId="34"/>
    <tableColumn id="28" xr3:uid="{28228602-68F4-4324-9A94-986A05084B5A}" name="width_layers2" dataDxfId="33"/>
    <tableColumn id="29" xr3:uid="{B8847726-8928-48A2-8BD5-16A604F7D003}" name="delme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17539A-21BF-468D-A240-0915E6BE741D}" name="Tabela2" displayName="Tabela2" ref="A1:AC229" totalsRowShown="0" headerRowDxfId="31" headerRowBorderDxfId="30" tableBorderDxfId="29">
  <autoFilter ref="A1:AC229" xr:uid="{3417539A-21BF-468D-A240-0915E6BE741D}"/>
  <sortState xmlns:xlrd2="http://schemas.microsoft.com/office/spreadsheetml/2017/richdata2" ref="A2:AC229">
    <sortCondition descending="1" ref="L1:L229"/>
  </sortState>
  <tableColumns count="29">
    <tableColumn id="1" xr3:uid="{12875E96-A1AD-4C81-A55A-787CFF9424B0}" name="dataset_name" dataDxfId="28"/>
    <tableColumn id="2" xr3:uid="{A2022D60-5A27-4F00-B86E-56A051EC55FC}" name="kan_grid" dataDxfId="27"/>
    <tableColumn id="3" xr3:uid="{E5670803-68C3-4C4E-92A1-72BAEEC31963}" name="kan_grid_passed_parameter" dataDxfId="26"/>
    <tableColumn id="4" xr3:uid="{9E1CF09D-8249-45F1-A7AE-2137A92C14E8}" name="kan_degree" dataDxfId="25"/>
    <tableColumn id="5" xr3:uid="{713710AA-B01B-43E5-B75F-7D1256663091}" name="kan_lam" dataDxfId="24"/>
    <tableColumn id="6" xr3:uid="{566D56E0-2F0A-467E-9FD1-C4434536C8A9}" name="kan_width" dataDxfId="23"/>
    <tableColumn id="7" xr3:uid="{F9C20E6A-1BB4-4C12-80B7-579142568B7F}" name="kan_params" dataDxfId="22"/>
    <tableColumn id="8" xr3:uid="{0D1B1316-E17D-4569-9796-9831F4B49F06}" name="kan_time_difference" dataDxfId="21"/>
    <tableColumn id="9" xr3:uid="{B6E82698-AC8E-4A9F-A726-CC2D7C74E4E4}" name="kan_steps" dataDxfId="20"/>
    <tableColumn id="10" xr3:uid="{59D86266-4B6B-434E-AF4B-4FF1FCEFAF45}" name="kan_train_acc" dataDxfId="19"/>
    <tableColumn id="11" xr3:uid="{6455BB71-17AF-429F-BFB5-1C0BF04426AB}" name="kan_val_acc" dataDxfId="18"/>
    <tableColumn id="12" xr3:uid="{B6A94554-4A49-4826-8217-9256641D2DC6}" name="kan_test_acc" dataDxfId="17"/>
    <tableColumn id="13" xr3:uid="{87866689-AE81-45FA-8E51-46D5D9F37096}" name="mlp_test_acc" dataDxfId="16"/>
    <tableColumn id="14" xr3:uid="{400369A8-C413-4A2A-B2DF-6BEA64F5F54C}" name="mlp_val_acc" dataDxfId="15"/>
    <tableColumn id="15" xr3:uid="{D5F4981F-4CB0-41E3-B55D-F83252B6C788}" name="mlp_train_acc" dataDxfId="14"/>
    <tableColumn id="16" xr3:uid="{8C0F4789-CB3D-4B1A-93EC-8ABE12658A22}" name="mlp_steps" dataDxfId="13"/>
    <tableColumn id="17" xr3:uid="{3EEF972C-0581-44B2-A46E-6DD5109566EC}" name="mlp_time_difference" dataDxfId="12"/>
    <tableColumn id="18" xr3:uid="{F6426E1B-6647-44BB-AA86-63777CD1B9FB}" name="mlp_params" dataDxfId="11"/>
    <tableColumn id="19" xr3:uid="{6E56D90E-0D70-4B0F-81D3-862D6B4544BA}" name="mlp_no_layers" dataDxfId="10"/>
    <tableColumn id="20" xr3:uid="{C36143CD-1D2E-4764-A178-832D9A5703BF}" name="mlp_width_layers" dataDxfId="9"/>
    <tableColumn id="21" xr3:uid="{5A2551DA-B0A8-4CDB-8B93-5979E3540AC4}" name="mlp2_test_acc" dataDxfId="8"/>
    <tableColumn id="22" xr3:uid="{F040569D-37A8-4545-A8B4-19C3E8DBA4DF}" name="mlp2_val_acc" dataDxfId="7"/>
    <tableColumn id="23" xr3:uid="{E29F073D-C301-4E27-8251-0CD5D0C4869F}" name="mlp2_train_acc" dataDxfId="6"/>
    <tableColumn id="24" xr3:uid="{095BD37B-20E5-48F8-A90B-7ADB2FA77CE0}" name="mlp2_steps" dataDxfId="5"/>
    <tableColumn id="25" xr3:uid="{97AB42FB-1B22-48EB-A05F-9B245FE2525F}" name="mlp2_time_difference" dataDxfId="4"/>
    <tableColumn id="26" xr3:uid="{0DA03B48-20DB-402E-A628-CB56492188D2}" name="mlp2_params" dataDxfId="3"/>
    <tableColumn id="27" xr3:uid="{5E344710-88E6-4146-A885-BBD2842E3DB4}" name="no_layers2" dataDxfId="2"/>
    <tableColumn id="28" xr3:uid="{F5ABE719-C0EC-4589-A152-21348596BED7}" name="width_layers2" dataDxfId="1"/>
    <tableColumn id="29" xr3:uid="{743CDD77-3744-4FCA-8B09-FAB87EDD6178}" name="del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4EB86-9AF6-44AC-B81A-E83CF4894408}">
  <dimension ref="A1:AC530"/>
  <sheetViews>
    <sheetView topLeftCell="A531" workbookViewId="0"/>
  </sheetViews>
  <sheetFormatPr defaultRowHeight="15" x14ac:dyDescent="0.25"/>
  <cols>
    <col min="1" max="1" width="13.5703125" bestFit="1" customWidth="1"/>
    <col min="2" max="2" width="11.42578125" bestFit="1" customWidth="1"/>
    <col min="3" max="3" width="26.42578125" bestFit="1" customWidth="1"/>
    <col min="4" max="5" width="11.42578125" bestFit="1" customWidth="1"/>
    <col min="6" max="6" width="12.140625" bestFit="1" customWidth="1"/>
    <col min="7" max="7" width="12" bestFit="1" customWidth="1"/>
    <col min="8" max="8" width="18.85546875" bestFit="1" customWidth="1"/>
    <col min="9" max="9" width="11.42578125" bestFit="1" customWidth="1"/>
    <col min="10" max="10" width="19.85546875" bestFit="1" customWidth="1"/>
    <col min="11" max="11" width="18.85546875" bestFit="1" customWidth="1"/>
    <col min="12" max="12" width="19.85546875" bestFit="1" customWidth="1"/>
    <col min="13" max="15" width="18.85546875" bestFit="1" customWidth="1"/>
    <col min="16" max="16" width="12.42578125" bestFit="1" customWidth="1"/>
    <col min="17" max="17" width="19" bestFit="1" customWidth="1"/>
    <col min="18" max="18" width="12.42578125" bestFit="1" customWidth="1"/>
    <col min="19" max="19" width="13.85546875" bestFit="1" customWidth="1"/>
    <col min="20" max="20" width="16.42578125" bestFit="1" customWidth="1"/>
    <col min="21" max="23" width="19.85546875" bestFit="1" customWidth="1"/>
    <col min="24" max="24" width="12.42578125" bestFit="1" customWidth="1"/>
    <col min="25" max="25" width="20" bestFit="1" customWidth="1"/>
    <col min="26" max="26" width="13.28515625" bestFit="1" customWidth="1"/>
    <col min="27" max="27" width="12.42578125" bestFit="1" customWidth="1"/>
    <col min="28" max="28" width="13.140625" bestFit="1" customWidth="1"/>
    <col min="29" max="29" width="22.7109375" bestFit="1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77</v>
      </c>
    </row>
    <row r="2" spans="1:29" hidden="1" x14ac:dyDescent="0.25">
      <c r="A2" t="s">
        <v>28</v>
      </c>
      <c r="B2" t="s">
        <v>78</v>
      </c>
      <c r="C2" t="s">
        <v>79</v>
      </c>
      <c r="D2" t="s">
        <v>79</v>
      </c>
      <c r="E2" t="s">
        <v>80</v>
      </c>
      <c r="F2" t="s">
        <v>29</v>
      </c>
      <c r="G2" t="s">
        <v>81</v>
      </c>
      <c r="H2" t="s">
        <v>82</v>
      </c>
      <c r="I2" t="s">
        <v>83</v>
      </c>
      <c r="J2" t="s">
        <v>84</v>
      </c>
      <c r="K2" t="s">
        <v>85</v>
      </c>
      <c r="L2" t="s">
        <v>86</v>
      </c>
      <c r="M2" t="s">
        <v>87</v>
      </c>
      <c r="N2" t="s">
        <v>88</v>
      </c>
      <c r="O2" t="s">
        <v>89</v>
      </c>
      <c r="P2" t="s">
        <v>90</v>
      </c>
      <c r="Q2" t="s">
        <v>91</v>
      </c>
      <c r="R2" t="s">
        <v>92</v>
      </c>
      <c r="S2" t="s">
        <v>93</v>
      </c>
      <c r="T2" t="s">
        <v>94</v>
      </c>
      <c r="U2" t="s">
        <v>95</v>
      </c>
      <c r="V2" t="s">
        <v>96</v>
      </c>
      <c r="W2" t="s">
        <v>97</v>
      </c>
      <c r="X2" t="s">
        <v>98</v>
      </c>
      <c r="Y2" t="s">
        <v>99</v>
      </c>
      <c r="Z2" t="s">
        <v>100</v>
      </c>
      <c r="AA2" t="s">
        <v>93</v>
      </c>
      <c r="AB2" t="s">
        <v>101</v>
      </c>
      <c r="AC2" t="s">
        <v>102</v>
      </c>
    </row>
    <row r="3" spans="1:29" hidden="1" x14ac:dyDescent="0.25">
      <c r="A3" t="s">
        <v>28</v>
      </c>
      <c r="B3" t="s">
        <v>78</v>
      </c>
      <c r="C3" t="s">
        <v>79</v>
      </c>
      <c r="D3" t="s">
        <v>79</v>
      </c>
      <c r="E3" t="s">
        <v>80</v>
      </c>
      <c r="F3" t="s">
        <v>30</v>
      </c>
      <c r="G3" t="s">
        <v>103</v>
      </c>
      <c r="H3" t="s">
        <v>104</v>
      </c>
      <c r="I3" t="s">
        <v>105</v>
      </c>
      <c r="J3" t="s">
        <v>89</v>
      </c>
      <c r="K3" t="s">
        <v>89</v>
      </c>
      <c r="L3" t="s">
        <v>86</v>
      </c>
      <c r="M3" t="s">
        <v>87</v>
      </c>
      <c r="N3" t="s">
        <v>96</v>
      </c>
      <c r="O3" t="s">
        <v>89</v>
      </c>
      <c r="P3" t="s">
        <v>106</v>
      </c>
      <c r="Q3" t="s">
        <v>107</v>
      </c>
      <c r="R3" t="s">
        <v>108</v>
      </c>
      <c r="S3" t="s">
        <v>93</v>
      </c>
      <c r="T3" t="s">
        <v>109</v>
      </c>
      <c r="U3" t="s">
        <v>95</v>
      </c>
      <c r="V3" t="s">
        <v>96</v>
      </c>
      <c r="W3" t="s">
        <v>110</v>
      </c>
      <c r="X3" t="s">
        <v>98</v>
      </c>
      <c r="Y3" t="s">
        <v>111</v>
      </c>
      <c r="Z3" t="s">
        <v>112</v>
      </c>
      <c r="AA3" t="s">
        <v>93</v>
      </c>
      <c r="AB3" t="s">
        <v>113</v>
      </c>
      <c r="AC3" t="s">
        <v>114</v>
      </c>
    </row>
    <row r="4" spans="1:29" hidden="1" x14ac:dyDescent="0.25">
      <c r="A4" t="s">
        <v>28</v>
      </c>
      <c r="B4" t="s">
        <v>78</v>
      </c>
      <c r="C4" t="s">
        <v>79</v>
      </c>
      <c r="D4" t="s">
        <v>79</v>
      </c>
      <c r="E4" t="s">
        <v>80</v>
      </c>
      <c r="F4" t="s">
        <v>31</v>
      </c>
      <c r="G4" t="s">
        <v>115</v>
      </c>
      <c r="H4" t="s">
        <v>116</v>
      </c>
      <c r="I4" t="s">
        <v>117</v>
      </c>
      <c r="J4" t="s">
        <v>89</v>
      </c>
      <c r="K4" t="s">
        <v>89</v>
      </c>
      <c r="L4" t="s">
        <v>118</v>
      </c>
      <c r="M4" t="s">
        <v>119</v>
      </c>
      <c r="N4" t="s">
        <v>89</v>
      </c>
      <c r="O4" t="s">
        <v>89</v>
      </c>
      <c r="P4" t="s">
        <v>120</v>
      </c>
      <c r="Q4" t="s">
        <v>121</v>
      </c>
      <c r="R4" t="s">
        <v>122</v>
      </c>
      <c r="S4" t="s">
        <v>93</v>
      </c>
      <c r="T4" t="s">
        <v>123</v>
      </c>
      <c r="U4" t="s">
        <v>119</v>
      </c>
      <c r="V4" t="s">
        <v>89</v>
      </c>
      <c r="W4" t="s">
        <v>97</v>
      </c>
      <c r="X4" t="s">
        <v>124</v>
      </c>
      <c r="Y4" t="s">
        <v>125</v>
      </c>
      <c r="Z4" t="s">
        <v>126</v>
      </c>
      <c r="AA4" t="s">
        <v>93</v>
      </c>
      <c r="AB4" t="s">
        <v>127</v>
      </c>
      <c r="AC4" t="s">
        <v>128</v>
      </c>
    </row>
    <row r="5" spans="1:29" hidden="1" x14ac:dyDescent="0.25">
      <c r="A5" t="s">
        <v>28</v>
      </c>
      <c r="B5" t="s">
        <v>78</v>
      </c>
      <c r="C5" t="s">
        <v>79</v>
      </c>
      <c r="D5" t="s">
        <v>79</v>
      </c>
      <c r="E5" t="s">
        <v>80</v>
      </c>
      <c r="F5" t="s">
        <v>129</v>
      </c>
      <c r="G5" t="s">
        <v>130</v>
      </c>
      <c r="H5" t="s">
        <v>131</v>
      </c>
      <c r="I5" t="s">
        <v>132</v>
      </c>
      <c r="J5" t="s">
        <v>133</v>
      </c>
      <c r="K5" t="s">
        <v>134</v>
      </c>
      <c r="L5" t="s">
        <v>135</v>
      </c>
      <c r="M5" t="s">
        <v>136</v>
      </c>
      <c r="N5" t="s">
        <v>88</v>
      </c>
      <c r="O5" t="s">
        <v>89</v>
      </c>
      <c r="P5" t="s">
        <v>137</v>
      </c>
      <c r="Q5" t="s">
        <v>138</v>
      </c>
      <c r="R5" t="s">
        <v>139</v>
      </c>
      <c r="S5" t="s">
        <v>93</v>
      </c>
      <c r="T5" t="s">
        <v>140</v>
      </c>
      <c r="U5" t="s">
        <v>141</v>
      </c>
      <c r="V5" t="s">
        <v>88</v>
      </c>
      <c r="W5" t="s">
        <v>89</v>
      </c>
      <c r="X5" t="s">
        <v>142</v>
      </c>
      <c r="Y5" t="s">
        <v>143</v>
      </c>
      <c r="Z5" t="s">
        <v>144</v>
      </c>
      <c r="AA5" t="s">
        <v>93</v>
      </c>
      <c r="AB5" t="s">
        <v>145</v>
      </c>
      <c r="AC5" t="s">
        <v>146</v>
      </c>
    </row>
    <row r="6" spans="1:29" hidden="1" x14ac:dyDescent="0.25">
      <c r="A6" t="s">
        <v>28</v>
      </c>
      <c r="B6" t="s">
        <v>78</v>
      </c>
      <c r="C6" t="s">
        <v>79</v>
      </c>
      <c r="D6" t="s">
        <v>79</v>
      </c>
      <c r="E6" t="s">
        <v>80</v>
      </c>
      <c r="F6" t="s">
        <v>147</v>
      </c>
      <c r="G6" t="s">
        <v>148</v>
      </c>
      <c r="H6" t="s">
        <v>149</v>
      </c>
      <c r="I6" t="s">
        <v>150</v>
      </c>
      <c r="J6" t="s">
        <v>151</v>
      </c>
      <c r="K6" t="s">
        <v>85</v>
      </c>
      <c r="L6" t="s">
        <v>152</v>
      </c>
      <c r="M6" t="s">
        <v>141</v>
      </c>
      <c r="N6" t="s">
        <v>88</v>
      </c>
      <c r="O6" t="s">
        <v>89</v>
      </c>
      <c r="P6" t="s">
        <v>153</v>
      </c>
      <c r="Q6" t="s">
        <v>154</v>
      </c>
      <c r="R6" t="s">
        <v>155</v>
      </c>
      <c r="S6" t="s">
        <v>93</v>
      </c>
      <c r="T6" t="s">
        <v>156</v>
      </c>
      <c r="U6" t="s">
        <v>157</v>
      </c>
      <c r="V6" t="s">
        <v>158</v>
      </c>
      <c r="W6" t="s">
        <v>159</v>
      </c>
      <c r="X6" t="s">
        <v>160</v>
      </c>
      <c r="Y6" t="s">
        <v>161</v>
      </c>
      <c r="Z6" t="s">
        <v>162</v>
      </c>
      <c r="AA6" t="s">
        <v>93</v>
      </c>
      <c r="AB6" t="s">
        <v>163</v>
      </c>
      <c r="AC6" t="s">
        <v>164</v>
      </c>
    </row>
    <row r="7" spans="1:29" hidden="1" x14ac:dyDescent="0.25">
      <c r="A7" t="s">
        <v>28</v>
      </c>
      <c r="B7" t="s">
        <v>78</v>
      </c>
      <c r="C7" t="s">
        <v>79</v>
      </c>
      <c r="D7" t="s">
        <v>79</v>
      </c>
      <c r="E7" t="s">
        <v>80</v>
      </c>
      <c r="F7" t="s">
        <v>165</v>
      </c>
      <c r="G7" t="s">
        <v>166</v>
      </c>
      <c r="H7" t="s">
        <v>167</v>
      </c>
      <c r="I7" t="s">
        <v>168</v>
      </c>
      <c r="J7" t="s">
        <v>169</v>
      </c>
      <c r="K7" t="s">
        <v>89</v>
      </c>
      <c r="L7" t="s">
        <v>170</v>
      </c>
      <c r="M7" t="s">
        <v>141</v>
      </c>
      <c r="N7" t="s">
        <v>89</v>
      </c>
      <c r="O7" t="s">
        <v>89</v>
      </c>
      <c r="P7" t="s">
        <v>171</v>
      </c>
      <c r="Q7" t="s">
        <v>172</v>
      </c>
      <c r="R7" t="s">
        <v>173</v>
      </c>
      <c r="S7" t="s">
        <v>93</v>
      </c>
      <c r="T7" t="s">
        <v>174</v>
      </c>
      <c r="U7" t="s">
        <v>89</v>
      </c>
      <c r="V7" t="s">
        <v>89</v>
      </c>
      <c r="W7" t="s">
        <v>89</v>
      </c>
      <c r="X7" t="s">
        <v>175</v>
      </c>
      <c r="Y7" t="s">
        <v>176</v>
      </c>
      <c r="Z7" t="s">
        <v>177</v>
      </c>
      <c r="AA7" t="s">
        <v>93</v>
      </c>
      <c r="AB7" t="s">
        <v>178</v>
      </c>
      <c r="AC7" t="s">
        <v>179</v>
      </c>
    </row>
    <row r="8" spans="1:29" hidden="1" x14ac:dyDescent="0.25">
      <c r="A8" t="s">
        <v>28</v>
      </c>
      <c r="B8" t="s">
        <v>78</v>
      </c>
      <c r="C8" t="s">
        <v>79</v>
      </c>
      <c r="D8" t="s">
        <v>79</v>
      </c>
      <c r="E8" t="s">
        <v>80</v>
      </c>
      <c r="F8" t="s">
        <v>38</v>
      </c>
      <c r="G8" t="s">
        <v>180</v>
      </c>
      <c r="H8" t="s">
        <v>181</v>
      </c>
      <c r="I8" t="s">
        <v>182</v>
      </c>
      <c r="J8" t="s">
        <v>183</v>
      </c>
      <c r="K8" t="s">
        <v>89</v>
      </c>
      <c r="L8" t="s">
        <v>118</v>
      </c>
      <c r="M8" t="s">
        <v>141</v>
      </c>
      <c r="N8" t="s">
        <v>89</v>
      </c>
      <c r="O8" t="s">
        <v>89</v>
      </c>
      <c r="P8" t="s">
        <v>184</v>
      </c>
      <c r="Q8" t="s">
        <v>185</v>
      </c>
      <c r="R8" t="s">
        <v>186</v>
      </c>
      <c r="S8" t="s">
        <v>93</v>
      </c>
      <c r="T8" t="s">
        <v>187</v>
      </c>
      <c r="U8" t="s">
        <v>87</v>
      </c>
      <c r="V8" t="s">
        <v>89</v>
      </c>
      <c r="W8" t="s">
        <v>188</v>
      </c>
      <c r="X8" t="s">
        <v>189</v>
      </c>
      <c r="Y8" t="s">
        <v>190</v>
      </c>
      <c r="Z8" t="s">
        <v>191</v>
      </c>
      <c r="AA8" t="s">
        <v>93</v>
      </c>
      <c r="AB8" t="s">
        <v>192</v>
      </c>
      <c r="AC8" t="s">
        <v>193</v>
      </c>
    </row>
    <row r="9" spans="1:29" hidden="1" x14ac:dyDescent="0.25">
      <c r="A9" t="s">
        <v>28</v>
      </c>
      <c r="B9" t="s">
        <v>78</v>
      </c>
      <c r="C9" t="s">
        <v>79</v>
      </c>
      <c r="D9" t="s">
        <v>79</v>
      </c>
      <c r="E9" t="s">
        <v>80</v>
      </c>
      <c r="F9" t="s">
        <v>39</v>
      </c>
      <c r="G9" t="s">
        <v>194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95</v>
      </c>
      <c r="N9" t="s">
        <v>89</v>
      </c>
      <c r="O9" t="s">
        <v>200</v>
      </c>
      <c r="P9" t="s">
        <v>201</v>
      </c>
      <c r="Q9" t="s">
        <v>202</v>
      </c>
      <c r="R9" t="s">
        <v>203</v>
      </c>
      <c r="S9" t="s">
        <v>93</v>
      </c>
      <c r="T9" t="s">
        <v>204</v>
      </c>
      <c r="U9" t="s">
        <v>205</v>
      </c>
      <c r="V9" t="s">
        <v>89</v>
      </c>
      <c r="W9" t="s">
        <v>110</v>
      </c>
      <c r="X9" t="s">
        <v>206</v>
      </c>
      <c r="Y9" t="s">
        <v>207</v>
      </c>
      <c r="Z9" t="s">
        <v>208</v>
      </c>
      <c r="AA9" t="s">
        <v>93</v>
      </c>
      <c r="AB9" t="s">
        <v>209</v>
      </c>
      <c r="AC9" t="s">
        <v>210</v>
      </c>
    </row>
    <row r="10" spans="1:29" hidden="1" x14ac:dyDescent="0.25">
      <c r="A10" t="s">
        <v>28</v>
      </c>
      <c r="B10" t="s">
        <v>78</v>
      </c>
      <c r="C10" t="s">
        <v>79</v>
      </c>
      <c r="D10" t="s">
        <v>79</v>
      </c>
      <c r="E10" t="s">
        <v>80</v>
      </c>
      <c r="F10" t="s">
        <v>32</v>
      </c>
      <c r="G10" t="s">
        <v>211</v>
      </c>
      <c r="H10" t="s">
        <v>212</v>
      </c>
      <c r="I10" t="s">
        <v>213</v>
      </c>
      <c r="J10" t="s">
        <v>89</v>
      </c>
      <c r="K10" t="s">
        <v>89</v>
      </c>
      <c r="L10" t="s">
        <v>170</v>
      </c>
      <c r="M10" t="s">
        <v>119</v>
      </c>
      <c r="N10" t="s">
        <v>89</v>
      </c>
      <c r="O10" t="s">
        <v>89</v>
      </c>
      <c r="P10" t="s">
        <v>120</v>
      </c>
      <c r="Q10" t="s">
        <v>214</v>
      </c>
      <c r="R10" t="s">
        <v>215</v>
      </c>
      <c r="S10" t="s">
        <v>93</v>
      </c>
      <c r="T10" t="s">
        <v>216</v>
      </c>
      <c r="U10" t="s">
        <v>95</v>
      </c>
      <c r="V10" t="s">
        <v>89</v>
      </c>
      <c r="W10" t="s">
        <v>217</v>
      </c>
      <c r="X10" t="s">
        <v>218</v>
      </c>
      <c r="Y10" t="s">
        <v>219</v>
      </c>
      <c r="Z10" t="s">
        <v>220</v>
      </c>
      <c r="AA10" t="s">
        <v>93</v>
      </c>
      <c r="AB10" t="s">
        <v>221</v>
      </c>
      <c r="AC10" t="s">
        <v>222</v>
      </c>
    </row>
    <row r="11" spans="1:29" hidden="1" x14ac:dyDescent="0.25">
      <c r="A11" t="s">
        <v>28</v>
      </c>
      <c r="B11" t="s">
        <v>78</v>
      </c>
      <c r="C11" t="s">
        <v>79</v>
      </c>
      <c r="D11" t="s">
        <v>79</v>
      </c>
      <c r="E11" t="s">
        <v>80</v>
      </c>
      <c r="F11" t="s">
        <v>33</v>
      </c>
      <c r="G11" t="s">
        <v>223</v>
      </c>
      <c r="H11" t="s">
        <v>224</v>
      </c>
      <c r="I11" t="s">
        <v>225</v>
      </c>
      <c r="J11" t="s">
        <v>89</v>
      </c>
      <c r="K11" t="s">
        <v>89</v>
      </c>
      <c r="L11" t="s">
        <v>152</v>
      </c>
      <c r="M11" t="s">
        <v>205</v>
      </c>
      <c r="N11" t="s">
        <v>89</v>
      </c>
      <c r="O11" t="s">
        <v>89</v>
      </c>
      <c r="P11" t="s">
        <v>120</v>
      </c>
      <c r="Q11" t="s">
        <v>226</v>
      </c>
      <c r="R11" t="s">
        <v>227</v>
      </c>
      <c r="S11" t="s">
        <v>93</v>
      </c>
      <c r="T11" t="s">
        <v>228</v>
      </c>
      <c r="U11" t="s">
        <v>119</v>
      </c>
      <c r="V11" t="s">
        <v>89</v>
      </c>
      <c r="W11" t="s">
        <v>229</v>
      </c>
      <c r="X11" t="s">
        <v>230</v>
      </c>
      <c r="Y11" t="s">
        <v>231</v>
      </c>
      <c r="Z11" t="s">
        <v>232</v>
      </c>
      <c r="AA11" t="s">
        <v>93</v>
      </c>
      <c r="AB11" t="s">
        <v>233</v>
      </c>
      <c r="AC11" t="s">
        <v>234</v>
      </c>
    </row>
    <row r="12" spans="1:29" hidden="1" x14ac:dyDescent="0.25">
      <c r="A12" t="s">
        <v>28</v>
      </c>
      <c r="B12" t="s">
        <v>78</v>
      </c>
      <c r="C12" t="s">
        <v>79</v>
      </c>
      <c r="D12" t="s">
        <v>79</v>
      </c>
      <c r="E12" t="s">
        <v>80</v>
      </c>
      <c r="F12" t="s">
        <v>34</v>
      </c>
      <c r="G12" t="s">
        <v>235</v>
      </c>
      <c r="H12" t="s">
        <v>236</v>
      </c>
      <c r="I12" t="s">
        <v>237</v>
      </c>
      <c r="J12" t="s">
        <v>89</v>
      </c>
      <c r="K12" t="s">
        <v>198</v>
      </c>
      <c r="L12" t="s">
        <v>238</v>
      </c>
      <c r="M12" t="s">
        <v>239</v>
      </c>
      <c r="N12" t="s">
        <v>96</v>
      </c>
      <c r="O12" t="s">
        <v>89</v>
      </c>
      <c r="P12" t="s">
        <v>240</v>
      </c>
      <c r="Q12" t="s">
        <v>241</v>
      </c>
      <c r="R12" t="s">
        <v>242</v>
      </c>
      <c r="S12" t="s">
        <v>93</v>
      </c>
      <c r="T12" t="s">
        <v>98</v>
      </c>
      <c r="U12" t="s">
        <v>136</v>
      </c>
      <c r="V12" t="s">
        <v>96</v>
      </c>
      <c r="W12" t="s">
        <v>243</v>
      </c>
      <c r="X12" t="s">
        <v>98</v>
      </c>
      <c r="Y12" t="s">
        <v>244</v>
      </c>
      <c r="Z12" t="s">
        <v>245</v>
      </c>
      <c r="AA12" t="s">
        <v>93</v>
      </c>
      <c r="AB12" t="s">
        <v>246</v>
      </c>
      <c r="AC12" t="s">
        <v>247</v>
      </c>
    </row>
    <row r="13" spans="1:29" hidden="1" x14ac:dyDescent="0.25">
      <c r="A13" t="s">
        <v>28</v>
      </c>
      <c r="B13" t="s">
        <v>78</v>
      </c>
      <c r="C13" t="s">
        <v>79</v>
      </c>
      <c r="D13" t="s">
        <v>79</v>
      </c>
      <c r="E13" t="s">
        <v>80</v>
      </c>
      <c r="F13" t="s">
        <v>35</v>
      </c>
      <c r="G13" t="s">
        <v>248</v>
      </c>
      <c r="H13" t="s">
        <v>249</v>
      </c>
      <c r="I13" t="s">
        <v>250</v>
      </c>
      <c r="J13" t="s">
        <v>89</v>
      </c>
      <c r="K13" t="s">
        <v>198</v>
      </c>
      <c r="L13" t="s">
        <v>86</v>
      </c>
      <c r="M13" t="s">
        <v>141</v>
      </c>
      <c r="N13" t="s">
        <v>96</v>
      </c>
      <c r="O13" t="s">
        <v>89</v>
      </c>
      <c r="P13" t="s">
        <v>240</v>
      </c>
      <c r="Q13" t="s">
        <v>251</v>
      </c>
      <c r="R13" t="s">
        <v>252</v>
      </c>
      <c r="S13" t="s">
        <v>93</v>
      </c>
      <c r="T13" t="s">
        <v>253</v>
      </c>
      <c r="U13" t="s">
        <v>136</v>
      </c>
      <c r="V13" t="s">
        <v>254</v>
      </c>
      <c r="W13" t="s">
        <v>89</v>
      </c>
      <c r="X13" t="s">
        <v>98</v>
      </c>
      <c r="Y13" t="s">
        <v>255</v>
      </c>
      <c r="Z13" t="s">
        <v>256</v>
      </c>
      <c r="AA13" t="s">
        <v>93</v>
      </c>
      <c r="AB13" t="s">
        <v>257</v>
      </c>
      <c r="AC13" t="s">
        <v>258</v>
      </c>
    </row>
    <row r="14" spans="1:29" hidden="1" x14ac:dyDescent="0.25">
      <c r="A14" t="s">
        <v>28</v>
      </c>
      <c r="B14" t="s">
        <v>78</v>
      </c>
      <c r="C14" t="s">
        <v>79</v>
      </c>
      <c r="D14" t="s">
        <v>79</v>
      </c>
      <c r="E14" t="s">
        <v>80</v>
      </c>
      <c r="F14" t="s">
        <v>36</v>
      </c>
      <c r="G14" t="s">
        <v>259</v>
      </c>
      <c r="H14" t="s">
        <v>260</v>
      </c>
      <c r="I14" t="s">
        <v>261</v>
      </c>
      <c r="J14" t="s">
        <v>262</v>
      </c>
      <c r="K14" t="s">
        <v>198</v>
      </c>
      <c r="L14" t="s">
        <v>152</v>
      </c>
      <c r="M14" t="s">
        <v>141</v>
      </c>
      <c r="N14" t="s">
        <v>96</v>
      </c>
      <c r="O14" t="s">
        <v>89</v>
      </c>
      <c r="P14" t="s">
        <v>263</v>
      </c>
      <c r="Q14" t="s">
        <v>264</v>
      </c>
      <c r="R14" t="s">
        <v>265</v>
      </c>
      <c r="S14" t="s">
        <v>93</v>
      </c>
      <c r="T14" t="s">
        <v>266</v>
      </c>
      <c r="U14" t="s">
        <v>87</v>
      </c>
      <c r="V14" t="s">
        <v>267</v>
      </c>
      <c r="W14" t="s">
        <v>268</v>
      </c>
      <c r="X14" t="s">
        <v>98</v>
      </c>
      <c r="Y14" t="s">
        <v>269</v>
      </c>
      <c r="Z14" t="s">
        <v>270</v>
      </c>
      <c r="AA14" t="s">
        <v>93</v>
      </c>
      <c r="AB14" t="s">
        <v>271</v>
      </c>
      <c r="AC14" t="s">
        <v>272</v>
      </c>
    </row>
    <row r="15" spans="1:29" hidden="1" x14ac:dyDescent="0.25">
      <c r="A15" t="s">
        <v>28</v>
      </c>
      <c r="B15" t="s">
        <v>273</v>
      </c>
      <c r="C15" t="s">
        <v>79</v>
      </c>
      <c r="D15" t="s">
        <v>274</v>
      </c>
      <c r="E15" t="s">
        <v>80</v>
      </c>
      <c r="F15" t="s">
        <v>29</v>
      </c>
      <c r="G15" t="s">
        <v>275</v>
      </c>
      <c r="H15" t="s">
        <v>276</v>
      </c>
      <c r="I15" t="s">
        <v>277</v>
      </c>
      <c r="J15" t="s">
        <v>89</v>
      </c>
      <c r="K15" t="s">
        <v>89</v>
      </c>
      <c r="L15" t="s">
        <v>170</v>
      </c>
      <c r="M15" t="s">
        <v>239</v>
      </c>
      <c r="N15" t="s">
        <v>89</v>
      </c>
      <c r="O15" t="s">
        <v>89</v>
      </c>
      <c r="P15" t="s">
        <v>278</v>
      </c>
      <c r="Q15" t="s">
        <v>279</v>
      </c>
      <c r="R15" t="s">
        <v>280</v>
      </c>
      <c r="S15" t="s">
        <v>93</v>
      </c>
      <c r="T15" t="s">
        <v>281</v>
      </c>
      <c r="U15" t="s">
        <v>87</v>
      </c>
      <c r="V15" t="s">
        <v>88</v>
      </c>
      <c r="W15" t="s">
        <v>89</v>
      </c>
      <c r="X15" t="s">
        <v>282</v>
      </c>
      <c r="Y15" t="s">
        <v>283</v>
      </c>
      <c r="Z15" t="s">
        <v>284</v>
      </c>
      <c r="AA15" t="s">
        <v>93</v>
      </c>
      <c r="AB15" t="s">
        <v>285</v>
      </c>
      <c r="AC15" t="s">
        <v>286</v>
      </c>
    </row>
    <row r="16" spans="1:29" hidden="1" x14ac:dyDescent="0.25">
      <c r="A16" t="s">
        <v>28</v>
      </c>
      <c r="B16" t="s">
        <v>273</v>
      </c>
      <c r="C16" t="s">
        <v>79</v>
      </c>
      <c r="D16" t="s">
        <v>274</v>
      </c>
      <c r="E16" t="s">
        <v>80</v>
      </c>
      <c r="F16" t="s">
        <v>30</v>
      </c>
      <c r="G16" t="s">
        <v>287</v>
      </c>
      <c r="H16" t="s">
        <v>288</v>
      </c>
      <c r="I16" t="s">
        <v>289</v>
      </c>
      <c r="J16" t="s">
        <v>89</v>
      </c>
      <c r="K16" t="s">
        <v>290</v>
      </c>
      <c r="L16" t="s">
        <v>86</v>
      </c>
      <c r="M16" t="s">
        <v>205</v>
      </c>
      <c r="N16" t="s">
        <v>291</v>
      </c>
      <c r="O16" t="s">
        <v>89</v>
      </c>
      <c r="P16" t="s">
        <v>278</v>
      </c>
      <c r="Q16" t="s">
        <v>292</v>
      </c>
      <c r="R16" t="s">
        <v>92</v>
      </c>
      <c r="S16" t="s">
        <v>93</v>
      </c>
      <c r="T16" t="s">
        <v>94</v>
      </c>
      <c r="U16" t="s">
        <v>87</v>
      </c>
      <c r="V16" t="s">
        <v>291</v>
      </c>
      <c r="W16" t="s">
        <v>89</v>
      </c>
      <c r="X16" t="s">
        <v>278</v>
      </c>
      <c r="Y16" t="s">
        <v>293</v>
      </c>
      <c r="Z16" t="s">
        <v>100</v>
      </c>
      <c r="AA16" t="s">
        <v>93</v>
      </c>
      <c r="AB16" t="s">
        <v>101</v>
      </c>
      <c r="AC16" t="s">
        <v>294</v>
      </c>
    </row>
    <row r="17" spans="1:29" hidden="1" x14ac:dyDescent="0.25">
      <c r="A17" t="s">
        <v>28</v>
      </c>
      <c r="B17" t="s">
        <v>273</v>
      </c>
      <c r="C17" t="s">
        <v>79</v>
      </c>
      <c r="D17" t="s">
        <v>274</v>
      </c>
      <c r="E17" t="s">
        <v>80</v>
      </c>
      <c r="F17" t="s">
        <v>42</v>
      </c>
      <c r="G17" t="s">
        <v>295</v>
      </c>
      <c r="H17" t="s">
        <v>296</v>
      </c>
      <c r="I17" t="s">
        <v>297</v>
      </c>
      <c r="J17" t="s">
        <v>89</v>
      </c>
      <c r="K17" t="s">
        <v>85</v>
      </c>
      <c r="L17" t="s">
        <v>298</v>
      </c>
      <c r="M17" t="s">
        <v>136</v>
      </c>
      <c r="N17" t="s">
        <v>96</v>
      </c>
      <c r="O17" t="s">
        <v>89</v>
      </c>
      <c r="P17" t="s">
        <v>120</v>
      </c>
      <c r="Q17" t="s">
        <v>299</v>
      </c>
      <c r="R17" t="s">
        <v>242</v>
      </c>
      <c r="S17" t="s">
        <v>93</v>
      </c>
      <c r="T17" t="s">
        <v>98</v>
      </c>
      <c r="U17" t="s">
        <v>87</v>
      </c>
      <c r="V17" t="s">
        <v>254</v>
      </c>
      <c r="W17" t="s">
        <v>89</v>
      </c>
      <c r="X17" t="s">
        <v>98</v>
      </c>
      <c r="Y17" t="s">
        <v>300</v>
      </c>
      <c r="Z17" t="s">
        <v>245</v>
      </c>
      <c r="AA17" t="s">
        <v>93</v>
      </c>
      <c r="AB17" t="s">
        <v>246</v>
      </c>
      <c r="AC17" t="s">
        <v>301</v>
      </c>
    </row>
    <row r="18" spans="1:29" hidden="1" x14ac:dyDescent="0.25">
      <c r="A18" t="s">
        <v>28</v>
      </c>
      <c r="B18" t="s">
        <v>273</v>
      </c>
      <c r="C18" t="s">
        <v>79</v>
      </c>
      <c r="D18" t="s">
        <v>274</v>
      </c>
      <c r="E18" t="s">
        <v>80</v>
      </c>
      <c r="F18" t="s">
        <v>43</v>
      </c>
      <c r="G18" t="s">
        <v>302</v>
      </c>
      <c r="H18" t="s">
        <v>303</v>
      </c>
      <c r="I18" t="s">
        <v>304</v>
      </c>
      <c r="J18" t="s">
        <v>89</v>
      </c>
      <c r="K18" t="s">
        <v>85</v>
      </c>
      <c r="L18" t="s">
        <v>86</v>
      </c>
      <c r="M18" t="s">
        <v>95</v>
      </c>
      <c r="N18" t="s">
        <v>96</v>
      </c>
      <c r="O18" t="s">
        <v>89</v>
      </c>
      <c r="P18" t="s">
        <v>305</v>
      </c>
      <c r="Q18" t="s">
        <v>306</v>
      </c>
      <c r="R18" t="s">
        <v>307</v>
      </c>
      <c r="S18" t="s">
        <v>93</v>
      </c>
      <c r="T18" t="s">
        <v>308</v>
      </c>
      <c r="U18" t="s">
        <v>136</v>
      </c>
      <c r="V18" t="s">
        <v>254</v>
      </c>
      <c r="W18" t="s">
        <v>268</v>
      </c>
      <c r="X18" t="s">
        <v>98</v>
      </c>
      <c r="Y18" t="s">
        <v>309</v>
      </c>
      <c r="Z18" t="s">
        <v>252</v>
      </c>
      <c r="AA18" t="s">
        <v>93</v>
      </c>
      <c r="AB18" t="s">
        <v>253</v>
      </c>
      <c r="AC18" t="s">
        <v>310</v>
      </c>
    </row>
    <row r="19" spans="1:29" hidden="1" x14ac:dyDescent="0.25">
      <c r="A19" t="s">
        <v>28</v>
      </c>
      <c r="B19" t="s">
        <v>273</v>
      </c>
      <c r="C19" t="s">
        <v>79</v>
      </c>
      <c r="D19" t="s">
        <v>274</v>
      </c>
      <c r="E19" t="s">
        <v>80</v>
      </c>
      <c r="F19" t="s">
        <v>311</v>
      </c>
      <c r="G19" t="s">
        <v>312</v>
      </c>
      <c r="H19" t="s">
        <v>313</v>
      </c>
      <c r="I19" t="s">
        <v>314</v>
      </c>
      <c r="J19" t="s">
        <v>89</v>
      </c>
      <c r="K19" t="s">
        <v>85</v>
      </c>
      <c r="L19" t="s">
        <v>298</v>
      </c>
      <c r="M19" t="s">
        <v>136</v>
      </c>
      <c r="N19" t="s">
        <v>96</v>
      </c>
      <c r="O19" t="s">
        <v>89</v>
      </c>
      <c r="P19" t="s">
        <v>263</v>
      </c>
      <c r="Q19" t="s">
        <v>315</v>
      </c>
      <c r="R19" t="s">
        <v>316</v>
      </c>
      <c r="S19" t="s">
        <v>93</v>
      </c>
      <c r="T19" t="s">
        <v>317</v>
      </c>
      <c r="U19" t="s">
        <v>136</v>
      </c>
      <c r="V19" t="s">
        <v>267</v>
      </c>
      <c r="W19" t="s">
        <v>89</v>
      </c>
      <c r="X19" t="s">
        <v>98</v>
      </c>
      <c r="Y19" t="s">
        <v>318</v>
      </c>
      <c r="Z19" t="s">
        <v>319</v>
      </c>
      <c r="AA19" t="s">
        <v>93</v>
      </c>
      <c r="AB19" t="s">
        <v>320</v>
      </c>
      <c r="AC19" t="s">
        <v>321</v>
      </c>
    </row>
    <row r="20" spans="1:29" hidden="1" x14ac:dyDescent="0.25">
      <c r="A20" t="s">
        <v>28</v>
      </c>
      <c r="B20" t="s">
        <v>273</v>
      </c>
      <c r="C20" t="s">
        <v>79</v>
      </c>
      <c r="D20" t="s">
        <v>274</v>
      </c>
      <c r="E20" t="s">
        <v>80</v>
      </c>
      <c r="F20" t="s">
        <v>322</v>
      </c>
      <c r="G20" t="s">
        <v>323</v>
      </c>
      <c r="H20" t="s">
        <v>324</v>
      </c>
      <c r="I20" t="s">
        <v>325</v>
      </c>
      <c r="J20" t="s">
        <v>89</v>
      </c>
      <c r="K20" t="s">
        <v>85</v>
      </c>
      <c r="L20" t="s">
        <v>86</v>
      </c>
      <c r="M20" t="s">
        <v>205</v>
      </c>
      <c r="N20" t="s">
        <v>89</v>
      </c>
      <c r="O20" t="s">
        <v>89</v>
      </c>
      <c r="P20" t="s">
        <v>263</v>
      </c>
      <c r="Q20" t="s">
        <v>326</v>
      </c>
      <c r="R20" t="s">
        <v>327</v>
      </c>
      <c r="S20" t="s">
        <v>93</v>
      </c>
      <c r="T20" t="s">
        <v>328</v>
      </c>
      <c r="U20" t="s">
        <v>157</v>
      </c>
      <c r="V20" t="s">
        <v>88</v>
      </c>
      <c r="W20" t="s">
        <v>89</v>
      </c>
      <c r="X20" t="s">
        <v>329</v>
      </c>
      <c r="Y20" t="s">
        <v>330</v>
      </c>
      <c r="Z20" t="s">
        <v>331</v>
      </c>
      <c r="AA20" t="s">
        <v>93</v>
      </c>
      <c r="AB20" t="s">
        <v>332</v>
      </c>
      <c r="AC20" t="s">
        <v>333</v>
      </c>
    </row>
    <row r="21" spans="1:29" hidden="1" x14ac:dyDescent="0.25">
      <c r="A21" t="s">
        <v>28</v>
      </c>
      <c r="B21" t="s">
        <v>273</v>
      </c>
      <c r="C21" t="s">
        <v>79</v>
      </c>
      <c r="D21" t="s">
        <v>274</v>
      </c>
      <c r="E21" t="s">
        <v>80</v>
      </c>
      <c r="F21" t="s">
        <v>334</v>
      </c>
      <c r="G21" t="s">
        <v>335</v>
      </c>
      <c r="H21" t="s">
        <v>336</v>
      </c>
      <c r="I21" t="s">
        <v>337</v>
      </c>
      <c r="J21" t="s">
        <v>89</v>
      </c>
      <c r="K21" t="s">
        <v>198</v>
      </c>
      <c r="L21" t="s">
        <v>338</v>
      </c>
      <c r="M21" t="s">
        <v>136</v>
      </c>
      <c r="N21" t="s">
        <v>89</v>
      </c>
      <c r="O21" t="s">
        <v>89</v>
      </c>
      <c r="P21" t="s">
        <v>120</v>
      </c>
      <c r="Q21" t="s">
        <v>339</v>
      </c>
      <c r="R21" t="s">
        <v>340</v>
      </c>
      <c r="S21" t="s">
        <v>93</v>
      </c>
      <c r="T21" t="s">
        <v>341</v>
      </c>
      <c r="U21" t="s">
        <v>95</v>
      </c>
      <c r="V21" t="s">
        <v>89</v>
      </c>
      <c r="W21" t="s">
        <v>89</v>
      </c>
      <c r="X21" t="s">
        <v>342</v>
      </c>
      <c r="Y21" t="s">
        <v>343</v>
      </c>
      <c r="Z21" t="s">
        <v>344</v>
      </c>
      <c r="AA21" t="s">
        <v>93</v>
      </c>
      <c r="AB21" t="s">
        <v>345</v>
      </c>
      <c r="AC21" t="s">
        <v>346</v>
      </c>
    </row>
    <row r="22" spans="1:29" hidden="1" x14ac:dyDescent="0.25">
      <c r="A22" t="s">
        <v>28</v>
      </c>
      <c r="B22" t="s">
        <v>273</v>
      </c>
      <c r="C22" t="s">
        <v>79</v>
      </c>
      <c r="D22" t="s">
        <v>274</v>
      </c>
      <c r="E22" t="s">
        <v>80</v>
      </c>
      <c r="F22" t="s">
        <v>347</v>
      </c>
      <c r="G22" t="s">
        <v>348</v>
      </c>
      <c r="H22" t="s">
        <v>349</v>
      </c>
      <c r="I22" t="s">
        <v>350</v>
      </c>
      <c r="J22" t="s">
        <v>89</v>
      </c>
      <c r="K22" t="s">
        <v>89</v>
      </c>
      <c r="L22" t="s">
        <v>338</v>
      </c>
      <c r="M22" t="s">
        <v>136</v>
      </c>
      <c r="N22" t="s">
        <v>89</v>
      </c>
      <c r="O22" t="s">
        <v>89</v>
      </c>
      <c r="P22" t="s">
        <v>263</v>
      </c>
      <c r="Q22" t="s">
        <v>351</v>
      </c>
      <c r="R22" t="s">
        <v>352</v>
      </c>
      <c r="S22" t="s">
        <v>93</v>
      </c>
      <c r="T22" t="s">
        <v>353</v>
      </c>
      <c r="U22" t="s">
        <v>87</v>
      </c>
      <c r="V22" t="s">
        <v>96</v>
      </c>
      <c r="W22" t="s">
        <v>97</v>
      </c>
      <c r="X22" t="s">
        <v>98</v>
      </c>
      <c r="Y22" t="s">
        <v>354</v>
      </c>
      <c r="Z22" t="s">
        <v>355</v>
      </c>
      <c r="AA22" t="s">
        <v>93</v>
      </c>
      <c r="AB22" t="s">
        <v>356</v>
      </c>
      <c r="AC22" t="s">
        <v>357</v>
      </c>
    </row>
    <row r="23" spans="1:29" hidden="1" x14ac:dyDescent="0.25">
      <c r="A23" t="s">
        <v>28</v>
      </c>
      <c r="B23" t="s">
        <v>273</v>
      </c>
      <c r="C23" t="s">
        <v>79</v>
      </c>
      <c r="D23" t="s">
        <v>274</v>
      </c>
      <c r="E23" t="s">
        <v>80</v>
      </c>
      <c r="F23" t="s">
        <v>358</v>
      </c>
      <c r="G23" t="s">
        <v>359</v>
      </c>
      <c r="H23" t="s">
        <v>360</v>
      </c>
      <c r="I23" t="s">
        <v>361</v>
      </c>
      <c r="J23" t="s">
        <v>89</v>
      </c>
      <c r="K23" t="s">
        <v>85</v>
      </c>
      <c r="L23" t="s">
        <v>86</v>
      </c>
      <c r="M23" t="s">
        <v>136</v>
      </c>
      <c r="N23" t="s">
        <v>89</v>
      </c>
      <c r="O23" t="s">
        <v>89</v>
      </c>
      <c r="P23" t="s">
        <v>362</v>
      </c>
      <c r="Q23" t="s">
        <v>363</v>
      </c>
      <c r="R23" t="s">
        <v>191</v>
      </c>
      <c r="S23" t="s">
        <v>93</v>
      </c>
      <c r="T23" t="s">
        <v>192</v>
      </c>
      <c r="U23" t="s">
        <v>136</v>
      </c>
      <c r="V23" t="s">
        <v>96</v>
      </c>
      <c r="W23" t="s">
        <v>229</v>
      </c>
      <c r="X23" t="s">
        <v>98</v>
      </c>
      <c r="Y23" t="s">
        <v>364</v>
      </c>
      <c r="Z23" t="s">
        <v>365</v>
      </c>
      <c r="AA23" t="s">
        <v>93</v>
      </c>
      <c r="AB23" t="s">
        <v>366</v>
      </c>
      <c r="AC23" t="s">
        <v>367</v>
      </c>
    </row>
    <row r="24" spans="1:29" hidden="1" x14ac:dyDescent="0.25">
      <c r="A24" t="s">
        <v>28</v>
      </c>
      <c r="B24" t="s">
        <v>273</v>
      </c>
      <c r="C24" t="s">
        <v>79</v>
      </c>
      <c r="D24" t="s">
        <v>274</v>
      </c>
      <c r="E24" t="s">
        <v>80</v>
      </c>
      <c r="F24" t="s">
        <v>31</v>
      </c>
      <c r="G24" t="s">
        <v>368</v>
      </c>
      <c r="H24" t="s">
        <v>369</v>
      </c>
      <c r="I24" t="s">
        <v>370</v>
      </c>
      <c r="J24" t="s">
        <v>89</v>
      </c>
      <c r="K24" t="s">
        <v>198</v>
      </c>
      <c r="L24" t="s">
        <v>338</v>
      </c>
      <c r="M24" t="s">
        <v>95</v>
      </c>
      <c r="N24" t="s">
        <v>267</v>
      </c>
      <c r="O24" t="s">
        <v>89</v>
      </c>
      <c r="P24" t="s">
        <v>371</v>
      </c>
      <c r="Q24" t="s">
        <v>372</v>
      </c>
      <c r="R24" t="s">
        <v>373</v>
      </c>
      <c r="S24" t="s">
        <v>93</v>
      </c>
      <c r="T24" t="s">
        <v>374</v>
      </c>
      <c r="U24" t="s">
        <v>205</v>
      </c>
      <c r="V24" t="s">
        <v>267</v>
      </c>
      <c r="W24" t="s">
        <v>89</v>
      </c>
      <c r="X24" t="s">
        <v>375</v>
      </c>
      <c r="Y24" t="s">
        <v>376</v>
      </c>
      <c r="Z24" t="s">
        <v>108</v>
      </c>
      <c r="AA24" t="s">
        <v>93</v>
      </c>
      <c r="AB24" t="s">
        <v>109</v>
      </c>
      <c r="AC24" t="s">
        <v>377</v>
      </c>
    </row>
    <row r="25" spans="1:29" hidden="1" x14ac:dyDescent="0.25">
      <c r="A25" t="s">
        <v>28</v>
      </c>
      <c r="B25" t="s">
        <v>273</v>
      </c>
      <c r="C25" t="s">
        <v>79</v>
      </c>
      <c r="D25" t="s">
        <v>274</v>
      </c>
      <c r="E25" t="s">
        <v>80</v>
      </c>
      <c r="F25" t="s">
        <v>378</v>
      </c>
      <c r="G25" t="s">
        <v>379</v>
      </c>
      <c r="H25" t="s">
        <v>380</v>
      </c>
      <c r="I25" t="s">
        <v>381</v>
      </c>
      <c r="J25" t="s">
        <v>89</v>
      </c>
      <c r="K25" t="s">
        <v>89</v>
      </c>
      <c r="L25" t="s">
        <v>86</v>
      </c>
      <c r="M25" t="s">
        <v>136</v>
      </c>
      <c r="N25" t="s">
        <v>88</v>
      </c>
      <c r="O25" t="s">
        <v>89</v>
      </c>
      <c r="P25" t="s">
        <v>240</v>
      </c>
      <c r="Q25" t="s">
        <v>382</v>
      </c>
      <c r="R25" t="s">
        <v>383</v>
      </c>
      <c r="S25" t="s">
        <v>93</v>
      </c>
      <c r="T25" t="s">
        <v>384</v>
      </c>
      <c r="U25" t="s">
        <v>87</v>
      </c>
      <c r="V25" t="s">
        <v>96</v>
      </c>
      <c r="W25" t="s">
        <v>268</v>
      </c>
      <c r="X25" t="s">
        <v>98</v>
      </c>
      <c r="Y25" t="s">
        <v>385</v>
      </c>
      <c r="Z25" t="s">
        <v>307</v>
      </c>
      <c r="AA25" t="s">
        <v>93</v>
      </c>
      <c r="AB25" t="s">
        <v>308</v>
      </c>
      <c r="AC25" t="s">
        <v>386</v>
      </c>
    </row>
    <row r="26" spans="1:29" hidden="1" x14ac:dyDescent="0.25">
      <c r="A26" t="s">
        <v>28</v>
      </c>
      <c r="B26" t="s">
        <v>273</v>
      </c>
      <c r="C26" t="s">
        <v>79</v>
      </c>
      <c r="D26" t="s">
        <v>274</v>
      </c>
      <c r="E26" t="s">
        <v>80</v>
      </c>
      <c r="F26" t="s">
        <v>387</v>
      </c>
      <c r="G26" t="s">
        <v>388</v>
      </c>
      <c r="H26" t="s">
        <v>389</v>
      </c>
      <c r="I26" t="s">
        <v>390</v>
      </c>
      <c r="J26" t="s">
        <v>89</v>
      </c>
      <c r="K26" t="s">
        <v>198</v>
      </c>
      <c r="L26" t="s">
        <v>118</v>
      </c>
      <c r="M26" t="s">
        <v>95</v>
      </c>
      <c r="N26" t="s">
        <v>88</v>
      </c>
      <c r="O26" t="s">
        <v>89</v>
      </c>
      <c r="P26" t="s">
        <v>120</v>
      </c>
      <c r="Q26" t="s">
        <v>391</v>
      </c>
      <c r="R26" t="s">
        <v>392</v>
      </c>
      <c r="S26" t="s">
        <v>93</v>
      </c>
      <c r="T26" t="s">
        <v>393</v>
      </c>
      <c r="U26" t="s">
        <v>205</v>
      </c>
      <c r="V26" t="s">
        <v>88</v>
      </c>
      <c r="W26" t="s">
        <v>89</v>
      </c>
      <c r="X26" t="s">
        <v>98</v>
      </c>
      <c r="Y26" t="s">
        <v>394</v>
      </c>
      <c r="Z26" t="s">
        <v>316</v>
      </c>
      <c r="AA26" t="s">
        <v>93</v>
      </c>
      <c r="AB26" t="s">
        <v>317</v>
      </c>
      <c r="AC26" t="s">
        <v>395</v>
      </c>
    </row>
    <row r="27" spans="1:29" hidden="1" x14ac:dyDescent="0.25">
      <c r="A27" t="s">
        <v>28</v>
      </c>
      <c r="B27" t="s">
        <v>273</v>
      </c>
      <c r="C27" t="s">
        <v>79</v>
      </c>
      <c r="D27" t="s">
        <v>274</v>
      </c>
      <c r="E27" t="s">
        <v>80</v>
      </c>
      <c r="F27" t="s">
        <v>396</v>
      </c>
      <c r="G27" t="s">
        <v>397</v>
      </c>
      <c r="H27" t="s">
        <v>398</v>
      </c>
      <c r="I27" t="s">
        <v>399</v>
      </c>
      <c r="J27" t="s">
        <v>89</v>
      </c>
      <c r="K27" t="s">
        <v>198</v>
      </c>
      <c r="L27" t="s">
        <v>86</v>
      </c>
      <c r="M27" t="s">
        <v>87</v>
      </c>
      <c r="N27" t="s">
        <v>88</v>
      </c>
      <c r="O27" t="s">
        <v>89</v>
      </c>
      <c r="P27" t="s">
        <v>263</v>
      </c>
      <c r="Q27" t="s">
        <v>400</v>
      </c>
      <c r="R27" t="s">
        <v>401</v>
      </c>
      <c r="S27" t="s">
        <v>93</v>
      </c>
      <c r="T27" t="s">
        <v>402</v>
      </c>
      <c r="U27" t="s">
        <v>95</v>
      </c>
      <c r="V27" t="s">
        <v>88</v>
      </c>
      <c r="W27" t="s">
        <v>89</v>
      </c>
      <c r="X27" t="s">
        <v>98</v>
      </c>
      <c r="Y27" t="s">
        <v>403</v>
      </c>
      <c r="Z27" t="s">
        <v>327</v>
      </c>
      <c r="AA27" t="s">
        <v>93</v>
      </c>
      <c r="AB27" t="s">
        <v>328</v>
      </c>
      <c r="AC27" t="s">
        <v>404</v>
      </c>
    </row>
    <row r="28" spans="1:29" hidden="1" x14ac:dyDescent="0.25">
      <c r="A28" t="s">
        <v>28</v>
      </c>
      <c r="B28" t="s">
        <v>273</v>
      </c>
      <c r="C28" t="s">
        <v>79</v>
      </c>
      <c r="D28" t="s">
        <v>274</v>
      </c>
      <c r="E28" t="s">
        <v>80</v>
      </c>
      <c r="F28" t="s">
        <v>405</v>
      </c>
      <c r="G28" t="s">
        <v>406</v>
      </c>
      <c r="H28" t="s">
        <v>407</v>
      </c>
      <c r="I28" t="s">
        <v>408</v>
      </c>
      <c r="J28" t="s">
        <v>89</v>
      </c>
      <c r="K28" t="s">
        <v>198</v>
      </c>
      <c r="L28" t="s">
        <v>86</v>
      </c>
      <c r="M28" t="s">
        <v>87</v>
      </c>
      <c r="N28" t="s">
        <v>88</v>
      </c>
      <c r="O28" t="s">
        <v>89</v>
      </c>
      <c r="P28" t="s">
        <v>120</v>
      </c>
      <c r="Q28" t="s">
        <v>409</v>
      </c>
      <c r="R28" t="s">
        <v>410</v>
      </c>
      <c r="S28" t="s">
        <v>93</v>
      </c>
      <c r="T28" t="s">
        <v>411</v>
      </c>
      <c r="U28" t="s">
        <v>205</v>
      </c>
      <c r="V28" t="s">
        <v>88</v>
      </c>
      <c r="W28" t="s">
        <v>89</v>
      </c>
      <c r="X28" t="s">
        <v>98</v>
      </c>
      <c r="Y28" t="s">
        <v>412</v>
      </c>
      <c r="Z28" t="s">
        <v>340</v>
      </c>
      <c r="AA28" t="s">
        <v>93</v>
      </c>
      <c r="AB28" t="s">
        <v>341</v>
      </c>
      <c r="AC28" t="s">
        <v>413</v>
      </c>
    </row>
    <row r="29" spans="1:29" hidden="1" x14ac:dyDescent="0.25">
      <c r="A29" t="s">
        <v>28</v>
      </c>
      <c r="B29" t="s">
        <v>273</v>
      </c>
      <c r="C29" t="s">
        <v>79</v>
      </c>
      <c r="D29" t="s">
        <v>274</v>
      </c>
      <c r="E29" t="s">
        <v>80</v>
      </c>
      <c r="F29" t="s">
        <v>414</v>
      </c>
      <c r="G29" t="s">
        <v>415</v>
      </c>
      <c r="H29" t="s">
        <v>416</v>
      </c>
      <c r="I29" t="s">
        <v>417</v>
      </c>
      <c r="J29" t="s">
        <v>89</v>
      </c>
      <c r="K29" t="s">
        <v>198</v>
      </c>
      <c r="L29" t="s">
        <v>338</v>
      </c>
      <c r="M29" t="s">
        <v>87</v>
      </c>
      <c r="N29" t="s">
        <v>88</v>
      </c>
      <c r="O29" t="s">
        <v>89</v>
      </c>
      <c r="P29" t="s">
        <v>263</v>
      </c>
      <c r="Q29" t="s">
        <v>418</v>
      </c>
      <c r="R29" t="s">
        <v>352</v>
      </c>
      <c r="S29" t="s">
        <v>93</v>
      </c>
      <c r="T29" t="s">
        <v>353</v>
      </c>
      <c r="U29" t="s">
        <v>136</v>
      </c>
      <c r="V29" t="s">
        <v>267</v>
      </c>
      <c r="W29" t="s">
        <v>89</v>
      </c>
      <c r="X29" t="s">
        <v>98</v>
      </c>
      <c r="Y29" t="s">
        <v>419</v>
      </c>
      <c r="Z29" t="s">
        <v>355</v>
      </c>
      <c r="AA29" t="s">
        <v>93</v>
      </c>
      <c r="AB29" t="s">
        <v>356</v>
      </c>
      <c r="AC29" t="s">
        <v>420</v>
      </c>
    </row>
    <row r="30" spans="1:29" hidden="1" x14ac:dyDescent="0.25">
      <c r="A30" t="s">
        <v>28</v>
      </c>
      <c r="B30" t="s">
        <v>273</v>
      </c>
      <c r="C30" t="s">
        <v>79</v>
      </c>
      <c r="D30" t="s">
        <v>274</v>
      </c>
      <c r="E30" t="s">
        <v>80</v>
      </c>
      <c r="F30" t="s">
        <v>129</v>
      </c>
      <c r="G30" t="s">
        <v>421</v>
      </c>
      <c r="H30" t="s">
        <v>422</v>
      </c>
      <c r="I30" t="s">
        <v>423</v>
      </c>
      <c r="J30" t="s">
        <v>89</v>
      </c>
      <c r="K30" t="s">
        <v>89</v>
      </c>
      <c r="L30" t="s">
        <v>118</v>
      </c>
      <c r="M30" t="s">
        <v>136</v>
      </c>
      <c r="N30" t="s">
        <v>96</v>
      </c>
      <c r="O30" t="s">
        <v>89</v>
      </c>
      <c r="P30" t="s">
        <v>263</v>
      </c>
      <c r="Q30" t="s">
        <v>424</v>
      </c>
      <c r="R30" t="s">
        <v>191</v>
      </c>
      <c r="S30" t="s">
        <v>93</v>
      </c>
      <c r="T30" t="s">
        <v>192</v>
      </c>
      <c r="U30" t="s">
        <v>136</v>
      </c>
      <c r="V30" t="s">
        <v>267</v>
      </c>
      <c r="W30" t="s">
        <v>217</v>
      </c>
      <c r="X30" t="s">
        <v>98</v>
      </c>
      <c r="Y30" t="s">
        <v>425</v>
      </c>
      <c r="Z30" t="s">
        <v>365</v>
      </c>
      <c r="AA30" t="s">
        <v>93</v>
      </c>
      <c r="AB30" t="s">
        <v>366</v>
      </c>
      <c r="AC30" t="s">
        <v>426</v>
      </c>
    </row>
    <row r="31" spans="1:29" hidden="1" x14ac:dyDescent="0.25">
      <c r="A31" t="s">
        <v>28</v>
      </c>
      <c r="B31" t="s">
        <v>273</v>
      </c>
      <c r="C31" t="s">
        <v>79</v>
      </c>
      <c r="D31" t="s">
        <v>274</v>
      </c>
      <c r="E31" t="s">
        <v>80</v>
      </c>
      <c r="F31" t="s">
        <v>147</v>
      </c>
      <c r="G31" t="s">
        <v>427</v>
      </c>
      <c r="H31" t="s">
        <v>428</v>
      </c>
      <c r="I31" t="s">
        <v>429</v>
      </c>
      <c r="J31" t="s">
        <v>89</v>
      </c>
      <c r="K31" t="s">
        <v>85</v>
      </c>
      <c r="L31" t="s">
        <v>238</v>
      </c>
      <c r="M31" t="s">
        <v>87</v>
      </c>
      <c r="N31" t="s">
        <v>96</v>
      </c>
      <c r="O31" t="s">
        <v>89</v>
      </c>
      <c r="P31" t="s">
        <v>263</v>
      </c>
      <c r="Q31" t="s">
        <v>430</v>
      </c>
      <c r="R31" t="s">
        <v>203</v>
      </c>
      <c r="S31" t="s">
        <v>93</v>
      </c>
      <c r="T31" t="s">
        <v>204</v>
      </c>
      <c r="U31" t="s">
        <v>136</v>
      </c>
      <c r="V31" t="s">
        <v>267</v>
      </c>
      <c r="W31" t="s">
        <v>217</v>
      </c>
      <c r="X31" t="s">
        <v>98</v>
      </c>
      <c r="Y31" t="s">
        <v>431</v>
      </c>
      <c r="Z31" t="s">
        <v>208</v>
      </c>
      <c r="AA31" t="s">
        <v>93</v>
      </c>
      <c r="AB31" t="s">
        <v>209</v>
      </c>
      <c r="AC31" t="s">
        <v>432</v>
      </c>
    </row>
    <row r="32" spans="1:29" hidden="1" x14ac:dyDescent="0.25">
      <c r="A32" t="s">
        <v>28</v>
      </c>
      <c r="B32" t="s">
        <v>273</v>
      </c>
      <c r="C32" t="s">
        <v>79</v>
      </c>
      <c r="D32" t="s">
        <v>274</v>
      </c>
      <c r="E32" t="s">
        <v>80</v>
      </c>
      <c r="F32" t="s">
        <v>165</v>
      </c>
      <c r="G32" t="s">
        <v>433</v>
      </c>
      <c r="H32" t="s">
        <v>434</v>
      </c>
      <c r="I32" t="s">
        <v>435</v>
      </c>
      <c r="J32" t="s">
        <v>89</v>
      </c>
      <c r="K32" t="s">
        <v>89</v>
      </c>
      <c r="L32" t="s">
        <v>86</v>
      </c>
      <c r="M32" t="s">
        <v>87</v>
      </c>
      <c r="N32" t="s">
        <v>96</v>
      </c>
      <c r="O32" t="s">
        <v>89</v>
      </c>
      <c r="P32" t="s">
        <v>120</v>
      </c>
      <c r="Q32" t="s">
        <v>436</v>
      </c>
      <c r="R32" t="s">
        <v>256</v>
      </c>
      <c r="S32" t="s">
        <v>93</v>
      </c>
      <c r="T32" t="s">
        <v>257</v>
      </c>
      <c r="U32" t="s">
        <v>136</v>
      </c>
      <c r="V32" t="s">
        <v>267</v>
      </c>
      <c r="W32" t="s">
        <v>229</v>
      </c>
      <c r="X32" t="s">
        <v>98</v>
      </c>
      <c r="Y32" t="s">
        <v>437</v>
      </c>
      <c r="Z32" t="s">
        <v>392</v>
      </c>
      <c r="AA32" t="s">
        <v>93</v>
      </c>
      <c r="AB32" t="s">
        <v>393</v>
      </c>
      <c r="AC32" t="s">
        <v>438</v>
      </c>
    </row>
    <row r="33" spans="1:29" hidden="1" x14ac:dyDescent="0.25">
      <c r="A33" t="s">
        <v>28</v>
      </c>
      <c r="B33" t="s">
        <v>273</v>
      </c>
      <c r="C33" t="s">
        <v>79</v>
      </c>
      <c r="D33" t="s">
        <v>274</v>
      </c>
      <c r="E33" t="s">
        <v>80</v>
      </c>
      <c r="F33" t="s">
        <v>38</v>
      </c>
      <c r="G33" t="s">
        <v>439</v>
      </c>
      <c r="H33" t="s">
        <v>440</v>
      </c>
      <c r="I33" t="s">
        <v>441</v>
      </c>
      <c r="J33" t="s">
        <v>89</v>
      </c>
      <c r="K33" t="s">
        <v>89</v>
      </c>
      <c r="L33" t="s">
        <v>118</v>
      </c>
      <c r="M33" t="s">
        <v>87</v>
      </c>
      <c r="N33" t="s">
        <v>89</v>
      </c>
      <c r="O33" t="s">
        <v>89</v>
      </c>
      <c r="P33" t="s">
        <v>305</v>
      </c>
      <c r="Q33" t="s">
        <v>442</v>
      </c>
      <c r="R33" t="s">
        <v>270</v>
      </c>
      <c r="S33" t="s">
        <v>93</v>
      </c>
      <c r="T33" t="s">
        <v>271</v>
      </c>
      <c r="U33" t="s">
        <v>87</v>
      </c>
      <c r="V33" t="s">
        <v>89</v>
      </c>
      <c r="W33" t="s">
        <v>89</v>
      </c>
      <c r="X33" t="s">
        <v>443</v>
      </c>
      <c r="Y33" t="s">
        <v>444</v>
      </c>
      <c r="Z33" t="s">
        <v>401</v>
      </c>
      <c r="AA33" t="s">
        <v>93</v>
      </c>
      <c r="AB33" t="s">
        <v>402</v>
      </c>
      <c r="AC33" t="s">
        <v>445</v>
      </c>
    </row>
    <row r="34" spans="1:29" hidden="1" x14ac:dyDescent="0.25">
      <c r="A34" t="s">
        <v>28</v>
      </c>
      <c r="B34" t="s">
        <v>273</v>
      </c>
      <c r="C34" t="s">
        <v>79</v>
      </c>
      <c r="D34" t="s">
        <v>274</v>
      </c>
      <c r="E34" t="s">
        <v>80</v>
      </c>
      <c r="F34" t="s">
        <v>39</v>
      </c>
      <c r="G34" t="s">
        <v>446</v>
      </c>
      <c r="H34" t="s">
        <v>447</v>
      </c>
      <c r="I34" t="s">
        <v>448</v>
      </c>
      <c r="J34" t="s">
        <v>89</v>
      </c>
      <c r="K34" t="s">
        <v>89</v>
      </c>
      <c r="L34" t="s">
        <v>135</v>
      </c>
      <c r="M34" t="s">
        <v>449</v>
      </c>
      <c r="N34" t="s">
        <v>89</v>
      </c>
      <c r="O34" t="s">
        <v>89</v>
      </c>
      <c r="P34" t="s">
        <v>120</v>
      </c>
      <c r="Q34" t="s">
        <v>450</v>
      </c>
      <c r="R34" t="s">
        <v>410</v>
      </c>
      <c r="S34" t="s">
        <v>93</v>
      </c>
      <c r="T34" t="s">
        <v>411</v>
      </c>
      <c r="U34" t="s">
        <v>157</v>
      </c>
      <c r="V34" t="s">
        <v>89</v>
      </c>
      <c r="W34" t="s">
        <v>110</v>
      </c>
      <c r="X34" t="s">
        <v>98</v>
      </c>
      <c r="Y34" t="s">
        <v>451</v>
      </c>
      <c r="Z34" t="s">
        <v>340</v>
      </c>
      <c r="AA34" t="s">
        <v>93</v>
      </c>
      <c r="AB34" t="s">
        <v>341</v>
      </c>
      <c r="AC34" t="s">
        <v>452</v>
      </c>
    </row>
    <row r="35" spans="1:29" hidden="1" x14ac:dyDescent="0.25">
      <c r="A35" t="s">
        <v>28</v>
      </c>
      <c r="B35" t="s">
        <v>273</v>
      </c>
      <c r="C35" t="s">
        <v>79</v>
      </c>
      <c r="D35" t="s">
        <v>274</v>
      </c>
      <c r="E35" t="s">
        <v>80</v>
      </c>
      <c r="F35" t="s">
        <v>40</v>
      </c>
      <c r="G35" t="s">
        <v>453</v>
      </c>
      <c r="H35" t="s">
        <v>454</v>
      </c>
      <c r="I35" t="s">
        <v>455</v>
      </c>
      <c r="J35" t="s">
        <v>89</v>
      </c>
      <c r="K35" t="s">
        <v>89</v>
      </c>
      <c r="L35" t="s">
        <v>199</v>
      </c>
      <c r="M35" t="s">
        <v>157</v>
      </c>
      <c r="N35" t="s">
        <v>89</v>
      </c>
      <c r="O35" t="s">
        <v>89</v>
      </c>
      <c r="P35" t="s">
        <v>263</v>
      </c>
      <c r="Q35" t="s">
        <v>456</v>
      </c>
      <c r="R35" t="s">
        <v>177</v>
      </c>
      <c r="S35" t="s">
        <v>93</v>
      </c>
      <c r="T35" t="s">
        <v>178</v>
      </c>
      <c r="U35" t="s">
        <v>157</v>
      </c>
      <c r="V35" t="s">
        <v>89</v>
      </c>
      <c r="W35" t="s">
        <v>110</v>
      </c>
      <c r="X35" t="s">
        <v>98</v>
      </c>
      <c r="Y35" t="s">
        <v>457</v>
      </c>
      <c r="Z35" t="s">
        <v>352</v>
      </c>
      <c r="AA35" t="s">
        <v>93</v>
      </c>
      <c r="AB35" t="s">
        <v>353</v>
      </c>
      <c r="AC35" t="s">
        <v>458</v>
      </c>
    </row>
    <row r="36" spans="1:29" hidden="1" x14ac:dyDescent="0.25">
      <c r="A36" t="s">
        <v>28</v>
      </c>
      <c r="B36" t="s">
        <v>273</v>
      </c>
      <c r="C36" t="s">
        <v>79</v>
      </c>
      <c r="D36" t="s">
        <v>274</v>
      </c>
      <c r="E36" t="s">
        <v>80</v>
      </c>
      <c r="F36" t="s">
        <v>41</v>
      </c>
      <c r="G36" t="s">
        <v>459</v>
      </c>
      <c r="H36" t="s">
        <v>460</v>
      </c>
      <c r="I36" t="s">
        <v>461</v>
      </c>
      <c r="J36" t="s">
        <v>89</v>
      </c>
      <c r="K36" t="s">
        <v>89</v>
      </c>
      <c r="L36" t="s">
        <v>170</v>
      </c>
      <c r="M36" t="s">
        <v>119</v>
      </c>
      <c r="N36" t="s">
        <v>88</v>
      </c>
      <c r="O36" t="s">
        <v>89</v>
      </c>
      <c r="P36" t="s">
        <v>120</v>
      </c>
      <c r="Q36" t="s">
        <v>462</v>
      </c>
      <c r="R36" t="s">
        <v>191</v>
      </c>
      <c r="S36" t="s">
        <v>93</v>
      </c>
      <c r="T36" t="s">
        <v>192</v>
      </c>
      <c r="U36" t="s">
        <v>119</v>
      </c>
      <c r="V36" t="s">
        <v>88</v>
      </c>
      <c r="W36" t="s">
        <v>268</v>
      </c>
      <c r="X36" t="s">
        <v>98</v>
      </c>
      <c r="Y36" t="s">
        <v>463</v>
      </c>
      <c r="Z36" t="s">
        <v>365</v>
      </c>
      <c r="AA36" t="s">
        <v>93</v>
      </c>
      <c r="AB36" t="s">
        <v>366</v>
      </c>
      <c r="AC36" t="s">
        <v>464</v>
      </c>
    </row>
    <row r="37" spans="1:29" hidden="1" x14ac:dyDescent="0.25">
      <c r="A37" t="s">
        <v>28</v>
      </c>
      <c r="B37" t="s">
        <v>273</v>
      </c>
      <c r="C37" t="s">
        <v>79</v>
      </c>
      <c r="D37" t="s">
        <v>274</v>
      </c>
      <c r="E37" t="s">
        <v>80</v>
      </c>
      <c r="F37" t="s">
        <v>465</v>
      </c>
      <c r="G37" t="s">
        <v>466</v>
      </c>
      <c r="H37" t="s">
        <v>467</v>
      </c>
      <c r="I37" t="s">
        <v>468</v>
      </c>
      <c r="J37" t="s">
        <v>89</v>
      </c>
      <c r="K37" t="s">
        <v>89</v>
      </c>
      <c r="L37" t="s">
        <v>170</v>
      </c>
      <c r="M37" t="s">
        <v>95</v>
      </c>
      <c r="N37" t="s">
        <v>89</v>
      </c>
      <c r="O37" t="s">
        <v>89</v>
      </c>
      <c r="P37" t="s">
        <v>469</v>
      </c>
      <c r="Q37" t="s">
        <v>470</v>
      </c>
      <c r="R37" t="s">
        <v>203</v>
      </c>
      <c r="S37" t="s">
        <v>93</v>
      </c>
      <c r="T37" t="s">
        <v>204</v>
      </c>
      <c r="U37" t="s">
        <v>449</v>
      </c>
      <c r="V37" t="s">
        <v>89</v>
      </c>
      <c r="W37" t="s">
        <v>89</v>
      </c>
      <c r="X37" t="s">
        <v>98</v>
      </c>
      <c r="Y37" t="s">
        <v>471</v>
      </c>
      <c r="Z37" t="s">
        <v>208</v>
      </c>
      <c r="AA37" t="s">
        <v>93</v>
      </c>
      <c r="AB37" t="s">
        <v>209</v>
      </c>
      <c r="AC37" t="s">
        <v>472</v>
      </c>
    </row>
    <row r="38" spans="1:29" hidden="1" x14ac:dyDescent="0.25">
      <c r="A38" t="s">
        <v>28</v>
      </c>
      <c r="B38" t="s">
        <v>273</v>
      </c>
      <c r="C38" t="s">
        <v>79</v>
      </c>
      <c r="D38" t="s">
        <v>274</v>
      </c>
      <c r="E38" t="s">
        <v>80</v>
      </c>
      <c r="F38" t="s">
        <v>473</v>
      </c>
      <c r="G38" t="s">
        <v>474</v>
      </c>
      <c r="H38" t="s">
        <v>475</v>
      </c>
      <c r="I38" t="s">
        <v>476</v>
      </c>
      <c r="J38" t="s">
        <v>89</v>
      </c>
      <c r="K38" t="s">
        <v>198</v>
      </c>
      <c r="L38" t="s">
        <v>477</v>
      </c>
      <c r="M38" t="s">
        <v>478</v>
      </c>
      <c r="N38" t="s">
        <v>254</v>
      </c>
      <c r="O38" t="s">
        <v>89</v>
      </c>
      <c r="P38" t="s">
        <v>305</v>
      </c>
      <c r="Q38" t="s">
        <v>479</v>
      </c>
      <c r="R38" t="s">
        <v>480</v>
      </c>
      <c r="S38" t="s">
        <v>93</v>
      </c>
      <c r="T38" t="s">
        <v>481</v>
      </c>
      <c r="U38" t="s">
        <v>478</v>
      </c>
      <c r="V38" t="s">
        <v>482</v>
      </c>
      <c r="W38" t="s">
        <v>89</v>
      </c>
      <c r="X38" t="s">
        <v>98</v>
      </c>
      <c r="Y38" t="s">
        <v>483</v>
      </c>
      <c r="Z38" t="s">
        <v>484</v>
      </c>
      <c r="AA38" t="s">
        <v>93</v>
      </c>
      <c r="AB38" t="s">
        <v>485</v>
      </c>
      <c r="AC38" t="s">
        <v>486</v>
      </c>
    </row>
    <row r="39" spans="1:29" hidden="1" x14ac:dyDescent="0.25">
      <c r="A39" t="s">
        <v>28</v>
      </c>
      <c r="B39" t="s">
        <v>273</v>
      </c>
      <c r="C39" t="s">
        <v>79</v>
      </c>
      <c r="D39" t="s">
        <v>274</v>
      </c>
      <c r="E39" t="s">
        <v>80</v>
      </c>
      <c r="F39" t="s">
        <v>487</v>
      </c>
      <c r="G39" t="s">
        <v>488</v>
      </c>
      <c r="H39" t="s">
        <v>489</v>
      </c>
      <c r="I39" t="s">
        <v>490</v>
      </c>
      <c r="J39" t="s">
        <v>89</v>
      </c>
      <c r="K39" t="s">
        <v>134</v>
      </c>
      <c r="L39" t="s">
        <v>199</v>
      </c>
      <c r="M39" t="s">
        <v>491</v>
      </c>
      <c r="N39" t="s">
        <v>291</v>
      </c>
      <c r="O39" t="s">
        <v>89</v>
      </c>
      <c r="P39" t="s">
        <v>305</v>
      </c>
      <c r="Q39" t="s">
        <v>492</v>
      </c>
      <c r="R39" t="s">
        <v>319</v>
      </c>
      <c r="S39" t="s">
        <v>93</v>
      </c>
      <c r="T39" t="s">
        <v>320</v>
      </c>
      <c r="U39" t="s">
        <v>491</v>
      </c>
      <c r="V39" t="s">
        <v>482</v>
      </c>
      <c r="W39" t="s">
        <v>89</v>
      </c>
      <c r="X39" t="s">
        <v>98</v>
      </c>
      <c r="Y39" t="s">
        <v>493</v>
      </c>
      <c r="Z39" t="s">
        <v>265</v>
      </c>
      <c r="AA39" t="s">
        <v>93</v>
      </c>
      <c r="AB39" t="s">
        <v>266</v>
      </c>
      <c r="AC39" t="s">
        <v>494</v>
      </c>
    </row>
    <row r="40" spans="1:29" hidden="1" x14ac:dyDescent="0.25">
      <c r="A40" t="s">
        <v>28</v>
      </c>
      <c r="B40" t="s">
        <v>273</v>
      </c>
      <c r="C40" t="s">
        <v>79</v>
      </c>
      <c r="D40" t="s">
        <v>274</v>
      </c>
      <c r="E40" t="s">
        <v>80</v>
      </c>
      <c r="F40" t="s">
        <v>495</v>
      </c>
      <c r="G40" t="s">
        <v>496</v>
      </c>
      <c r="H40" t="s">
        <v>497</v>
      </c>
      <c r="I40" t="s">
        <v>498</v>
      </c>
      <c r="J40" t="s">
        <v>89</v>
      </c>
      <c r="K40" t="s">
        <v>85</v>
      </c>
      <c r="L40" t="s">
        <v>152</v>
      </c>
      <c r="M40" t="s">
        <v>478</v>
      </c>
      <c r="N40" t="s">
        <v>482</v>
      </c>
      <c r="O40" t="s">
        <v>89</v>
      </c>
      <c r="P40" t="s">
        <v>305</v>
      </c>
      <c r="Q40" t="s">
        <v>499</v>
      </c>
      <c r="R40" t="s">
        <v>331</v>
      </c>
      <c r="S40" t="s">
        <v>93</v>
      </c>
      <c r="T40" t="s">
        <v>332</v>
      </c>
      <c r="U40" t="s">
        <v>478</v>
      </c>
      <c r="V40" t="s">
        <v>482</v>
      </c>
      <c r="W40" t="s">
        <v>268</v>
      </c>
      <c r="X40" t="s">
        <v>98</v>
      </c>
      <c r="Y40" t="s">
        <v>500</v>
      </c>
      <c r="Z40" t="s">
        <v>501</v>
      </c>
      <c r="AA40" t="s">
        <v>93</v>
      </c>
      <c r="AB40" t="s">
        <v>502</v>
      </c>
      <c r="AC40" t="s">
        <v>503</v>
      </c>
    </row>
    <row r="41" spans="1:29" hidden="1" x14ac:dyDescent="0.25">
      <c r="A41" t="s">
        <v>28</v>
      </c>
      <c r="B41" t="s">
        <v>273</v>
      </c>
      <c r="C41" t="s">
        <v>79</v>
      </c>
      <c r="D41" t="s">
        <v>274</v>
      </c>
      <c r="E41" t="s">
        <v>80</v>
      </c>
      <c r="F41" t="s">
        <v>504</v>
      </c>
      <c r="G41" t="s">
        <v>505</v>
      </c>
      <c r="H41" t="s">
        <v>506</v>
      </c>
      <c r="I41" t="s">
        <v>507</v>
      </c>
      <c r="J41" t="s">
        <v>89</v>
      </c>
      <c r="K41" t="s">
        <v>134</v>
      </c>
      <c r="L41" t="s">
        <v>508</v>
      </c>
      <c r="M41" t="s">
        <v>509</v>
      </c>
      <c r="N41" t="s">
        <v>482</v>
      </c>
      <c r="O41" t="s">
        <v>89</v>
      </c>
      <c r="P41" t="s">
        <v>510</v>
      </c>
      <c r="Q41" t="s">
        <v>511</v>
      </c>
      <c r="R41" t="s">
        <v>173</v>
      </c>
      <c r="S41" t="s">
        <v>93</v>
      </c>
      <c r="T41" t="s">
        <v>174</v>
      </c>
      <c r="U41" t="s">
        <v>491</v>
      </c>
      <c r="V41" t="s">
        <v>482</v>
      </c>
      <c r="W41" t="s">
        <v>268</v>
      </c>
      <c r="X41" t="s">
        <v>98</v>
      </c>
      <c r="Y41" t="s">
        <v>512</v>
      </c>
      <c r="Z41" t="s">
        <v>177</v>
      </c>
      <c r="AA41" t="s">
        <v>93</v>
      </c>
      <c r="AB41" t="s">
        <v>178</v>
      </c>
      <c r="AC41" t="s">
        <v>513</v>
      </c>
    </row>
    <row r="42" spans="1:29" hidden="1" x14ac:dyDescent="0.25">
      <c r="A42" t="s">
        <v>28</v>
      </c>
      <c r="B42" t="s">
        <v>273</v>
      </c>
      <c r="C42" t="s">
        <v>79</v>
      </c>
      <c r="D42" t="s">
        <v>274</v>
      </c>
      <c r="E42" t="s">
        <v>80</v>
      </c>
      <c r="F42" t="s">
        <v>514</v>
      </c>
      <c r="G42" t="s">
        <v>515</v>
      </c>
      <c r="H42" t="s">
        <v>516</v>
      </c>
      <c r="I42" t="s">
        <v>517</v>
      </c>
      <c r="J42" t="s">
        <v>89</v>
      </c>
      <c r="K42" t="s">
        <v>85</v>
      </c>
      <c r="L42" t="s">
        <v>508</v>
      </c>
      <c r="M42" t="s">
        <v>478</v>
      </c>
      <c r="N42" t="s">
        <v>291</v>
      </c>
      <c r="O42" t="s">
        <v>89</v>
      </c>
      <c r="P42" t="s">
        <v>305</v>
      </c>
      <c r="Q42" t="s">
        <v>518</v>
      </c>
      <c r="R42" t="s">
        <v>186</v>
      </c>
      <c r="S42" t="s">
        <v>93</v>
      </c>
      <c r="T42" t="s">
        <v>187</v>
      </c>
      <c r="U42" t="s">
        <v>478</v>
      </c>
      <c r="V42" t="s">
        <v>482</v>
      </c>
      <c r="W42" t="s">
        <v>89</v>
      </c>
      <c r="X42" t="s">
        <v>98</v>
      </c>
      <c r="Y42" t="s">
        <v>519</v>
      </c>
      <c r="Z42" t="s">
        <v>191</v>
      </c>
      <c r="AA42" t="s">
        <v>93</v>
      </c>
      <c r="AB42" t="s">
        <v>192</v>
      </c>
      <c r="AC42" t="s">
        <v>520</v>
      </c>
    </row>
    <row r="43" spans="1:29" hidden="1" x14ac:dyDescent="0.25">
      <c r="A43" t="s">
        <v>28</v>
      </c>
      <c r="B43" t="s">
        <v>273</v>
      </c>
      <c r="C43" t="s">
        <v>79</v>
      </c>
      <c r="D43" t="s">
        <v>274</v>
      </c>
      <c r="E43" t="s">
        <v>80</v>
      </c>
      <c r="F43" t="s">
        <v>521</v>
      </c>
      <c r="G43" t="s">
        <v>522</v>
      </c>
      <c r="H43" t="s">
        <v>523</v>
      </c>
      <c r="I43" t="s">
        <v>524</v>
      </c>
      <c r="J43" t="s">
        <v>89</v>
      </c>
      <c r="K43" t="s">
        <v>198</v>
      </c>
      <c r="L43" t="s">
        <v>199</v>
      </c>
      <c r="M43" t="s">
        <v>509</v>
      </c>
      <c r="N43" t="s">
        <v>291</v>
      </c>
      <c r="O43" t="s">
        <v>89</v>
      </c>
      <c r="P43" t="s">
        <v>510</v>
      </c>
      <c r="Q43" t="s">
        <v>525</v>
      </c>
      <c r="R43" t="s">
        <v>526</v>
      </c>
      <c r="S43" t="s">
        <v>93</v>
      </c>
      <c r="T43" t="s">
        <v>527</v>
      </c>
      <c r="U43" t="s">
        <v>478</v>
      </c>
      <c r="V43" t="s">
        <v>482</v>
      </c>
      <c r="W43" t="s">
        <v>268</v>
      </c>
      <c r="X43" t="s">
        <v>98</v>
      </c>
      <c r="Y43" t="s">
        <v>528</v>
      </c>
      <c r="Z43" t="s">
        <v>203</v>
      </c>
      <c r="AA43" t="s">
        <v>93</v>
      </c>
      <c r="AB43" t="s">
        <v>204</v>
      </c>
      <c r="AC43" t="s">
        <v>529</v>
      </c>
    </row>
    <row r="44" spans="1:29" hidden="1" x14ac:dyDescent="0.25">
      <c r="A44" t="s">
        <v>28</v>
      </c>
      <c r="B44" t="s">
        <v>273</v>
      </c>
      <c r="C44" t="s">
        <v>79</v>
      </c>
      <c r="D44" t="s">
        <v>274</v>
      </c>
      <c r="E44" t="s">
        <v>80</v>
      </c>
      <c r="F44" t="s">
        <v>530</v>
      </c>
      <c r="G44" t="s">
        <v>531</v>
      </c>
      <c r="H44" t="s">
        <v>532</v>
      </c>
      <c r="I44" t="s">
        <v>533</v>
      </c>
      <c r="J44" t="s">
        <v>89</v>
      </c>
      <c r="K44" t="s">
        <v>198</v>
      </c>
      <c r="L44" t="s">
        <v>477</v>
      </c>
      <c r="M44" t="s">
        <v>509</v>
      </c>
      <c r="N44" t="s">
        <v>482</v>
      </c>
      <c r="O44" t="s">
        <v>89</v>
      </c>
      <c r="P44" t="s">
        <v>510</v>
      </c>
      <c r="Q44" t="s">
        <v>534</v>
      </c>
      <c r="R44" t="s">
        <v>480</v>
      </c>
      <c r="S44" t="s">
        <v>93</v>
      </c>
      <c r="T44" t="s">
        <v>481</v>
      </c>
      <c r="U44" t="s">
        <v>491</v>
      </c>
      <c r="V44" t="s">
        <v>482</v>
      </c>
      <c r="W44" t="s">
        <v>89</v>
      </c>
      <c r="X44" t="s">
        <v>98</v>
      </c>
      <c r="Y44" t="s">
        <v>535</v>
      </c>
      <c r="Z44" t="s">
        <v>484</v>
      </c>
      <c r="AA44" t="s">
        <v>93</v>
      </c>
      <c r="AB44" t="s">
        <v>485</v>
      </c>
      <c r="AC44" t="s">
        <v>536</v>
      </c>
    </row>
    <row r="45" spans="1:29" hidden="1" x14ac:dyDescent="0.25">
      <c r="A45" t="s">
        <v>28</v>
      </c>
      <c r="B45" t="s">
        <v>273</v>
      </c>
      <c r="C45" t="s">
        <v>79</v>
      </c>
      <c r="D45" t="s">
        <v>274</v>
      </c>
      <c r="E45" t="s">
        <v>80</v>
      </c>
      <c r="F45" t="s">
        <v>537</v>
      </c>
      <c r="G45" t="s">
        <v>538</v>
      </c>
      <c r="H45" t="s">
        <v>539</v>
      </c>
      <c r="I45" t="s">
        <v>540</v>
      </c>
      <c r="J45" t="s">
        <v>89</v>
      </c>
      <c r="K45" t="s">
        <v>85</v>
      </c>
      <c r="L45" t="s">
        <v>541</v>
      </c>
      <c r="M45" t="s">
        <v>119</v>
      </c>
      <c r="N45" t="s">
        <v>96</v>
      </c>
      <c r="O45" t="s">
        <v>89</v>
      </c>
      <c r="P45" t="s">
        <v>263</v>
      </c>
      <c r="Q45" t="s">
        <v>542</v>
      </c>
      <c r="R45" t="s">
        <v>543</v>
      </c>
      <c r="S45" t="s">
        <v>93</v>
      </c>
      <c r="T45" t="s">
        <v>544</v>
      </c>
      <c r="U45" t="s">
        <v>95</v>
      </c>
      <c r="V45" t="s">
        <v>96</v>
      </c>
      <c r="W45" t="s">
        <v>89</v>
      </c>
      <c r="X45" t="s">
        <v>98</v>
      </c>
      <c r="Y45" t="s">
        <v>545</v>
      </c>
      <c r="Z45" t="s">
        <v>546</v>
      </c>
      <c r="AA45" t="s">
        <v>93</v>
      </c>
      <c r="AB45" t="s">
        <v>547</v>
      </c>
      <c r="AC45" t="s">
        <v>548</v>
      </c>
    </row>
    <row r="46" spans="1:29" hidden="1" x14ac:dyDescent="0.25">
      <c r="A46" t="s">
        <v>28</v>
      </c>
      <c r="B46" t="s">
        <v>273</v>
      </c>
      <c r="C46" t="s">
        <v>79</v>
      </c>
      <c r="D46" t="s">
        <v>274</v>
      </c>
      <c r="E46" t="s">
        <v>80</v>
      </c>
      <c r="F46" t="s">
        <v>32</v>
      </c>
      <c r="G46" t="s">
        <v>549</v>
      </c>
      <c r="H46" t="s">
        <v>550</v>
      </c>
      <c r="I46" t="s">
        <v>278</v>
      </c>
      <c r="J46" t="s">
        <v>89</v>
      </c>
      <c r="K46" t="s">
        <v>89</v>
      </c>
      <c r="L46" t="s">
        <v>170</v>
      </c>
      <c r="M46" t="s">
        <v>157</v>
      </c>
      <c r="N46" t="s">
        <v>89</v>
      </c>
      <c r="O46" t="s">
        <v>89</v>
      </c>
      <c r="P46" t="s">
        <v>551</v>
      </c>
      <c r="Q46" t="s">
        <v>552</v>
      </c>
      <c r="R46" t="s">
        <v>553</v>
      </c>
      <c r="S46" t="s">
        <v>93</v>
      </c>
      <c r="T46" t="s">
        <v>554</v>
      </c>
      <c r="U46" t="s">
        <v>119</v>
      </c>
      <c r="V46" t="s">
        <v>89</v>
      </c>
      <c r="W46" t="s">
        <v>89</v>
      </c>
      <c r="X46" t="s">
        <v>555</v>
      </c>
      <c r="Y46" t="s">
        <v>556</v>
      </c>
      <c r="Z46" t="s">
        <v>557</v>
      </c>
      <c r="AA46" t="s">
        <v>93</v>
      </c>
      <c r="AB46" t="s">
        <v>558</v>
      </c>
      <c r="AC46" t="s">
        <v>559</v>
      </c>
    </row>
    <row r="47" spans="1:29" hidden="1" x14ac:dyDescent="0.25">
      <c r="A47" t="s">
        <v>28</v>
      </c>
      <c r="B47" t="s">
        <v>273</v>
      </c>
      <c r="C47" t="s">
        <v>79</v>
      </c>
      <c r="D47" t="s">
        <v>274</v>
      </c>
      <c r="E47" t="s">
        <v>80</v>
      </c>
      <c r="F47" t="s">
        <v>560</v>
      </c>
      <c r="G47" t="s">
        <v>561</v>
      </c>
      <c r="H47" t="s">
        <v>562</v>
      </c>
      <c r="I47" t="s">
        <v>563</v>
      </c>
      <c r="J47" t="s">
        <v>89</v>
      </c>
      <c r="K47" t="s">
        <v>89</v>
      </c>
      <c r="L47" t="s">
        <v>338</v>
      </c>
      <c r="M47" t="s">
        <v>95</v>
      </c>
      <c r="N47" t="s">
        <v>88</v>
      </c>
      <c r="O47" t="s">
        <v>89</v>
      </c>
      <c r="P47" t="s">
        <v>263</v>
      </c>
      <c r="Q47" t="s">
        <v>564</v>
      </c>
      <c r="R47" t="s">
        <v>327</v>
      </c>
      <c r="S47" t="s">
        <v>93</v>
      </c>
      <c r="T47" t="s">
        <v>328</v>
      </c>
      <c r="U47" t="s">
        <v>95</v>
      </c>
      <c r="V47" t="s">
        <v>96</v>
      </c>
      <c r="W47" t="s">
        <v>110</v>
      </c>
      <c r="X47" t="s">
        <v>98</v>
      </c>
      <c r="Y47" t="s">
        <v>565</v>
      </c>
      <c r="Z47" t="s">
        <v>331</v>
      </c>
      <c r="AA47" t="s">
        <v>93</v>
      </c>
      <c r="AB47" t="s">
        <v>332</v>
      </c>
      <c r="AC47" t="s">
        <v>566</v>
      </c>
    </row>
    <row r="48" spans="1:29" hidden="1" x14ac:dyDescent="0.25">
      <c r="A48" t="s">
        <v>28</v>
      </c>
      <c r="B48" t="s">
        <v>273</v>
      </c>
      <c r="C48" t="s">
        <v>79</v>
      </c>
      <c r="D48" t="s">
        <v>274</v>
      </c>
      <c r="E48" t="s">
        <v>80</v>
      </c>
      <c r="F48" t="s">
        <v>567</v>
      </c>
      <c r="G48" t="s">
        <v>568</v>
      </c>
      <c r="H48" t="s">
        <v>569</v>
      </c>
      <c r="I48" t="s">
        <v>570</v>
      </c>
      <c r="J48" t="s">
        <v>89</v>
      </c>
      <c r="K48" t="s">
        <v>89</v>
      </c>
      <c r="L48" t="s">
        <v>86</v>
      </c>
      <c r="M48" t="s">
        <v>95</v>
      </c>
      <c r="N48" t="s">
        <v>88</v>
      </c>
      <c r="O48" t="s">
        <v>89</v>
      </c>
      <c r="P48" t="s">
        <v>120</v>
      </c>
      <c r="Q48" t="s">
        <v>571</v>
      </c>
      <c r="R48" t="s">
        <v>344</v>
      </c>
      <c r="S48" t="s">
        <v>93</v>
      </c>
      <c r="T48" t="s">
        <v>345</v>
      </c>
      <c r="U48" t="s">
        <v>95</v>
      </c>
      <c r="V48" t="s">
        <v>96</v>
      </c>
      <c r="W48" t="s">
        <v>89</v>
      </c>
      <c r="X48" t="s">
        <v>98</v>
      </c>
      <c r="Y48" t="s">
        <v>572</v>
      </c>
      <c r="Z48" t="s">
        <v>173</v>
      </c>
      <c r="AA48" t="s">
        <v>93</v>
      </c>
      <c r="AB48" t="s">
        <v>174</v>
      </c>
      <c r="AC48" t="s">
        <v>573</v>
      </c>
    </row>
    <row r="49" spans="1:29" hidden="1" x14ac:dyDescent="0.25">
      <c r="A49" t="s">
        <v>28</v>
      </c>
      <c r="B49" t="s">
        <v>273</v>
      </c>
      <c r="C49" t="s">
        <v>79</v>
      </c>
      <c r="D49" t="s">
        <v>274</v>
      </c>
      <c r="E49" t="s">
        <v>80</v>
      </c>
      <c r="F49" t="s">
        <v>574</v>
      </c>
      <c r="G49" t="s">
        <v>575</v>
      </c>
      <c r="H49" t="s">
        <v>576</v>
      </c>
      <c r="I49" t="s">
        <v>577</v>
      </c>
      <c r="J49" t="s">
        <v>89</v>
      </c>
      <c r="K49" t="s">
        <v>89</v>
      </c>
      <c r="L49" t="s">
        <v>118</v>
      </c>
      <c r="M49" t="s">
        <v>95</v>
      </c>
      <c r="N49" t="s">
        <v>88</v>
      </c>
      <c r="O49" t="s">
        <v>89</v>
      </c>
      <c r="P49" t="s">
        <v>263</v>
      </c>
      <c r="Q49" t="s">
        <v>578</v>
      </c>
      <c r="R49" t="s">
        <v>579</v>
      </c>
      <c r="S49" t="s">
        <v>93</v>
      </c>
      <c r="T49" t="s">
        <v>580</v>
      </c>
      <c r="U49" t="s">
        <v>95</v>
      </c>
      <c r="V49" t="s">
        <v>96</v>
      </c>
      <c r="W49" t="s">
        <v>243</v>
      </c>
      <c r="X49" t="s">
        <v>98</v>
      </c>
      <c r="Y49" t="s">
        <v>581</v>
      </c>
      <c r="Z49" t="s">
        <v>186</v>
      </c>
      <c r="AA49" t="s">
        <v>93</v>
      </c>
      <c r="AB49" t="s">
        <v>187</v>
      </c>
      <c r="AC49" t="s">
        <v>582</v>
      </c>
    </row>
    <row r="50" spans="1:29" hidden="1" x14ac:dyDescent="0.25">
      <c r="A50" t="s">
        <v>28</v>
      </c>
      <c r="B50" t="s">
        <v>273</v>
      </c>
      <c r="C50" t="s">
        <v>79</v>
      </c>
      <c r="D50" t="s">
        <v>274</v>
      </c>
      <c r="E50" t="s">
        <v>80</v>
      </c>
      <c r="F50" t="s">
        <v>583</v>
      </c>
      <c r="G50" t="s">
        <v>584</v>
      </c>
      <c r="H50" t="s">
        <v>585</v>
      </c>
      <c r="I50" t="s">
        <v>586</v>
      </c>
      <c r="J50" t="s">
        <v>89</v>
      </c>
      <c r="K50" t="s">
        <v>89</v>
      </c>
      <c r="L50" t="s">
        <v>135</v>
      </c>
      <c r="M50" t="s">
        <v>87</v>
      </c>
      <c r="N50" t="s">
        <v>96</v>
      </c>
      <c r="O50" t="s">
        <v>89</v>
      </c>
      <c r="P50" t="s">
        <v>305</v>
      </c>
      <c r="Q50" t="s">
        <v>587</v>
      </c>
      <c r="R50" t="s">
        <v>588</v>
      </c>
      <c r="S50" t="s">
        <v>93</v>
      </c>
      <c r="T50" t="s">
        <v>589</v>
      </c>
      <c r="U50" t="s">
        <v>205</v>
      </c>
      <c r="V50" t="s">
        <v>96</v>
      </c>
      <c r="W50" t="s">
        <v>268</v>
      </c>
      <c r="X50" t="s">
        <v>98</v>
      </c>
      <c r="Y50" t="s">
        <v>590</v>
      </c>
      <c r="Z50" t="s">
        <v>526</v>
      </c>
      <c r="AA50" t="s">
        <v>93</v>
      </c>
      <c r="AB50" t="s">
        <v>527</v>
      </c>
      <c r="AC50" t="s">
        <v>591</v>
      </c>
    </row>
    <row r="51" spans="1:29" hidden="1" x14ac:dyDescent="0.25">
      <c r="A51" t="s">
        <v>28</v>
      </c>
      <c r="B51" t="s">
        <v>273</v>
      </c>
      <c r="C51" t="s">
        <v>79</v>
      </c>
      <c r="D51" t="s">
        <v>274</v>
      </c>
      <c r="E51" t="s">
        <v>80</v>
      </c>
      <c r="F51" t="s">
        <v>592</v>
      </c>
      <c r="G51" t="s">
        <v>593</v>
      </c>
      <c r="H51" t="s">
        <v>594</v>
      </c>
      <c r="I51" t="s">
        <v>595</v>
      </c>
      <c r="J51" t="s">
        <v>89</v>
      </c>
      <c r="K51" t="s">
        <v>89</v>
      </c>
      <c r="L51" t="s">
        <v>135</v>
      </c>
      <c r="M51" t="s">
        <v>136</v>
      </c>
      <c r="N51" t="s">
        <v>96</v>
      </c>
      <c r="O51" t="s">
        <v>89</v>
      </c>
      <c r="P51" t="s">
        <v>263</v>
      </c>
      <c r="Q51" t="s">
        <v>596</v>
      </c>
      <c r="R51" t="s">
        <v>597</v>
      </c>
      <c r="S51" t="s">
        <v>93</v>
      </c>
      <c r="T51" t="s">
        <v>598</v>
      </c>
      <c r="U51" t="s">
        <v>87</v>
      </c>
      <c r="V51" t="s">
        <v>96</v>
      </c>
      <c r="W51" t="s">
        <v>268</v>
      </c>
      <c r="X51" t="s">
        <v>98</v>
      </c>
      <c r="Y51" t="s">
        <v>599</v>
      </c>
      <c r="Z51" t="s">
        <v>480</v>
      </c>
      <c r="AA51" t="s">
        <v>93</v>
      </c>
      <c r="AB51" t="s">
        <v>481</v>
      </c>
      <c r="AC51" t="s">
        <v>600</v>
      </c>
    </row>
    <row r="52" spans="1:29" hidden="1" x14ac:dyDescent="0.25">
      <c r="A52" t="s">
        <v>28</v>
      </c>
      <c r="B52" t="s">
        <v>273</v>
      </c>
      <c r="C52" t="s">
        <v>79</v>
      </c>
      <c r="D52" t="s">
        <v>274</v>
      </c>
      <c r="E52" t="s">
        <v>80</v>
      </c>
      <c r="F52" t="s">
        <v>601</v>
      </c>
      <c r="G52" t="s">
        <v>602</v>
      </c>
      <c r="H52" t="s">
        <v>603</v>
      </c>
      <c r="I52" t="s">
        <v>604</v>
      </c>
      <c r="J52" t="s">
        <v>89</v>
      </c>
      <c r="K52" t="s">
        <v>85</v>
      </c>
      <c r="L52" t="s">
        <v>338</v>
      </c>
      <c r="M52" t="s">
        <v>205</v>
      </c>
      <c r="N52" t="s">
        <v>96</v>
      </c>
      <c r="O52" t="s">
        <v>89</v>
      </c>
      <c r="P52" t="s">
        <v>263</v>
      </c>
      <c r="Q52" t="s">
        <v>605</v>
      </c>
      <c r="R52" t="s">
        <v>543</v>
      </c>
      <c r="S52" t="s">
        <v>93</v>
      </c>
      <c r="T52" t="s">
        <v>544</v>
      </c>
      <c r="U52" t="s">
        <v>87</v>
      </c>
      <c r="V52" t="s">
        <v>96</v>
      </c>
      <c r="W52" t="s">
        <v>110</v>
      </c>
      <c r="X52" t="s">
        <v>98</v>
      </c>
      <c r="Y52" t="s">
        <v>606</v>
      </c>
      <c r="Z52" t="s">
        <v>546</v>
      </c>
      <c r="AA52" t="s">
        <v>93</v>
      </c>
      <c r="AB52" t="s">
        <v>547</v>
      </c>
      <c r="AC52" t="s">
        <v>607</v>
      </c>
    </row>
    <row r="53" spans="1:29" hidden="1" x14ac:dyDescent="0.25">
      <c r="A53" t="s">
        <v>28</v>
      </c>
      <c r="B53" t="s">
        <v>273</v>
      </c>
      <c r="C53" t="s">
        <v>79</v>
      </c>
      <c r="D53" t="s">
        <v>274</v>
      </c>
      <c r="E53" t="s">
        <v>80</v>
      </c>
      <c r="F53" t="s">
        <v>608</v>
      </c>
      <c r="G53" t="s">
        <v>609</v>
      </c>
      <c r="H53" t="s">
        <v>610</v>
      </c>
      <c r="I53" t="s">
        <v>611</v>
      </c>
      <c r="J53" t="s">
        <v>89</v>
      </c>
      <c r="K53" t="s">
        <v>89</v>
      </c>
      <c r="L53" t="s">
        <v>135</v>
      </c>
      <c r="M53" t="s">
        <v>136</v>
      </c>
      <c r="N53" t="s">
        <v>88</v>
      </c>
      <c r="O53" t="s">
        <v>89</v>
      </c>
      <c r="P53" t="s">
        <v>305</v>
      </c>
      <c r="Q53" t="s">
        <v>612</v>
      </c>
      <c r="R53" t="s">
        <v>144</v>
      </c>
      <c r="S53" t="s">
        <v>93</v>
      </c>
      <c r="T53" t="s">
        <v>145</v>
      </c>
      <c r="U53" t="s">
        <v>87</v>
      </c>
      <c r="V53" t="s">
        <v>96</v>
      </c>
      <c r="W53" t="s">
        <v>243</v>
      </c>
      <c r="X53" t="s">
        <v>98</v>
      </c>
      <c r="Y53" t="s">
        <v>613</v>
      </c>
      <c r="Z53" t="s">
        <v>614</v>
      </c>
      <c r="AA53" t="s">
        <v>93</v>
      </c>
      <c r="AB53" t="s">
        <v>615</v>
      </c>
      <c r="AC53" t="s">
        <v>616</v>
      </c>
    </row>
    <row r="54" spans="1:29" hidden="1" x14ac:dyDescent="0.25">
      <c r="A54" t="s">
        <v>28</v>
      </c>
      <c r="B54" t="s">
        <v>273</v>
      </c>
      <c r="C54" t="s">
        <v>79</v>
      </c>
      <c r="D54" t="s">
        <v>274</v>
      </c>
      <c r="E54" t="s">
        <v>80</v>
      </c>
      <c r="F54" t="s">
        <v>33</v>
      </c>
      <c r="G54" t="s">
        <v>617</v>
      </c>
      <c r="H54" t="s">
        <v>618</v>
      </c>
      <c r="I54" t="s">
        <v>619</v>
      </c>
      <c r="J54" t="s">
        <v>84</v>
      </c>
      <c r="K54" t="s">
        <v>89</v>
      </c>
      <c r="L54" t="s">
        <v>338</v>
      </c>
      <c r="M54" t="s">
        <v>509</v>
      </c>
      <c r="N54" t="s">
        <v>89</v>
      </c>
      <c r="O54" t="s">
        <v>620</v>
      </c>
      <c r="P54" t="s">
        <v>621</v>
      </c>
      <c r="Q54" t="s">
        <v>622</v>
      </c>
      <c r="R54" t="s">
        <v>623</v>
      </c>
      <c r="S54" t="s">
        <v>93</v>
      </c>
      <c r="T54" t="s">
        <v>624</v>
      </c>
      <c r="U54" t="s">
        <v>509</v>
      </c>
      <c r="V54" t="s">
        <v>89</v>
      </c>
      <c r="W54" t="s">
        <v>625</v>
      </c>
      <c r="X54" t="s">
        <v>626</v>
      </c>
      <c r="Y54" t="s">
        <v>627</v>
      </c>
      <c r="Z54" t="s">
        <v>628</v>
      </c>
      <c r="AA54" t="s">
        <v>93</v>
      </c>
      <c r="AB54" t="s">
        <v>629</v>
      </c>
      <c r="AC54" t="s">
        <v>630</v>
      </c>
    </row>
    <row r="55" spans="1:29" hidden="1" x14ac:dyDescent="0.25">
      <c r="A55" t="s">
        <v>28</v>
      </c>
      <c r="B55" t="s">
        <v>273</v>
      </c>
      <c r="C55" t="s">
        <v>79</v>
      </c>
      <c r="D55" t="s">
        <v>274</v>
      </c>
      <c r="E55" t="s">
        <v>80</v>
      </c>
      <c r="F55" t="s">
        <v>34</v>
      </c>
      <c r="G55" t="s">
        <v>631</v>
      </c>
      <c r="H55" t="s">
        <v>632</v>
      </c>
      <c r="I55" t="s">
        <v>83</v>
      </c>
      <c r="J55" t="s">
        <v>89</v>
      </c>
      <c r="K55" t="s">
        <v>89</v>
      </c>
      <c r="L55" t="s">
        <v>238</v>
      </c>
      <c r="M55" t="s">
        <v>633</v>
      </c>
      <c r="N55" t="s">
        <v>89</v>
      </c>
      <c r="O55" t="s">
        <v>634</v>
      </c>
      <c r="P55" t="s">
        <v>635</v>
      </c>
      <c r="Q55" t="s">
        <v>636</v>
      </c>
      <c r="R55" t="s">
        <v>220</v>
      </c>
      <c r="S55" t="s">
        <v>93</v>
      </c>
      <c r="T55" t="s">
        <v>221</v>
      </c>
      <c r="U55" t="s">
        <v>633</v>
      </c>
      <c r="V55" t="s">
        <v>89</v>
      </c>
      <c r="W55" t="s">
        <v>620</v>
      </c>
      <c r="X55" t="s">
        <v>621</v>
      </c>
      <c r="Y55" t="s">
        <v>637</v>
      </c>
      <c r="Z55" t="s">
        <v>638</v>
      </c>
      <c r="AA55" t="s">
        <v>93</v>
      </c>
      <c r="AB55" t="s">
        <v>639</v>
      </c>
      <c r="AC55" t="s">
        <v>640</v>
      </c>
    </row>
    <row r="56" spans="1:29" hidden="1" x14ac:dyDescent="0.25">
      <c r="A56" t="s">
        <v>28</v>
      </c>
      <c r="B56" t="s">
        <v>273</v>
      </c>
      <c r="C56" t="s">
        <v>79</v>
      </c>
      <c r="D56" t="s">
        <v>274</v>
      </c>
      <c r="E56" t="s">
        <v>80</v>
      </c>
      <c r="F56" t="s">
        <v>35</v>
      </c>
      <c r="G56" t="s">
        <v>641</v>
      </c>
      <c r="H56" t="s">
        <v>642</v>
      </c>
      <c r="I56" t="s">
        <v>643</v>
      </c>
      <c r="J56" t="s">
        <v>644</v>
      </c>
      <c r="K56" t="s">
        <v>89</v>
      </c>
      <c r="L56" t="s">
        <v>86</v>
      </c>
      <c r="M56" t="s">
        <v>509</v>
      </c>
      <c r="N56" t="s">
        <v>89</v>
      </c>
      <c r="O56" t="s">
        <v>620</v>
      </c>
      <c r="P56" t="s">
        <v>645</v>
      </c>
      <c r="Q56" t="s">
        <v>646</v>
      </c>
      <c r="R56" t="s">
        <v>227</v>
      </c>
      <c r="S56" t="s">
        <v>93</v>
      </c>
      <c r="T56" t="s">
        <v>228</v>
      </c>
      <c r="U56" t="s">
        <v>633</v>
      </c>
      <c r="V56" t="s">
        <v>89</v>
      </c>
      <c r="W56" t="s">
        <v>647</v>
      </c>
      <c r="X56" t="s">
        <v>626</v>
      </c>
      <c r="Y56" t="s">
        <v>648</v>
      </c>
      <c r="Z56" t="s">
        <v>232</v>
      </c>
      <c r="AA56" t="s">
        <v>93</v>
      </c>
      <c r="AB56" t="s">
        <v>233</v>
      </c>
      <c r="AC56" t="s">
        <v>649</v>
      </c>
    </row>
    <row r="57" spans="1:29" hidden="1" x14ac:dyDescent="0.25">
      <c r="A57" t="s">
        <v>28</v>
      </c>
      <c r="B57" t="s">
        <v>273</v>
      </c>
      <c r="C57" t="s">
        <v>79</v>
      </c>
      <c r="D57" t="s">
        <v>274</v>
      </c>
      <c r="E57" t="s">
        <v>80</v>
      </c>
      <c r="F57" t="s">
        <v>36</v>
      </c>
      <c r="G57" t="s">
        <v>650</v>
      </c>
      <c r="H57" t="s">
        <v>651</v>
      </c>
      <c r="I57" t="s">
        <v>652</v>
      </c>
      <c r="J57" t="s">
        <v>89</v>
      </c>
      <c r="K57" t="s">
        <v>89</v>
      </c>
      <c r="L57" t="s">
        <v>118</v>
      </c>
      <c r="M57" t="s">
        <v>87</v>
      </c>
      <c r="N57" t="s">
        <v>89</v>
      </c>
      <c r="O57" t="s">
        <v>89</v>
      </c>
      <c r="P57" t="s">
        <v>653</v>
      </c>
      <c r="Q57" t="s">
        <v>654</v>
      </c>
      <c r="R57" t="s">
        <v>655</v>
      </c>
      <c r="S57" t="s">
        <v>93</v>
      </c>
      <c r="T57" t="s">
        <v>656</v>
      </c>
      <c r="U57" t="s">
        <v>633</v>
      </c>
      <c r="V57" t="s">
        <v>89</v>
      </c>
      <c r="W57" t="s">
        <v>647</v>
      </c>
      <c r="X57" t="s">
        <v>657</v>
      </c>
      <c r="Y57" t="s">
        <v>658</v>
      </c>
      <c r="Z57" t="s">
        <v>242</v>
      </c>
      <c r="AA57" t="s">
        <v>93</v>
      </c>
      <c r="AB57" t="s">
        <v>98</v>
      </c>
      <c r="AC57" t="s">
        <v>659</v>
      </c>
    </row>
    <row r="58" spans="1:29" hidden="1" x14ac:dyDescent="0.25">
      <c r="A58" t="s">
        <v>28</v>
      </c>
      <c r="B58" t="s">
        <v>273</v>
      </c>
      <c r="C58" t="s">
        <v>79</v>
      </c>
      <c r="D58" t="s">
        <v>274</v>
      </c>
      <c r="E58" t="s">
        <v>80</v>
      </c>
      <c r="F58" t="s">
        <v>37</v>
      </c>
      <c r="G58" t="s">
        <v>660</v>
      </c>
      <c r="H58" t="s">
        <v>661</v>
      </c>
      <c r="I58" t="s">
        <v>278</v>
      </c>
      <c r="J58" t="s">
        <v>89</v>
      </c>
      <c r="K58" t="s">
        <v>89</v>
      </c>
      <c r="L58" t="s">
        <v>541</v>
      </c>
      <c r="M58" t="s">
        <v>95</v>
      </c>
      <c r="N58" t="s">
        <v>89</v>
      </c>
      <c r="O58" t="s">
        <v>89</v>
      </c>
      <c r="P58" t="s">
        <v>510</v>
      </c>
      <c r="Q58" t="s">
        <v>662</v>
      </c>
      <c r="R58" t="s">
        <v>383</v>
      </c>
      <c r="S58" t="s">
        <v>93</v>
      </c>
      <c r="T58" t="s">
        <v>384</v>
      </c>
      <c r="U58" t="s">
        <v>136</v>
      </c>
      <c r="V58" t="s">
        <v>89</v>
      </c>
      <c r="W58" t="s">
        <v>97</v>
      </c>
      <c r="X58" t="s">
        <v>663</v>
      </c>
      <c r="Y58" t="s">
        <v>664</v>
      </c>
      <c r="Z58" t="s">
        <v>307</v>
      </c>
      <c r="AA58" t="s">
        <v>93</v>
      </c>
      <c r="AB58" t="s">
        <v>308</v>
      </c>
      <c r="AC58" t="s">
        <v>665</v>
      </c>
    </row>
    <row r="59" spans="1:29" hidden="1" x14ac:dyDescent="0.25">
      <c r="A59" t="s">
        <v>28</v>
      </c>
      <c r="B59" t="s">
        <v>78</v>
      </c>
      <c r="C59" t="s">
        <v>666</v>
      </c>
      <c r="D59" t="s">
        <v>274</v>
      </c>
      <c r="E59" t="s">
        <v>80</v>
      </c>
      <c r="F59" t="s">
        <v>38</v>
      </c>
      <c r="G59" t="s">
        <v>667</v>
      </c>
      <c r="H59" t="s">
        <v>668</v>
      </c>
      <c r="I59" t="s">
        <v>669</v>
      </c>
      <c r="J59" t="s">
        <v>89</v>
      </c>
      <c r="K59" t="s">
        <v>89</v>
      </c>
      <c r="L59" t="s">
        <v>135</v>
      </c>
      <c r="M59" t="s">
        <v>87</v>
      </c>
      <c r="N59" t="s">
        <v>88</v>
      </c>
      <c r="O59" t="s">
        <v>89</v>
      </c>
      <c r="P59" t="s">
        <v>670</v>
      </c>
      <c r="Q59" t="s">
        <v>671</v>
      </c>
      <c r="R59" t="s">
        <v>177</v>
      </c>
      <c r="S59" t="s">
        <v>93</v>
      </c>
      <c r="T59" t="s">
        <v>178</v>
      </c>
      <c r="U59" t="s">
        <v>239</v>
      </c>
      <c r="V59" t="s">
        <v>88</v>
      </c>
      <c r="W59" t="s">
        <v>89</v>
      </c>
      <c r="X59" t="s">
        <v>672</v>
      </c>
      <c r="Y59" t="s">
        <v>673</v>
      </c>
      <c r="Z59" t="s">
        <v>352</v>
      </c>
      <c r="AA59" t="s">
        <v>93</v>
      </c>
      <c r="AB59" t="s">
        <v>353</v>
      </c>
      <c r="AC59" t="s">
        <v>674</v>
      </c>
    </row>
    <row r="60" spans="1:29" hidden="1" x14ac:dyDescent="0.25">
      <c r="A60" t="s">
        <v>28</v>
      </c>
      <c r="B60" t="s">
        <v>78</v>
      </c>
      <c r="C60" t="s">
        <v>666</v>
      </c>
      <c r="D60" t="s">
        <v>274</v>
      </c>
      <c r="E60" t="s">
        <v>80</v>
      </c>
      <c r="F60" t="s">
        <v>39</v>
      </c>
      <c r="G60" t="s">
        <v>675</v>
      </c>
      <c r="H60" t="s">
        <v>676</v>
      </c>
      <c r="I60" t="s">
        <v>677</v>
      </c>
      <c r="J60" t="s">
        <v>89</v>
      </c>
      <c r="K60" t="s">
        <v>89</v>
      </c>
      <c r="L60" t="s">
        <v>86</v>
      </c>
      <c r="M60" t="s">
        <v>87</v>
      </c>
      <c r="N60" t="s">
        <v>89</v>
      </c>
      <c r="O60" t="s">
        <v>89</v>
      </c>
      <c r="P60" t="s">
        <v>678</v>
      </c>
      <c r="Q60" t="s">
        <v>679</v>
      </c>
      <c r="R60" t="s">
        <v>191</v>
      </c>
      <c r="S60" t="s">
        <v>93</v>
      </c>
      <c r="T60" t="s">
        <v>192</v>
      </c>
      <c r="U60" t="s">
        <v>141</v>
      </c>
      <c r="V60" t="s">
        <v>89</v>
      </c>
      <c r="W60" t="s">
        <v>89</v>
      </c>
      <c r="X60" t="s">
        <v>680</v>
      </c>
      <c r="Y60" t="s">
        <v>681</v>
      </c>
      <c r="Z60" t="s">
        <v>365</v>
      </c>
      <c r="AA60" t="s">
        <v>93</v>
      </c>
      <c r="AB60" t="s">
        <v>366</v>
      </c>
      <c r="AC60" t="s">
        <v>682</v>
      </c>
    </row>
    <row r="61" spans="1:29" hidden="1" x14ac:dyDescent="0.25">
      <c r="A61" t="s">
        <v>28</v>
      </c>
      <c r="B61" t="s">
        <v>78</v>
      </c>
      <c r="C61" t="s">
        <v>666</v>
      </c>
      <c r="D61" t="s">
        <v>274</v>
      </c>
      <c r="E61" t="s">
        <v>80</v>
      </c>
      <c r="F61" t="s">
        <v>40</v>
      </c>
      <c r="G61" t="s">
        <v>683</v>
      </c>
      <c r="H61" t="s">
        <v>684</v>
      </c>
      <c r="I61" t="s">
        <v>685</v>
      </c>
      <c r="J61" t="s">
        <v>89</v>
      </c>
      <c r="K61" t="s">
        <v>85</v>
      </c>
      <c r="L61" t="s">
        <v>86</v>
      </c>
      <c r="M61" t="s">
        <v>239</v>
      </c>
      <c r="N61" t="s">
        <v>89</v>
      </c>
      <c r="O61" t="s">
        <v>243</v>
      </c>
      <c r="P61" t="s">
        <v>686</v>
      </c>
      <c r="Q61" t="s">
        <v>687</v>
      </c>
      <c r="R61" t="s">
        <v>208</v>
      </c>
      <c r="S61" t="s">
        <v>93</v>
      </c>
      <c r="T61" t="s">
        <v>209</v>
      </c>
      <c r="U61" t="s">
        <v>136</v>
      </c>
      <c r="V61" t="s">
        <v>89</v>
      </c>
      <c r="W61" t="s">
        <v>89</v>
      </c>
      <c r="X61" t="s">
        <v>278</v>
      </c>
      <c r="Y61" t="s">
        <v>688</v>
      </c>
      <c r="Z61" t="s">
        <v>689</v>
      </c>
      <c r="AA61" t="s">
        <v>93</v>
      </c>
      <c r="AB61" t="s">
        <v>690</v>
      </c>
      <c r="AC61" t="s">
        <v>691</v>
      </c>
    </row>
    <row r="62" spans="1:29" hidden="1" x14ac:dyDescent="0.25">
      <c r="A62" t="s">
        <v>28</v>
      </c>
      <c r="B62" t="s">
        <v>78</v>
      </c>
      <c r="C62" t="s">
        <v>666</v>
      </c>
      <c r="D62" t="s">
        <v>274</v>
      </c>
      <c r="E62" t="s">
        <v>80</v>
      </c>
      <c r="F62" t="s">
        <v>41</v>
      </c>
      <c r="G62" t="s">
        <v>692</v>
      </c>
      <c r="H62" t="s">
        <v>693</v>
      </c>
      <c r="I62" t="s">
        <v>694</v>
      </c>
      <c r="J62" t="s">
        <v>89</v>
      </c>
      <c r="K62" t="s">
        <v>89</v>
      </c>
      <c r="L62" t="s">
        <v>338</v>
      </c>
      <c r="M62" t="s">
        <v>141</v>
      </c>
      <c r="N62" t="s">
        <v>89</v>
      </c>
      <c r="O62" t="s">
        <v>89</v>
      </c>
      <c r="P62" t="s">
        <v>695</v>
      </c>
      <c r="Q62" t="s">
        <v>696</v>
      </c>
      <c r="R62" t="s">
        <v>697</v>
      </c>
      <c r="S62" t="s">
        <v>93</v>
      </c>
      <c r="T62" t="s">
        <v>698</v>
      </c>
      <c r="U62" t="s">
        <v>89</v>
      </c>
      <c r="V62" t="s">
        <v>89</v>
      </c>
      <c r="W62" t="s">
        <v>89</v>
      </c>
      <c r="X62" t="s">
        <v>699</v>
      </c>
      <c r="Y62" t="s">
        <v>700</v>
      </c>
      <c r="Z62" t="s">
        <v>701</v>
      </c>
      <c r="AA62" t="s">
        <v>93</v>
      </c>
      <c r="AB62" t="s">
        <v>702</v>
      </c>
      <c r="AC62" t="s">
        <v>703</v>
      </c>
    </row>
    <row r="63" spans="1:29" hidden="1" x14ac:dyDescent="0.25">
      <c r="A63" t="s">
        <v>28</v>
      </c>
      <c r="B63" t="s">
        <v>78</v>
      </c>
      <c r="C63" t="s">
        <v>666</v>
      </c>
      <c r="D63" t="s">
        <v>274</v>
      </c>
      <c r="E63" t="s">
        <v>80</v>
      </c>
      <c r="F63" t="s">
        <v>465</v>
      </c>
      <c r="G63" t="s">
        <v>704</v>
      </c>
      <c r="H63" t="s">
        <v>705</v>
      </c>
      <c r="I63" t="s">
        <v>706</v>
      </c>
      <c r="J63" t="s">
        <v>89</v>
      </c>
      <c r="K63" t="s">
        <v>707</v>
      </c>
      <c r="L63" t="s">
        <v>89</v>
      </c>
      <c r="M63" t="s">
        <v>89</v>
      </c>
      <c r="N63" t="s">
        <v>708</v>
      </c>
      <c r="O63" t="s">
        <v>89</v>
      </c>
      <c r="P63" t="s">
        <v>305</v>
      </c>
      <c r="Q63" t="s">
        <v>709</v>
      </c>
      <c r="R63" t="s">
        <v>710</v>
      </c>
      <c r="S63" t="s">
        <v>93</v>
      </c>
      <c r="T63" t="s">
        <v>711</v>
      </c>
      <c r="U63" t="s">
        <v>89</v>
      </c>
      <c r="V63" t="s">
        <v>708</v>
      </c>
      <c r="W63" t="s">
        <v>243</v>
      </c>
      <c r="X63" t="s">
        <v>98</v>
      </c>
      <c r="Y63" t="s">
        <v>712</v>
      </c>
      <c r="Z63" t="s">
        <v>139</v>
      </c>
      <c r="AA63" t="s">
        <v>93</v>
      </c>
      <c r="AB63" t="s">
        <v>140</v>
      </c>
      <c r="AC63" t="s">
        <v>713</v>
      </c>
    </row>
    <row r="64" spans="1:29" hidden="1" x14ac:dyDescent="0.25">
      <c r="A64" t="s">
        <v>28</v>
      </c>
      <c r="B64" t="s">
        <v>78</v>
      </c>
      <c r="C64" t="s">
        <v>666</v>
      </c>
      <c r="D64" t="s">
        <v>274</v>
      </c>
      <c r="E64" t="s">
        <v>80</v>
      </c>
      <c r="F64" t="s">
        <v>473</v>
      </c>
      <c r="G64" t="s">
        <v>714</v>
      </c>
      <c r="H64" t="s">
        <v>715</v>
      </c>
      <c r="I64" t="s">
        <v>716</v>
      </c>
      <c r="J64" t="s">
        <v>89</v>
      </c>
      <c r="K64" t="s">
        <v>134</v>
      </c>
      <c r="L64" t="s">
        <v>298</v>
      </c>
      <c r="M64" t="s">
        <v>89</v>
      </c>
      <c r="N64" t="s">
        <v>482</v>
      </c>
      <c r="O64" t="s">
        <v>89</v>
      </c>
      <c r="P64" t="s">
        <v>305</v>
      </c>
      <c r="Q64" t="s">
        <v>717</v>
      </c>
      <c r="R64" t="s">
        <v>155</v>
      </c>
      <c r="S64" t="s">
        <v>93</v>
      </c>
      <c r="T64" t="s">
        <v>156</v>
      </c>
      <c r="U64" t="s">
        <v>89</v>
      </c>
      <c r="V64" t="s">
        <v>708</v>
      </c>
      <c r="W64" t="s">
        <v>243</v>
      </c>
      <c r="X64" t="s">
        <v>98</v>
      </c>
      <c r="Y64" t="s">
        <v>718</v>
      </c>
      <c r="Z64" t="s">
        <v>162</v>
      </c>
      <c r="AA64" t="s">
        <v>93</v>
      </c>
      <c r="AB64" t="s">
        <v>163</v>
      </c>
      <c r="AC64" t="s">
        <v>719</v>
      </c>
    </row>
    <row r="65" spans="1:29" hidden="1" x14ac:dyDescent="0.25">
      <c r="A65" t="s">
        <v>28</v>
      </c>
      <c r="B65" t="s">
        <v>78</v>
      </c>
      <c r="C65" t="s">
        <v>666</v>
      </c>
      <c r="D65" t="s">
        <v>274</v>
      </c>
      <c r="E65" t="s">
        <v>80</v>
      </c>
      <c r="F65" t="s">
        <v>487</v>
      </c>
      <c r="G65" t="s">
        <v>720</v>
      </c>
      <c r="H65" t="s">
        <v>721</v>
      </c>
      <c r="I65" t="s">
        <v>240</v>
      </c>
      <c r="J65" t="s">
        <v>89</v>
      </c>
      <c r="K65" t="s">
        <v>198</v>
      </c>
      <c r="L65" t="s">
        <v>298</v>
      </c>
      <c r="M65" t="s">
        <v>89</v>
      </c>
      <c r="N65" t="s">
        <v>708</v>
      </c>
      <c r="O65" t="s">
        <v>89</v>
      </c>
      <c r="P65" t="s">
        <v>305</v>
      </c>
      <c r="Q65" t="s">
        <v>722</v>
      </c>
      <c r="R65" t="s">
        <v>344</v>
      </c>
      <c r="S65" t="s">
        <v>93</v>
      </c>
      <c r="T65" t="s">
        <v>345</v>
      </c>
      <c r="U65" t="s">
        <v>89</v>
      </c>
      <c r="V65" t="s">
        <v>708</v>
      </c>
      <c r="W65" t="s">
        <v>97</v>
      </c>
      <c r="X65" t="s">
        <v>98</v>
      </c>
      <c r="Y65" t="s">
        <v>723</v>
      </c>
      <c r="Z65" t="s">
        <v>173</v>
      </c>
      <c r="AA65" t="s">
        <v>93</v>
      </c>
      <c r="AB65" t="s">
        <v>174</v>
      </c>
      <c r="AC65" t="s">
        <v>724</v>
      </c>
    </row>
    <row r="66" spans="1:29" hidden="1" x14ac:dyDescent="0.25">
      <c r="A66" t="s">
        <v>28</v>
      </c>
      <c r="B66" t="s">
        <v>78</v>
      </c>
      <c r="C66" t="s">
        <v>666</v>
      </c>
      <c r="D66" t="s">
        <v>274</v>
      </c>
      <c r="E66" t="s">
        <v>80</v>
      </c>
      <c r="F66" t="s">
        <v>495</v>
      </c>
      <c r="G66" t="s">
        <v>725</v>
      </c>
      <c r="H66" t="s">
        <v>726</v>
      </c>
      <c r="I66" t="s">
        <v>727</v>
      </c>
      <c r="J66" t="s">
        <v>89</v>
      </c>
      <c r="K66" t="s">
        <v>134</v>
      </c>
      <c r="L66" t="s">
        <v>89</v>
      </c>
      <c r="M66" t="s">
        <v>141</v>
      </c>
      <c r="N66" t="s">
        <v>254</v>
      </c>
      <c r="O66" t="s">
        <v>89</v>
      </c>
      <c r="P66" t="s">
        <v>263</v>
      </c>
      <c r="Q66" t="s">
        <v>728</v>
      </c>
      <c r="R66" t="s">
        <v>186</v>
      </c>
      <c r="S66" t="s">
        <v>93</v>
      </c>
      <c r="T66" t="s">
        <v>187</v>
      </c>
      <c r="U66" t="s">
        <v>89</v>
      </c>
      <c r="V66" t="s">
        <v>708</v>
      </c>
      <c r="W66" t="s">
        <v>217</v>
      </c>
      <c r="X66" t="s">
        <v>98</v>
      </c>
      <c r="Y66" t="s">
        <v>729</v>
      </c>
      <c r="Z66" t="s">
        <v>191</v>
      </c>
      <c r="AA66" t="s">
        <v>93</v>
      </c>
      <c r="AB66" t="s">
        <v>192</v>
      </c>
      <c r="AC66" t="s">
        <v>730</v>
      </c>
    </row>
    <row r="67" spans="1:29" hidden="1" x14ac:dyDescent="0.25">
      <c r="A67" t="s">
        <v>28</v>
      </c>
      <c r="B67" t="s">
        <v>78</v>
      </c>
      <c r="C67" t="s">
        <v>666</v>
      </c>
      <c r="D67" t="s">
        <v>274</v>
      </c>
      <c r="E67" t="s">
        <v>80</v>
      </c>
      <c r="F67" t="s">
        <v>504</v>
      </c>
      <c r="G67" t="s">
        <v>731</v>
      </c>
      <c r="H67" t="s">
        <v>732</v>
      </c>
      <c r="I67" t="s">
        <v>733</v>
      </c>
      <c r="J67" t="s">
        <v>89</v>
      </c>
      <c r="K67" t="s">
        <v>89</v>
      </c>
      <c r="L67" t="s">
        <v>238</v>
      </c>
      <c r="M67" t="s">
        <v>89</v>
      </c>
      <c r="N67" t="s">
        <v>88</v>
      </c>
      <c r="O67" t="s">
        <v>89</v>
      </c>
      <c r="P67" t="s">
        <v>305</v>
      </c>
      <c r="Q67" t="s">
        <v>734</v>
      </c>
      <c r="R67" t="s">
        <v>203</v>
      </c>
      <c r="S67" t="s">
        <v>93</v>
      </c>
      <c r="T67" t="s">
        <v>204</v>
      </c>
      <c r="U67" t="s">
        <v>89</v>
      </c>
      <c r="V67" t="s">
        <v>88</v>
      </c>
      <c r="W67" t="s">
        <v>243</v>
      </c>
      <c r="X67" t="s">
        <v>98</v>
      </c>
      <c r="Y67" t="s">
        <v>735</v>
      </c>
      <c r="Z67" t="s">
        <v>208</v>
      </c>
      <c r="AA67" t="s">
        <v>93</v>
      </c>
      <c r="AB67" t="s">
        <v>209</v>
      </c>
      <c r="AC67" t="s">
        <v>736</v>
      </c>
    </row>
    <row r="68" spans="1:29" hidden="1" x14ac:dyDescent="0.25">
      <c r="A68" t="s">
        <v>28</v>
      </c>
      <c r="B68" t="s">
        <v>78</v>
      </c>
      <c r="C68" t="s">
        <v>666</v>
      </c>
      <c r="D68" t="s">
        <v>274</v>
      </c>
      <c r="E68" t="s">
        <v>80</v>
      </c>
      <c r="F68" t="s">
        <v>514</v>
      </c>
      <c r="G68" t="s">
        <v>737</v>
      </c>
      <c r="H68" t="s">
        <v>738</v>
      </c>
      <c r="I68" t="s">
        <v>739</v>
      </c>
      <c r="J68" t="s">
        <v>89</v>
      </c>
      <c r="K68" t="s">
        <v>89</v>
      </c>
      <c r="L68" t="s">
        <v>238</v>
      </c>
      <c r="M68" t="s">
        <v>87</v>
      </c>
      <c r="N68" t="s">
        <v>88</v>
      </c>
      <c r="O68" t="s">
        <v>89</v>
      </c>
      <c r="P68" t="s">
        <v>305</v>
      </c>
      <c r="Q68" t="s">
        <v>740</v>
      </c>
      <c r="R68" t="s">
        <v>484</v>
      </c>
      <c r="S68" t="s">
        <v>93</v>
      </c>
      <c r="T68" t="s">
        <v>485</v>
      </c>
      <c r="U68" t="s">
        <v>95</v>
      </c>
      <c r="V68" t="s">
        <v>96</v>
      </c>
      <c r="W68" t="s">
        <v>243</v>
      </c>
      <c r="X68" t="s">
        <v>98</v>
      </c>
      <c r="Y68" t="s">
        <v>741</v>
      </c>
      <c r="Z68" t="s">
        <v>697</v>
      </c>
      <c r="AA68" t="s">
        <v>93</v>
      </c>
      <c r="AB68" t="s">
        <v>698</v>
      </c>
      <c r="AC68" t="s">
        <v>742</v>
      </c>
    </row>
    <row r="69" spans="1:29" hidden="1" x14ac:dyDescent="0.25">
      <c r="A69" t="s">
        <v>28</v>
      </c>
      <c r="B69" t="s">
        <v>78</v>
      </c>
      <c r="C69" t="s">
        <v>666</v>
      </c>
      <c r="D69" t="s">
        <v>274</v>
      </c>
      <c r="E69" t="s">
        <v>80</v>
      </c>
      <c r="F69" t="s">
        <v>521</v>
      </c>
      <c r="G69" t="s">
        <v>743</v>
      </c>
      <c r="H69" t="s">
        <v>744</v>
      </c>
      <c r="I69" t="s">
        <v>745</v>
      </c>
      <c r="J69" t="s">
        <v>89</v>
      </c>
      <c r="K69" t="s">
        <v>85</v>
      </c>
      <c r="L69" t="s">
        <v>135</v>
      </c>
      <c r="M69" t="s">
        <v>95</v>
      </c>
      <c r="N69" t="s">
        <v>88</v>
      </c>
      <c r="O69" t="s">
        <v>89</v>
      </c>
      <c r="P69" t="s">
        <v>305</v>
      </c>
      <c r="Q69" t="s">
        <v>746</v>
      </c>
      <c r="R69" t="s">
        <v>710</v>
      </c>
      <c r="S69" t="s">
        <v>93</v>
      </c>
      <c r="T69" t="s">
        <v>711</v>
      </c>
      <c r="U69" t="s">
        <v>87</v>
      </c>
      <c r="V69" t="s">
        <v>88</v>
      </c>
      <c r="W69" t="s">
        <v>110</v>
      </c>
      <c r="X69" t="s">
        <v>98</v>
      </c>
      <c r="Y69" t="s">
        <v>747</v>
      </c>
      <c r="Z69" t="s">
        <v>139</v>
      </c>
      <c r="AA69" t="s">
        <v>93</v>
      </c>
      <c r="AB69" t="s">
        <v>140</v>
      </c>
      <c r="AC69" t="s">
        <v>748</v>
      </c>
    </row>
    <row r="70" spans="1:29" hidden="1" x14ac:dyDescent="0.25">
      <c r="A70" t="s">
        <v>28</v>
      </c>
      <c r="B70" t="s">
        <v>78</v>
      </c>
      <c r="C70" t="s">
        <v>666</v>
      </c>
      <c r="D70" t="s">
        <v>274</v>
      </c>
      <c r="E70" t="s">
        <v>80</v>
      </c>
      <c r="F70" t="s">
        <v>530</v>
      </c>
      <c r="G70" t="s">
        <v>749</v>
      </c>
      <c r="H70" t="s">
        <v>750</v>
      </c>
      <c r="I70" t="s">
        <v>751</v>
      </c>
      <c r="J70" t="s">
        <v>89</v>
      </c>
      <c r="K70" t="s">
        <v>89</v>
      </c>
      <c r="L70" t="s">
        <v>338</v>
      </c>
      <c r="M70" t="s">
        <v>87</v>
      </c>
      <c r="N70" t="s">
        <v>88</v>
      </c>
      <c r="O70" t="s">
        <v>89</v>
      </c>
      <c r="P70" t="s">
        <v>263</v>
      </c>
      <c r="Q70" t="s">
        <v>752</v>
      </c>
      <c r="R70" t="s">
        <v>753</v>
      </c>
      <c r="S70" t="s">
        <v>93</v>
      </c>
      <c r="T70" t="s">
        <v>754</v>
      </c>
      <c r="U70" t="s">
        <v>87</v>
      </c>
      <c r="V70" t="s">
        <v>88</v>
      </c>
      <c r="W70" t="s">
        <v>110</v>
      </c>
      <c r="X70" t="s">
        <v>98</v>
      </c>
      <c r="Y70" t="s">
        <v>755</v>
      </c>
      <c r="Z70" t="s">
        <v>155</v>
      </c>
      <c r="AA70" t="s">
        <v>93</v>
      </c>
      <c r="AB70" t="s">
        <v>156</v>
      </c>
      <c r="AC70" t="s">
        <v>756</v>
      </c>
    </row>
    <row r="71" spans="1:29" hidden="1" x14ac:dyDescent="0.25">
      <c r="A71" t="s">
        <v>28</v>
      </c>
      <c r="B71" t="s">
        <v>78</v>
      </c>
      <c r="C71" t="s">
        <v>666</v>
      </c>
      <c r="D71" t="s">
        <v>274</v>
      </c>
      <c r="E71" t="s">
        <v>80</v>
      </c>
      <c r="F71" t="s">
        <v>537</v>
      </c>
      <c r="G71" t="s">
        <v>757</v>
      </c>
      <c r="H71" t="s">
        <v>758</v>
      </c>
      <c r="I71" t="s">
        <v>759</v>
      </c>
      <c r="J71" t="s">
        <v>89</v>
      </c>
      <c r="K71" t="s">
        <v>89</v>
      </c>
      <c r="L71" t="s">
        <v>86</v>
      </c>
      <c r="M71" t="s">
        <v>136</v>
      </c>
      <c r="N71" t="s">
        <v>89</v>
      </c>
      <c r="O71" t="s">
        <v>89</v>
      </c>
      <c r="P71" t="s">
        <v>263</v>
      </c>
      <c r="Q71" t="s">
        <v>760</v>
      </c>
      <c r="R71" t="s">
        <v>761</v>
      </c>
      <c r="S71" t="s">
        <v>93</v>
      </c>
      <c r="T71" t="s">
        <v>762</v>
      </c>
      <c r="U71" t="s">
        <v>239</v>
      </c>
      <c r="V71" t="s">
        <v>89</v>
      </c>
      <c r="W71" t="s">
        <v>89</v>
      </c>
      <c r="X71" t="s">
        <v>246</v>
      </c>
      <c r="Y71" t="s">
        <v>763</v>
      </c>
      <c r="Z71" t="s">
        <v>764</v>
      </c>
      <c r="AA71" t="s">
        <v>93</v>
      </c>
      <c r="AB71" t="s">
        <v>765</v>
      </c>
      <c r="AC71" t="s">
        <v>766</v>
      </c>
    </row>
    <row r="72" spans="1:29" hidden="1" x14ac:dyDescent="0.25">
      <c r="A72" t="s">
        <v>28</v>
      </c>
      <c r="B72" t="s">
        <v>78</v>
      </c>
      <c r="C72" t="s">
        <v>666</v>
      </c>
      <c r="D72" t="s">
        <v>274</v>
      </c>
      <c r="E72" t="s">
        <v>80</v>
      </c>
      <c r="F72" t="s">
        <v>560</v>
      </c>
      <c r="G72" t="s">
        <v>767</v>
      </c>
      <c r="H72" t="s">
        <v>768</v>
      </c>
      <c r="I72" t="s">
        <v>769</v>
      </c>
      <c r="J72" t="s">
        <v>89</v>
      </c>
      <c r="K72" t="s">
        <v>198</v>
      </c>
      <c r="L72" t="s">
        <v>86</v>
      </c>
      <c r="M72" t="s">
        <v>136</v>
      </c>
      <c r="N72" t="s">
        <v>96</v>
      </c>
      <c r="O72" t="s">
        <v>89</v>
      </c>
      <c r="P72" t="s">
        <v>263</v>
      </c>
      <c r="Q72" t="s">
        <v>770</v>
      </c>
      <c r="R72" t="s">
        <v>355</v>
      </c>
      <c r="S72" t="s">
        <v>93</v>
      </c>
      <c r="T72" t="s">
        <v>356</v>
      </c>
      <c r="U72" t="s">
        <v>136</v>
      </c>
      <c r="V72" t="s">
        <v>96</v>
      </c>
      <c r="W72" t="s">
        <v>97</v>
      </c>
      <c r="X72" t="s">
        <v>98</v>
      </c>
      <c r="Y72" t="s">
        <v>771</v>
      </c>
      <c r="Z72" t="s">
        <v>579</v>
      </c>
      <c r="AA72" t="s">
        <v>93</v>
      </c>
      <c r="AB72" t="s">
        <v>580</v>
      </c>
      <c r="AC72" t="s">
        <v>772</v>
      </c>
    </row>
    <row r="73" spans="1:29" hidden="1" x14ac:dyDescent="0.25">
      <c r="A73" t="s">
        <v>28</v>
      </c>
      <c r="B73" t="s">
        <v>78</v>
      </c>
      <c r="C73" t="s">
        <v>666</v>
      </c>
      <c r="D73" t="s">
        <v>274</v>
      </c>
      <c r="E73" t="s">
        <v>80</v>
      </c>
      <c r="F73" t="s">
        <v>567</v>
      </c>
      <c r="G73" t="s">
        <v>773</v>
      </c>
      <c r="H73" t="s">
        <v>774</v>
      </c>
      <c r="I73" t="s">
        <v>775</v>
      </c>
      <c r="J73" t="s">
        <v>89</v>
      </c>
      <c r="K73" t="s">
        <v>198</v>
      </c>
      <c r="L73" t="s">
        <v>86</v>
      </c>
      <c r="M73" t="s">
        <v>239</v>
      </c>
      <c r="N73" t="s">
        <v>96</v>
      </c>
      <c r="O73" t="s">
        <v>89</v>
      </c>
      <c r="P73" t="s">
        <v>263</v>
      </c>
      <c r="Q73" t="s">
        <v>776</v>
      </c>
      <c r="R73" t="s">
        <v>588</v>
      </c>
      <c r="S73" t="s">
        <v>93</v>
      </c>
      <c r="T73" t="s">
        <v>589</v>
      </c>
      <c r="U73" t="s">
        <v>87</v>
      </c>
      <c r="V73" t="s">
        <v>96</v>
      </c>
      <c r="W73" t="s">
        <v>110</v>
      </c>
      <c r="X73" t="s">
        <v>98</v>
      </c>
      <c r="Y73" t="s">
        <v>777</v>
      </c>
      <c r="Z73" t="s">
        <v>526</v>
      </c>
      <c r="AA73" t="s">
        <v>93</v>
      </c>
      <c r="AB73" t="s">
        <v>527</v>
      </c>
      <c r="AC73" t="s">
        <v>778</v>
      </c>
    </row>
    <row r="74" spans="1:29" hidden="1" x14ac:dyDescent="0.25">
      <c r="A74" t="s">
        <v>28</v>
      </c>
      <c r="B74" t="s">
        <v>78</v>
      </c>
      <c r="C74" t="s">
        <v>666</v>
      </c>
      <c r="D74" t="s">
        <v>274</v>
      </c>
      <c r="E74" t="s">
        <v>80</v>
      </c>
      <c r="F74" t="s">
        <v>574</v>
      </c>
      <c r="G74" t="s">
        <v>779</v>
      </c>
      <c r="H74" t="s">
        <v>780</v>
      </c>
      <c r="I74" t="s">
        <v>781</v>
      </c>
      <c r="J74" t="s">
        <v>89</v>
      </c>
      <c r="K74" t="s">
        <v>198</v>
      </c>
      <c r="L74" t="s">
        <v>118</v>
      </c>
      <c r="M74" t="s">
        <v>136</v>
      </c>
      <c r="N74" t="s">
        <v>96</v>
      </c>
      <c r="O74" t="s">
        <v>89</v>
      </c>
      <c r="P74" t="s">
        <v>263</v>
      </c>
      <c r="Q74" t="s">
        <v>782</v>
      </c>
      <c r="R74" t="s">
        <v>480</v>
      </c>
      <c r="S74" t="s">
        <v>93</v>
      </c>
      <c r="T74" t="s">
        <v>481</v>
      </c>
      <c r="U74" t="s">
        <v>87</v>
      </c>
      <c r="V74" t="s">
        <v>267</v>
      </c>
      <c r="W74" t="s">
        <v>89</v>
      </c>
      <c r="X74" t="s">
        <v>98</v>
      </c>
      <c r="Y74" t="s">
        <v>783</v>
      </c>
      <c r="Z74" t="s">
        <v>484</v>
      </c>
      <c r="AA74" t="s">
        <v>93</v>
      </c>
      <c r="AB74" t="s">
        <v>485</v>
      </c>
      <c r="AC74" t="s">
        <v>784</v>
      </c>
    </row>
    <row r="75" spans="1:29" hidden="1" x14ac:dyDescent="0.25">
      <c r="A75" t="s">
        <v>28</v>
      </c>
      <c r="B75" t="s">
        <v>78</v>
      </c>
      <c r="C75" t="s">
        <v>666</v>
      </c>
      <c r="D75" t="s">
        <v>274</v>
      </c>
      <c r="E75" t="s">
        <v>80</v>
      </c>
      <c r="F75" t="s">
        <v>583</v>
      </c>
      <c r="G75" t="s">
        <v>785</v>
      </c>
      <c r="H75" t="s">
        <v>786</v>
      </c>
      <c r="I75" t="s">
        <v>787</v>
      </c>
      <c r="J75" t="s">
        <v>89</v>
      </c>
      <c r="K75" t="s">
        <v>85</v>
      </c>
      <c r="L75" t="s">
        <v>135</v>
      </c>
      <c r="M75" t="s">
        <v>205</v>
      </c>
      <c r="N75" t="s">
        <v>267</v>
      </c>
      <c r="O75" t="s">
        <v>89</v>
      </c>
      <c r="P75" t="s">
        <v>510</v>
      </c>
      <c r="Q75" t="s">
        <v>788</v>
      </c>
      <c r="R75" t="s">
        <v>546</v>
      </c>
      <c r="S75" t="s">
        <v>93</v>
      </c>
      <c r="T75" t="s">
        <v>547</v>
      </c>
      <c r="U75" t="s">
        <v>205</v>
      </c>
      <c r="V75" t="s">
        <v>267</v>
      </c>
      <c r="W75" t="s">
        <v>89</v>
      </c>
      <c r="X75" t="s">
        <v>98</v>
      </c>
      <c r="Y75" t="s">
        <v>789</v>
      </c>
      <c r="Z75" t="s">
        <v>710</v>
      </c>
      <c r="AA75" t="s">
        <v>93</v>
      </c>
      <c r="AB75" t="s">
        <v>711</v>
      </c>
      <c r="AC75" t="s">
        <v>790</v>
      </c>
    </row>
    <row r="76" spans="1:29" hidden="1" x14ac:dyDescent="0.25">
      <c r="A76" t="s">
        <v>28</v>
      </c>
      <c r="B76" t="s">
        <v>78</v>
      </c>
      <c r="C76" t="s">
        <v>666</v>
      </c>
      <c r="D76" t="s">
        <v>274</v>
      </c>
      <c r="E76" t="s">
        <v>80</v>
      </c>
      <c r="F76" t="s">
        <v>592</v>
      </c>
      <c r="G76" t="s">
        <v>791</v>
      </c>
      <c r="H76" t="s">
        <v>792</v>
      </c>
      <c r="I76" t="s">
        <v>793</v>
      </c>
      <c r="J76" t="s">
        <v>89</v>
      </c>
      <c r="K76" t="s">
        <v>85</v>
      </c>
      <c r="L76" t="s">
        <v>86</v>
      </c>
      <c r="M76" t="s">
        <v>95</v>
      </c>
      <c r="N76" t="s">
        <v>96</v>
      </c>
      <c r="O76" t="s">
        <v>89</v>
      </c>
      <c r="P76" t="s">
        <v>510</v>
      </c>
      <c r="Q76" t="s">
        <v>794</v>
      </c>
      <c r="R76" t="s">
        <v>753</v>
      </c>
      <c r="S76" t="s">
        <v>93</v>
      </c>
      <c r="T76" t="s">
        <v>754</v>
      </c>
      <c r="U76" t="s">
        <v>205</v>
      </c>
      <c r="V76" t="s">
        <v>267</v>
      </c>
      <c r="W76" t="s">
        <v>89</v>
      </c>
      <c r="X76" t="s">
        <v>98</v>
      </c>
      <c r="Y76" t="s">
        <v>795</v>
      </c>
      <c r="Z76" t="s">
        <v>155</v>
      </c>
      <c r="AA76" t="s">
        <v>93</v>
      </c>
      <c r="AB76" t="s">
        <v>156</v>
      </c>
      <c r="AC76" t="s">
        <v>796</v>
      </c>
    </row>
    <row r="77" spans="1:29" hidden="1" x14ac:dyDescent="0.25">
      <c r="A77" t="s">
        <v>28</v>
      </c>
      <c r="B77" t="s">
        <v>78</v>
      </c>
      <c r="C77" t="s">
        <v>666</v>
      </c>
      <c r="D77" t="s">
        <v>274</v>
      </c>
      <c r="E77" t="s">
        <v>80</v>
      </c>
      <c r="F77" t="s">
        <v>601</v>
      </c>
      <c r="G77" t="s">
        <v>797</v>
      </c>
      <c r="H77" t="s">
        <v>798</v>
      </c>
      <c r="I77" t="s">
        <v>799</v>
      </c>
      <c r="J77" t="s">
        <v>89</v>
      </c>
      <c r="K77" t="s">
        <v>198</v>
      </c>
      <c r="L77" t="s">
        <v>86</v>
      </c>
      <c r="M77" t="s">
        <v>205</v>
      </c>
      <c r="N77" t="s">
        <v>267</v>
      </c>
      <c r="O77" t="s">
        <v>89</v>
      </c>
      <c r="P77" t="s">
        <v>305</v>
      </c>
      <c r="Q77" t="s">
        <v>800</v>
      </c>
      <c r="R77" t="s">
        <v>801</v>
      </c>
      <c r="S77" t="s">
        <v>93</v>
      </c>
      <c r="T77" t="s">
        <v>802</v>
      </c>
      <c r="U77" t="s">
        <v>205</v>
      </c>
      <c r="V77" t="s">
        <v>267</v>
      </c>
      <c r="W77" t="s">
        <v>89</v>
      </c>
      <c r="X77" t="s">
        <v>98</v>
      </c>
      <c r="Y77" t="s">
        <v>803</v>
      </c>
      <c r="Z77" t="s">
        <v>761</v>
      </c>
      <c r="AA77" t="s">
        <v>93</v>
      </c>
      <c r="AB77" t="s">
        <v>762</v>
      </c>
      <c r="AC77" t="s">
        <v>804</v>
      </c>
    </row>
    <row r="78" spans="1:29" hidden="1" x14ac:dyDescent="0.25">
      <c r="A78" t="s">
        <v>28</v>
      </c>
      <c r="B78" t="s">
        <v>78</v>
      </c>
      <c r="C78" t="s">
        <v>666</v>
      </c>
      <c r="D78" t="s">
        <v>274</v>
      </c>
      <c r="E78" t="s">
        <v>80</v>
      </c>
      <c r="F78" t="s">
        <v>608</v>
      </c>
      <c r="G78" t="s">
        <v>805</v>
      </c>
      <c r="H78" t="s">
        <v>806</v>
      </c>
      <c r="I78" t="s">
        <v>469</v>
      </c>
      <c r="J78" t="s">
        <v>89</v>
      </c>
      <c r="K78" t="s">
        <v>85</v>
      </c>
      <c r="L78" t="s">
        <v>135</v>
      </c>
      <c r="M78" t="s">
        <v>205</v>
      </c>
      <c r="N78" t="s">
        <v>267</v>
      </c>
      <c r="O78" t="s">
        <v>89</v>
      </c>
      <c r="P78" t="s">
        <v>510</v>
      </c>
      <c r="Q78" t="s">
        <v>807</v>
      </c>
      <c r="R78" t="s">
        <v>808</v>
      </c>
      <c r="S78" t="s">
        <v>93</v>
      </c>
      <c r="T78" t="s">
        <v>809</v>
      </c>
      <c r="U78" t="s">
        <v>119</v>
      </c>
      <c r="V78" t="s">
        <v>96</v>
      </c>
      <c r="W78" t="s">
        <v>89</v>
      </c>
      <c r="X78" t="s">
        <v>98</v>
      </c>
      <c r="Y78" t="s">
        <v>810</v>
      </c>
      <c r="Z78" t="s">
        <v>811</v>
      </c>
      <c r="AA78" t="s">
        <v>93</v>
      </c>
      <c r="AB78" t="s">
        <v>812</v>
      </c>
      <c r="AC78" t="s">
        <v>813</v>
      </c>
    </row>
    <row r="79" spans="1:29" hidden="1" x14ac:dyDescent="0.25">
      <c r="A79" t="s">
        <v>28</v>
      </c>
      <c r="B79" t="s">
        <v>814</v>
      </c>
      <c r="C79" t="s">
        <v>666</v>
      </c>
      <c r="D79" t="s">
        <v>79</v>
      </c>
      <c r="E79" t="s">
        <v>80</v>
      </c>
      <c r="F79" t="s">
        <v>29</v>
      </c>
      <c r="G79" t="s">
        <v>815</v>
      </c>
      <c r="H79" t="s">
        <v>816</v>
      </c>
      <c r="I79" t="s">
        <v>817</v>
      </c>
      <c r="J79" t="s">
        <v>89</v>
      </c>
      <c r="K79" t="s">
        <v>85</v>
      </c>
      <c r="L79" t="s">
        <v>86</v>
      </c>
      <c r="M79" t="s">
        <v>205</v>
      </c>
      <c r="N79" t="s">
        <v>267</v>
      </c>
      <c r="O79" t="s">
        <v>89</v>
      </c>
      <c r="P79" t="s">
        <v>510</v>
      </c>
      <c r="Q79" t="s">
        <v>818</v>
      </c>
      <c r="R79" t="s">
        <v>819</v>
      </c>
      <c r="S79" t="s">
        <v>93</v>
      </c>
      <c r="T79" t="s">
        <v>820</v>
      </c>
      <c r="U79" t="s">
        <v>119</v>
      </c>
      <c r="V79" t="s">
        <v>254</v>
      </c>
      <c r="W79" t="s">
        <v>268</v>
      </c>
      <c r="X79" t="s">
        <v>98</v>
      </c>
      <c r="Y79" t="s">
        <v>821</v>
      </c>
      <c r="Z79" t="s">
        <v>822</v>
      </c>
      <c r="AA79" t="s">
        <v>93</v>
      </c>
      <c r="AB79" t="s">
        <v>823</v>
      </c>
      <c r="AC79" t="s">
        <v>824</v>
      </c>
    </row>
    <row r="80" spans="1:29" hidden="1" x14ac:dyDescent="0.25">
      <c r="A80" t="s">
        <v>28</v>
      </c>
      <c r="B80" t="s">
        <v>814</v>
      </c>
      <c r="C80" t="s">
        <v>666</v>
      </c>
      <c r="D80" t="s">
        <v>79</v>
      </c>
      <c r="E80" t="s">
        <v>80</v>
      </c>
      <c r="F80" t="s">
        <v>30</v>
      </c>
      <c r="G80" t="s">
        <v>825</v>
      </c>
      <c r="H80" t="s">
        <v>826</v>
      </c>
      <c r="I80" t="s">
        <v>827</v>
      </c>
      <c r="J80" t="s">
        <v>89</v>
      </c>
      <c r="K80" t="s">
        <v>89</v>
      </c>
      <c r="L80" t="s">
        <v>118</v>
      </c>
      <c r="M80" t="s">
        <v>95</v>
      </c>
      <c r="N80" t="s">
        <v>88</v>
      </c>
      <c r="O80" t="s">
        <v>89</v>
      </c>
      <c r="P80" t="s">
        <v>263</v>
      </c>
      <c r="Q80" t="s">
        <v>828</v>
      </c>
      <c r="R80" t="s">
        <v>553</v>
      </c>
      <c r="S80" t="s">
        <v>93</v>
      </c>
      <c r="T80" t="s">
        <v>554</v>
      </c>
      <c r="U80" t="s">
        <v>119</v>
      </c>
      <c r="V80" t="s">
        <v>88</v>
      </c>
      <c r="W80" t="s">
        <v>89</v>
      </c>
      <c r="X80" t="s">
        <v>98</v>
      </c>
      <c r="Y80" t="s">
        <v>829</v>
      </c>
      <c r="Z80" t="s">
        <v>557</v>
      </c>
      <c r="AA80" t="s">
        <v>93</v>
      </c>
      <c r="AB80" t="s">
        <v>558</v>
      </c>
      <c r="AC80" t="s">
        <v>830</v>
      </c>
    </row>
    <row r="81" spans="1:29" hidden="1" x14ac:dyDescent="0.25">
      <c r="A81" t="s">
        <v>28</v>
      </c>
      <c r="B81" t="s">
        <v>814</v>
      </c>
      <c r="C81" t="s">
        <v>666</v>
      </c>
      <c r="D81" t="s">
        <v>79</v>
      </c>
      <c r="E81" t="s">
        <v>80</v>
      </c>
      <c r="F81" t="s">
        <v>42</v>
      </c>
      <c r="G81" t="s">
        <v>831</v>
      </c>
      <c r="H81" t="s">
        <v>832</v>
      </c>
      <c r="I81" t="s">
        <v>833</v>
      </c>
      <c r="J81" t="s">
        <v>89</v>
      </c>
      <c r="K81" t="s">
        <v>198</v>
      </c>
      <c r="L81" t="s">
        <v>541</v>
      </c>
      <c r="M81" t="s">
        <v>141</v>
      </c>
      <c r="N81" t="s">
        <v>254</v>
      </c>
      <c r="O81" t="s">
        <v>89</v>
      </c>
      <c r="P81" t="s">
        <v>305</v>
      </c>
      <c r="Q81" t="s">
        <v>834</v>
      </c>
      <c r="R81" t="s">
        <v>173</v>
      </c>
      <c r="S81" t="s">
        <v>93</v>
      </c>
      <c r="T81" t="s">
        <v>174</v>
      </c>
      <c r="U81" t="s">
        <v>141</v>
      </c>
      <c r="V81" t="s">
        <v>267</v>
      </c>
      <c r="W81" t="s">
        <v>89</v>
      </c>
      <c r="X81" t="s">
        <v>98</v>
      </c>
      <c r="Y81" t="s">
        <v>835</v>
      </c>
      <c r="Z81" t="s">
        <v>177</v>
      </c>
      <c r="AA81" t="s">
        <v>93</v>
      </c>
      <c r="AB81" t="s">
        <v>178</v>
      </c>
      <c r="AC81" t="s">
        <v>836</v>
      </c>
    </row>
    <row r="82" spans="1:29" hidden="1" x14ac:dyDescent="0.25">
      <c r="A82" t="s">
        <v>28</v>
      </c>
      <c r="B82" t="s">
        <v>814</v>
      </c>
      <c r="C82" t="s">
        <v>666</v>
      </c>
      <c r="D82" t="s">
        <v>79</v>
      </c>
      <c r="E82" t="s">
        <v>80</v>
      </c>
      <c r="F82" t="s">
        <v>43</v>
      </c>
      <c r="G82" t="s">
        <v>837</v>
      </c>
      <c r="H82" t="s">
        <v>838</v>
      </c>
      <c r="I82" t="s">
        <v>839</v>
      </c>
      <c r="J82" t="s">
        <v>89</v>
      </c>
      <c r="K82" t="s">
        <v>198</v>
      </c>
      <c r="L82" t="s">
        <v>298</v>
      </c>
      <c r="M82" t="s">
        <v>141</v>
      </c>
      <c r="N82" t="s">
        <v>267</v>
      </c>
      <c r="O82" t="s">
        <v>89</v>
      </c>
      <c r="P82" t="s">
        <v>263</v>
      </c>
      <c r="Q82" t="s">
        <v>840</v>
      </c>
      <c r="R82" t="s">
        <v>186</v>
      </c>
      <c r="S82" t="s">
        <v>93</v>
      </c>
      <c r="T82" t="s">
        <v>187</v>
      </c>
      <c r="U82" t="s">
        <v>89</v>
      </c>
      <c r="V82" t="s">
        <v>254</v>
      </c>
      <c r="W82" t="s">
        <v>89</v>
      </c>
      <c r="X82" t="s">
        <v>98</v>
      </c>
      <c r="Y82" t="s">
        <v>841</v>
      </c>
      <c r="Z82" t="s">
        <v>191</v>
      </c>
      <c r="AA82" t="s">
        <v>93</v>
      </c>
      <c r="AB82" t="s">
        <v>192</v>
      </c>
      <c r="AC82" t="s">
        <v>842</v>
      </c>
    </row>
    <row r="83" spans="1:29" hidden="1" x14ac:dyDescent="0.25">
      <c r="A83" t="s">
        <v>28</v>
      </c>
      <c r="B83" t="s">
        <v>814</v>
      </c>
      <c r="C83" t="s">
        <v>666</v>
      </c>
      <c r="D83" t="s">
        <v>79</v>
      </c>
      <c r="E83" t="s">
        <v>80</v>
      </c>
      <c r="F83" t="s">
        <v>311</v>
      </c>
      <c r="G83" t="s">
        <v>843</v>
      </c>
      <c r="H83" t="s">
        <v>844</v>
      </c>
      <c r="I83" t="s">
        <v>845</v>
      </c>
      <c r="J83" t="s">
        <v>89</v>
      </c>
      <c r="K83" t="s">
        <v>198</v>
      </c>
      <c r="L83" t="s">
        <v>89</v>
      </c>
      <c r="M83" t="s">
        <v>89</v>
      </c>
      <c r="N83" t="s">
        <v>254</v>
      </c>
      <c r="O83" t="s">
        <v>89</v>
      </c>
      <c r="P83" t="s">
        <v>305</v>
      </c>
      <c r="Q83" t="s">
        <v>846</v>
      </c>
      <c r="R83" t="s">
        <v>203</v>
      </c>
      <c r="S83" t="s">
        <v>93</v>
      </c>
      <c r="T83" t="s">
        <v>204</v>
      </c>
      <c r="U83" t="s">
        <v>141</v>
      </c>
      <c r="V83" t="s">
        <v>254</v>
      </c>
      <c r="W83" t="s">
        <v>89</v>
      </c>
      <c r="X83" t="s">
        <v>98</v>
      </c>
      <c r="Y83" t="s">
        <v>847</v>
      </c>
      <c r="Z83" t="s">
        <v>208</v>
      </c>
      <c r="AA83" t="s">
        <v>93</v>
      </c>
      <c r="AB83" t="s">
        <v>209</v>
      </c>
      <c r="AC83" t="s">
        <v>848</v>
      </c>
    </row>
    <row r="84" spans="1:29" hidden="1" x14ac:dyDescent="0.25">
      <c r="A84" t="s">
        <v>28</v>
      </c>
      <c r="B84" t="s">
        <v>814</v>
      </c>
      <c r="C84" t="s">
        <v>666</v>
      </c>
      <c r="D84" t="s">
        <v>79</v>
      </c>
      <c r="E84" t="s">
        <v>80</v>
      </c>
      <c r="F84" t="s">
        <v>31</v>
      </c>
      <c r="G84" t="s">
        <v>849</v>
      </c>
      <c r="H84" t="s">
        <v>850</v>
      </c>
      <c r="I84" t="s">
        <v>851</v>
      </c>
      <c r="J84" t="s">
        <v>89</v>
      </c>
      <c r="K84" t="s">
        <v>85</v>
      </c>
      <c r="L84" t="s">
        <v>338</v>
      </c>
      <c r="M84" t="s">
        <v>205</v>
      </c>
      <c r="N84" t="s">
        <v>88</v>
      </c>
      <c r="O84" t="s">
        <v>89</v>
      </c>
      <c r="P84" t="s">
        <v>240</v>
      </c>
      <c r="Q84" t="s">
        <v>852</v>
      </c>
      <c r="R84" t="s">
        <v>853</v>
      </c>
      <c r="S84" t="s">
        <v>93</v>
      </c>
      <c r="T84" t="s">
        <v>854</v>
      </c>
      <c r="U84" t="s">
        <v>119</v>
      </c>
      <c r="V84" t="s">
        <v>88</v>
      </c>
      <c r="W84" t="s">
        <v>217</v>
      </c>
      <c r="X84" t="s">
        <v>98</v>
      </c>
      <c r="Y84" t="s">
        <v>855</v>
      </c>
      <c r="Z84" t="s">
        <v>856</v>
      </c>
      <c r="AA84" t="s">
        <v>93</v>
      </c>
      <c r="AB84" t="s">
        <v>857</v>
      </c>
      <c r="AC84" t="s">
        <v>858</v>
      </c>
    </row>
    <row r="85" spans="1:29" hidden="1" x14ac:dyDescent="0.25">
      <c r="A85" t="s">
        <v>28</v>
      </c>
      <c r="B85" t="s">
        <v>814</v>
      </c>
      <c r="C85" t="s">
        <v>666</v>
      </c>
      <c r="D85" t="s">
        <v>79</v>
      </c>
      <c r="E85" t="s">
        <v>80</v>
      </c>
      <c r="F85" t="s">
        <v>32</v>
      </c>
      <c r="G85" t="s">
        <v>859</v>
      </c>
      <c r="H85" t="s">
        <v>860</v>
      </c>
      <c r="I85" t="s">
        <v>120</v>
      </c>
      <c r="J85" t="s">
        <v>89</v>
      </c>
      <c r="K85" t="s">
        <v>89</v>
      </c>
      <c r="L85" t="s">
        <v>86</v>
      </c>
      <c r="M85" t="s">
        <v>95</v>
      </c>
      <c r="N85" t="s">
        <v>88</v>
      </c>
      <c r="O85" t="s">
        <v>89</v>
      </c>
      <c r="P85" t="s">
        <v>861</v>
      </c>
      <c r="Q85" t="s">
        <v>862</v>
      </c>
      <c r="R85" t="s">
        <v>863</v>
      </c>
      <c r="S85" t="s">
        <v>93</v>
      </c>
      <c r="T85" t="s">
        <v>864</v>
      </c>
      <c r="U85" t="s">
        <v>119</v>
      </c>
      <c r="V85" t="s">
        <v>88</v>
      </c>
      <c r="W85" t="s">
        <v>268</v>
      </c>
      <c r="X85" t="s">
        <v>98</v>
      </c>
      <c r="Y85" t="s">
        <v>865</v>
      </c>
      <c r="Z85" t="s">
        <v>227</v>
      </c>
      <c r="AA85" t="s">
        <v>93</v>
      </c>
      <c r="AB85" t="s">
        <v>228</v>
      </c>
      <c r="AC85" t="s">
        <v>866</v>
      </c>
    </row>
    <row r="86" spans="1:29" hidden="1" x14ac:dyDescent="0.25">
      <c r="A86" t="s">
        <v>28</v>
      </c>
      <c r="B86" t="s">
        <v>814</v>
      </c>
      <c r="C86" t="s">
        <v>666</v>
      </c>
      <c r="D86" t="s">
        <v>79</v>
      </c>
      <c r="E86" t="s">
        <v>80</v>
      </c>
      <c r="F86" t="s">
        <v>33</v>
      </c>
      <c r="G86" t="s">
        <v>867</v>
      </c>
      <c r="H86" t="s">
        <v>868</v>
      </c>
      <c r="I86" t="s">
        <v>869</v>
      </c>
      <c r="J86" t="s">
        <v>89</v>
      </c>
      <c r="K86" t="s">
        <v>85</v>
      </c>
      <c r="L86" t="s">
        <v>118</v>
      </c>
      <c r="M86" t="s">
        <v>119</v>
      </c>
      <c r="N86" t="s">
        <v>89</v>
      </c>
      <c r="O86" t="s">
        <v>89</v>
      </c>
      <c r="P86" t="s">
        <v>263</v>
      </c>
      <c r="Q86" t="s">
        <v>870</v>
      </c>
      <c r="R86" t="s">
        <v>242</v>
      </c>
      <c r="S86" t="s">
        <v>93</v>
      </c>
      <c r="T86" t="s">
        <v>98</v>
      </c>
      <c r="U86" t="s">
        <v>95</v>
      </c>
      <c r="V86" t="s">
        <v>89</v>
      </c>
      <c r="W86" t="s">
        <v>110</v>
      </c>
      <c r="X86" t="s">
        <v>871</v>
      </c>
      <c r="Y86" t="s">
        <v>872</v>
      </c>
      <c r="Z86" t="s">
        <v>245</v>
      </c>
      <c r="AA86" t="s">
        <v>93</v>
      </c>
      <c r="AB86" t="s">
        <v>246</v>
      </c>
      <c r="AC86" t="s">
        <v>873</v>
      </c>
    </row>
    <row r="87" spans="1:29" hidden="1" x14ac:dyDescent="0.25">
      <c r="A87" t="s">
        <v>28</v>
      </c>
      <c r="B87" t="s">
        <v>814</v>
      </c>
      <c r="C87" t="s">
        <v>666</v>
      </c>
      <c r="D87" t="s">
        <v>79</v>
      </c>
      <c r="E87" t="s">
        <v>80</v>
      </c>
      <c r="F87" t="s">
        <v>34</v>
      </c>
      <c r="G87" t="s">
        <v>874</v>
      </c>
      <c r="H87" t="s">
        <v>875</v>
      </c>
      <c r="I87" t="s">
        <v>876</v>
      </c>
      <c r="J87" t="s">
        <v>89</v>
      </c>
      <c r="K87" t="s">
        <v>85</v>
      </c>
      <c r="L87" t="s">
        <v>338</v>
      </c>
      <c r="M87" t="s">
        <v>239</v>
      </c>
      <c r="N87" t="s">
        <v>88</v>
      </c>
      <c r="O87" t="s">
        <v>89</v>
      </c>
      <c r="P87" t="s">
        <v>263</v>
      </c>
      <c r="Q87" t="s">
        <v>877</v>
      </c>
      <c r="R87" t="s">
        <v>256</v>
      </c>
      <c r="S87" t="s">
        <v>93</v>
      </c>
      <c r="T87" t="s">
        <v>257</v>
      </c>
      <c r="U87" t="s">
        <v>141</v>
      </c>
      <c r="V87" t="s">
        <v>96</v>
      </c>
      <c r="W87" t="s">
        <v>89</v>
      </c>
      <c r="X87" t="s">
        <v>98</v>
      </c>
      <c r="Y87" t="s">
        <v>878</v>
      </c>
      <c r="Z87" t="s">
        <v>392</v>
      </c>
      <c r="AA87" t="s">
        <v>93</v>
      </c>
      <c r="AB87" t="s">
        <v>393</v>
      </c>
      <c r="AC87" t="s">
        <v>879</v>
      </c>
    </row>
    <row r="88" spans="1:29" hidden="1" x14ac:dyDescent="0.25">
      <c r="A88" t="s">
        <v>28</v>
      </c>
      <c r="B88" t="s">
        <v>814</v>
      </c>
      <c r="C88" t="s">
        <v>666</v>
      </c>
      <c r="D88" t="s">
        <v>79</v>
      </c>
      <c r="E88" t="s">
        <v>80</v>
      </c>
      <c r="F88" t="s">
        <v>35</v>
      </c>
      <c r="G88" t="s">
        <v>880</v>
      </c>
      <c r="H88" t="s">
        <v>881</v>
      </c>
      <c r="I88" t="s">
        <v>827</v>
      </c>
      <c r="J88" t="s">
        <v>89</v>
      </c>
      <c r="K88" t="s">
        <v>198</v>
      </c>
      <c r="L88" t="s">
        <v>298</v>
      </c>
      <c r="M88" t="s">
        <v>141</v>
      </c>
      <c r="N88" t="s">
        <v>267</v>
      </c>
      <c r="O88" t="s">
        <v>89</v>
      </c>
      <c r="P88" t="s">
        <v>263</v>
      </c>
      <c r="Q88" t="s">
        <v>882</v>
      </c>
      <c r="R88" t="s">
        <v>401</v>
      </c>
      <c r="S88" t="s">
        <v>93</v>
      </c>
      <c r="T88" t="s">
        <v>402</v>
      </c>
      <c r="U88" t="s">
        <v>89</v>
      </c>
      <c r="V88" t="s">
        <v>254</v>
      </c>
      <c r="W88" t="s">
        <v>89</v>
      </c>
      <c r="X88" t="s">
        <v>98</v>
      </c>
      <c r="Y88" t="s">
        <v>883</v>
      </c>
      <c r="Z88" t="s">
        <v>327</v>
      </c>
      <c r="AA88" t="s">
        <v>93</v>
      </c>
      <c r="AB88" t="s">
        <v>328</v>
      </c>
      <c r="AC88" t="s">
        <v>884</v>
      </c>
    </row>
    <row r="89" spans="1:29" hidden="1" x14ac:dyDescent="0.25">
      <c r="A89" t="s">
        <v>28</v>
      </c>
      <c r="B89" t="s">
        <v>814</v>
      </c>
      <c r="C89" t="s">
        <v>666</v>
      </c>
      <c r="D89" t="s">
        <v>79</v>
      </c>
      <c r="E89" t="s">
        <v>80</v>
      </c>
      <c r="F89" t="s">
        <v>36</v>
      </c>
      <c r="G89" t="s">
        <v>885</v>
      </c>
      <c r="H89" t="s">
        <v>886</v>
      </c>
      <c r="I89" t="s">
        <v>887</v>
      </c>
      <c r="J89" t="s">
        <v>89</v>
      </c>
      <c r="K89" t="s">
        <v>198</v>
      </c>
      <c r="L89" t="s">
        <v>89</v>
      </c>
      <c r="M89" t="s">
        <v>89</v>
      </c>
      <c r="N89" t="s">
        <v>254</v>
      </c>
      <c r="O89" t="s">
        <v>89</v>
      </c>
      <c r="P89" t="s">
        <v>305</v>
      </c>
      <c r="Q89" t="s">
        <v>888</v>
      </c>
      <c r="R89" t="s">
        <v>340</v>
      </c>
      <c r="S89" t="s">
        <v>93</v>
      </c>
      <c r="T89" t="s">
        <v>341</v>
      </c>
      <c r="U89" t="s">
        <v>89</v>
      </c>
      <c r="V89" t="s">
        <v>267</v>
      </c>
      <c r="W89" t="s">
        <v>89</v>
      </c>
      <c r="X89" t="s">
        <v>98</v>
      </c>
      <c r="Y89" t="s">
        <v>889</v>
      </c>
      <c r="Z89" t="s">
        <v>344</v>
      </c>
      <c r="AA89" t="s">
        <v>93</v>
      </c>
      <c r="AB89" t="s">
        <v>345</v>
      </c>
      <c r="AC89" t="s">
        <v>890</v>
      </c>
    </row>
    <row r="90" spans="1:29" hidden="1" x14ac:dyDescent="0.25">
      <c r="A90" t="s">
        <v>28</v>
      </c>
      <c r="B90" t="s">
        <v>814</v>
      </c>
      <c r="C90" t="s">
        <v>666</v>
      </c>
      <c r="D90" t="s">
        <v>79</v>
      </c>
      <c r="E90" t="s">
        <v>80</v>
      </c>
      <c r="F90" t="s">
        <v>37</v>
      </c>
      <c r="G90" t="s">
        <v>891</v>
      </c>
      <c r="H90" t="s">
        <v>892</v>
      </c>
      <c r="I90" t="s">
        <v>893</v>
      </c>
      <c r="J90" t="s">
        <v>89</v>
      </c>
      <c r="K90" t="s">
        <v>198</v>
      </c>
      <c r="L90" t="s">
        <v>89</v>
      </c>
      <c r="M90" t="s">
        <v>141</v>
      </c>
      <c r="N90" t="s">
        <v>254</v>
      </c>
      <c r="O90" t="s">
        <v>89</v>
      </c>
      <c r="P90" t="s">
        <v>120</v>
      </c>
      <c r="Q90" t="s">
        <v>894</v>
      </c>
      <c r="R90" t="s">
        <v>579</v>
      </c>
      <c r="S90" t="s">
        <v>93</v>
      </c>
      <c r="T90" t="s">
        <v>580</v>
      </c>
      <c r="U90" t="s">
        <v>141</v>
      </c>
      <c r="V90" t="s">
        <v>254</v>
      </c>
      <c r="W90" t="s">
        <v>89</v>
      </c>
      <c r="X90" t="s">
        <v>98</v>
      </c>
      <c r="Y90" t="s">
        <v>895</v>
      </c>
      <c r="Z90" t="s">
        <v>186</v>
      </c>
      <c r="AA90" t="s">
        <v>93</v>
      </c>
      <c r="AB90" t="s">
        <v>187</v>
      </c>
      <c r="AC90" t="s">
        <v>896</v>
      </c>
    </row>
    <row r="91" spans="1:29" hidden="1" x14ac:dyDescent="0.25">
      <c r="A91" t="s">
        <v>28</v>
      </c>
      <c r="B91" t="s">
        <v>897</v>
      </c>
      <c r="C91" t="s">
        <v>666</v>
      </c>
      <c r="D91" t="s">
        <v>898</v>
      </c>
      <c r="E91" t="s">
        <v>80</v>
      </c>
      <c r="F91" t="s">
        <v>378</v>
      </c>
      <c r="G91" t="s">
        <v>899</v>
      </c>
      <c r="H91" t="s">
        <v>900</v>
      </c>
      <c r="I91" t="s">
        <v>901</v>
      </c>
      <c r="J91" t="s">
        <v>902</v>
      </c>
      <c r="K91" t="s">
        <v>903</v>
      </c>
      <c r="L91" t="s">
        <v>904</v>
      </c>
      <c r="M91" t="s">
        <v>95</v>
      </c>
      <c r="N91" t="s">
        <v>89</v>
      </c>
      <c r="O91" t="s">
        <v>89</v>
      </c>
      <c r="P91" t="s">
        <v>98</v>
      </c>
      <c r="Q91" t="s">
        <v>905</v>
      </c>
      <c r="R91" t="s">
        <v>480</v>
      </c>
      <c r="S91" t="s">
        <v>93</v>
      </c>
      <c r="T91" t="s">
        <v>481</v>
      </c>
      <c r="U91" t="s">
        <v>205</v>
      </c>
      <c r="V91" t="s">
        <v>89</v>
      </c>
      <c r="W91" t="s">
        <v>89</v>
      </c>
      <c r="X91" t="s">
        <v>906</v>
      </c>
      <c r="Y91" t="s">
        <v>907</v>
      </c>
      <c r="Z91" t="s">
        <v>484</v>
      </c>
      <c r="AA91" t="s">
        <v>93</v>
      </c>
      <c r="AB91" t="s">
        <v>485</v>
      </c>
      <c r="AC91" t="s">
        <v>908</v>
      </c>
    </row>
    <row r="92" spans="1:29" hidden="1" x14ac:dyDescent="0.25">
      <c r="A92" t="s">
        <v>28</v>
      </c>
      <c r="B92" t="s">
        <v>897</v>
      </c>
      <c r="C92" t="s">
        <v>666</v>
      </c>
      <c r="D92" t="s">
        <v>898</v>
      </c>
      <c r="E92" t="s">
        <v>80</v>
      </c>
      <c r="F92" t="s">
        <v>387</v>
      </c>
      <c r="G92" t="s">
        <v>909</v>
      </c>
      <c r="H92" t="s">
        <v>910</v>
      </c>
      <c r="I92" t="s">
        <v>911</v>
      </c>
      <c r="J92" t="s">
        <v>912</v>
      </c>
      <c r="K92" t="s">
        <v>913</v>
      </c>
      <c r="L92" t="s">
        <v>914</v>
      </c>
      <c r="M92" t="s">
        <v>87</v>
      </c>
      <c r="N92" t="s">
        <v>89</v>
      </c>
      <c r="O92" t="s">
        <v>89</v>
      </c>
      <c r="P92" t="s">
        <v>869</v>
      </c>
      <c r="Q92" t="s">
        <v>915</v>
      </c>
      <c r="R92" t="s">
        <v>710</v>
      </c>
      <c r="S92" t="s">
        <v>93</v>
      </c>
      <c r="T92" t="s">
        <v>711</v>
      </c>
      <c r="U92" t="s">
        <v>119</v>
      </c>
      <c r="V92" t="s">
        <v>89</v>
      </c>
      <c r="W92" t="s">
        <v>229</v>
      </c>
      <c r="X92" t="s">
        <v>916</v>
      </c>
      <c r="Y92" t="s">
        <v>917</v>
      </c>
      <c r="Z92" t="s">
        <v>139</v>
      </c>
      <c r="AA92" t="s">
        <v>93</v>
      </c>
      <c r="AB92" t="s">
        <v>140</v>
      </c>
      <c r="AC92" t="s">
        <v>918</v>
      </c>
    </row>
    <row r="93" spans="1:29" hidden="1" x14ac:dyDescent="0.25">
      <c r="A93" t="s">
        <v>28</v>
      </c>
      <c r="B93" t="s">
        <v>897</v>
      </c>
      <c r="C93" t="s">
        <v>666</v>
      </c>
      <c r="D93" t="s">
        <v>898</v>
      </c>
      <c r="E93" t="s">
        <v>80</v>
      </c>
      <c r="F93" t="s">
        <v>396</v>
      </c>
      <c r="G93" t="s">
        <v>919</v>
      </c>
      <c r="H93" t="s">
        <v>920</v>
      </c>
      <c r="I93" t="s">
        <v>921</v>
      </c>
      <c r="J93" t="s">
        <v>922</v>
      </c>
      <c r="K93" t="s">
        <v>923</v>
      </c>
      <c r="L93" t="s">
        <v>924</v>
      </c>
      <c r="M93" t="s">
        <v>449</v>
      </c>
      <c r="N93" t="s">
        <v>89</v>
      </c>
      <c r="O93" t="s">
        <v>229</v>
      </c>
      <c r="P93" t="s">
        <v>925</v>
      </c>
      <c r="Q93" t="s">
        <v>926</v>
      </c>
      <c r="R93" t="s">
        <v>162</v>
      </c>
      <c r="S93" t="s">
        <v>93</v>
      </c>
      <c r="T93" t="s">
        <v>163</v>
      </c>
      <c r="U93" t="s">
        <v>205</v>
      </c>
      <c r="V93" t="s">
        <v>89</v>
      </c>
      <c r="W93" t="s">
        <v>97</v>
      </c>
      <c r="X93" t="s">
        <v>927</v>
      </c>
      <c r="Y93" t="s">
        <v>928</v>
      </c>
      <c r="Z93" t="s">
        <v>929</v>
      </c>
      <c r="AA93" t="s">
        <v>93</v>
      </c>
      <c r="AB93" t="s">
        <v>930</v>
      </c>
      <c r="AC93" t="s">
        <v>931</v>
      </c>
    </row>
    <row r="94" spans="1:29" hidden="1" x14ac:dyDescent="0.25">
      <c r="A94" t="s">
        <v>28</v>
      </c>
      <c r="B94" t="s">
        <v>897</v>
      </c>
      <c r="C94" t="s">
        <v>666</v>
      </c>
      <c r="D94" t="s">
        <v>898</v>
      </c>
      <c r="E94" t="s">
        <v>80</v>
      </c>
      <c r="F94" t="s">
        <v>405</v>
      </c>
      <c r="G94" t="s">
        <v>932</v>
      </c>
      <c r="H94" t="s">
        <v>933</v>
      </c>
      <c r="I94" t="s">
        <v>934</v>
      </c>
      <c r="J94" t="s">
        <v>935</v>
      </c>
      <c r="K94" t="s">
        <v>707</v>
      </c>
      <c r="L94" t="s">
        <v>936</v>
      </c>
      <c r="M94" t="s">
        <v>205</v>
      </c>
      <c r="N94" t="s">
        <v>89</v>
      </c>
      <c r="O94" t="s">
        <v>97</v>
      </c>
      <c r="P94" t="s">
        <v>937</v>
      </c>
      <c r="Q94" t="s">
        <v>938</v>
      </c>
      <c r="R94" t="s">
        <v>939</v>
      </c>
      <c r="S94" t="s">
        <v>93</v>
      </c>
      <c r="T94" t="s">
        <v>940</v>
      </c>
      <c r="U94" t="s">
        <v>87</v>
      </c>
      <c r="V94" t="s">
        <v>89</v>
      </c>
      <c r="W94" t="s">
        <v>97</v>
      </c>
      <c r="X94" t="s">
        <v>941</v>
      </c>
      <c r="Y94" t="s">
        <v>942</v>
      </c>
      <c r="Z94" t="s">
        <v>808</v>
      </c>
      <c r="AA94" t="s">
        <v>93</v>
      </c>
      <c r="AB94" t="s">
        <v>809</v>
      </c>
      <c r="AC94" t="s">
        <v>943</v>
      </c>
    </row>
    <row r="95" spans="1:29" hidden="1" x14ac:dyDescent="0.25">
      <c r="A95" t="s">
        <v>28</v>
      </c>
      <c r="B95" t="s">
        <v>897</v>
      </c>
      <c r="C95" t="s">
        <v>666</v>
      </c>
      <c r="D95" t="s">
        <v>898</v>
      </c>
      <c r="E95" t="s">
        <v>80</v>
      </c>
      <c r="F95" t="s">
        <v>414</v>
      </c>
      <c r="G95" t="s">
        <v>944</v>
      </c>
      <c r="H95" t="s">
        <v>945</v>
      </c>
      <c r="I95" t="s">
        <v>946</v>
      </c>
      <c r="J95" t="s">
        <v>947</v>
      </c>
      <c r="K95" t="s">
        <v>948</v>
      </c>
      <c r="L95" t="s">
        <v>949</v>
      </c>
      <c r="M95" t="s">
        <v>205</v>
      </c>
      <c r="N95" t="s">
        <v>89</v>
      </c>
      <c r="O95" t="s">
        <v>97</v>
      </c>
      <c r="P95" t="s">
        <v>950</v>
      </c>
      <c r="Q95" t="s">
        <v>951</v>
      </c>
      <c r="R95" t="s">
        <v>952</v>
      </c>
      <c r="S95" t="s">
        <v>93</v>
      </c>
      <c r="T95" t="s">
        <v>953</v>
      </c>
      <c r="U95" t="s">
        <v>119</v>
      </c>
      <c r="V95" t="s">
        <v>89</v>
      </c>
      <c r="W95" t="s">
        <v>229</v>
      </c>
      <c r="X95" t="s">
        <v>954</v>
      </c>
      <c r="Y95" t="s">
        <v>955</v>
      </c>
      <c r="Z95" t="s">
        <v>956</v>
      </c>
      <c r="AA95" t="s">
        <v>93</v>
      </c>
      <c r="AB95" t="s">
        <v>957</v>
      </c>
      <c r="AC95" t="s">
        <v>958</v>
      </c>
    </row>
    <row r="96" spans="1:29" hidden="1" x14ac:dyDescent="0.25">
      <c r="A96" t="s">
        <v>28</v>
      </c>
      <c r="B96" t="s">
        <v>959</v>
      </c>
      <c r="C96" t="s">
        <v>666</v>
      </c>
      <c r="D96" t="s">
        <v>666</v>
      </c>
      <c r="E96" t="s">
        <v>80</v>
      </c>
      <c r="F96" t="s">
        <v>504</v>
      </c>
      <c r="G96" t="s">
        <v>960</v>
      </c>
      <c r="H96" t="s">
        <v>961</v>
      </c>
      <c r="I96" t="s">
        <v>182</v>
      </c>
      <c r="J96" t="s">
        <v>962</v>
      </c>
      <c r="K96" t="s">
        <v>963</v>
      </c>
      <c r="L96" t="s">
        <v>964</v>
      </c>
      <c r="M96" t="s">
        <v>95</v>
      </c>
      <c r="N96" t="s">
        <v>88</v>
      </c>
      <c r="O96" t="s">
        <v>89</v>
      </c>
      <c r="P96" t="s">
        <v>965</v>
      </c>
      <c r="Q96" t="s">
        <v>966</v>
      </c>
      <c r="R96" t="s">
        <v>967</v>
      </c>
      <c r="S96" t="s">
        <v>93</v>
      </c>
      <c r="T96" t="s">
        <v>968</v>
      </c>
      <c r="U96" t="s">
        <v>491</v>
      </c>
      <c r="V96" t="s">
        <v>708</v>
      </c>
      <c r="W96" t="s">
        <v>969</v>
      </c>
      <c r="X96" t="s">
        <v>160</v>
      </c>
      <c r="Y96" t="s">
        <v>970</v>
      </c>
      <c r="Z96" t="s">
        <v>971</v>
      </c>
      <c r="AA96" t="s">
        <v>93</v>
      </c>
      <c r="AB96" t="s">
        <v>972</v>
      </c>
      <c r="AC96" t="s">
        <v>973</v>
      </c>
    </row>
    <row r="97" spans="1:29" hidden="1" x14ac:dyDescent="0.25">
      <c r="A97" t="s">
        <v>28</v>
      </c>
      <c r="B97" t="s">
        <v>959</v>
      </c>
      <c r="C97" t="s">
        <v>666</v>
      </c>
      <c r="D97" t="s">
        <v>666</v>
      </c>
      <c r="E97" t="s">
        <v>80</v>
      </c>
      <c r="F97" t="s">
        <v>514</v>
      </c>
      <c r="G97" t="s">
        <v>974</v>
      </c>
      <c r="H97" t="s">
        <v>975</v>
      </c>
      <c r="I97" t="s">
        <v>976</v>
      </c>
      <c r="J97" t="s">
        <v>977</v>
      </c>
      <c r="K97" t="s">
        <v>978</v>
      </c>
      <c r="L97" t="s">
        <v>979</v>
      </c>
      <c r="M97" t="s">
        <v>119</v>
      </c>
      <c r="N97" t="s">
        <v>88</v>
      </c>
      <c r="O97" t="s">
        <v>89</v>
      </c>
      <c r="P97" t="s">
        <v>980</v>
      </c>
      <c r="Q97" t="s">
        <v>981</v>
      </c>
      <c r="R97" t="s">
        <v>982</v>
      </c>
      <c r="S97" t="s">
        <v>93</v>
      </c>
      <c r="T97" t="s">
        <v>983</v>
      </c>
      <c r="U97" t="s">
        <v>491</v>
      </c>
      <c r="V97" t="s">
        <v>482</v>
      </c>
      <c r="W97" t="s">
        <v>969</v>
      </c>
      <c r="X97" t="s">
        <v>160</v>
      </c>
      <c r="Y97" t="s">
        <v>984</v>
      </c>
      <c r="Z97" t="s">
        <v>985</v>
      </c>
      <c r="AA97" t="s">
        <v>93</v>
      </c>
      <c r="AB97" t="s">
        <v>986</v>
      </c>
      <c r="AC97" t="s">
        <v>987</v>
      </c>
    </row>
    <row r="98" spans="1:29" hidden="1" x14ac:dyDescent="0.25">
      <c r="A98" t="s">
        <v>28</v>
      </c>
      <c r="B98" t="s">
        <v>959</v>
      </c>
      <c r="C98" t="s">
        <v>666</v>
      </c>
      <c r="D98" t="s">
        <v>666</v>
      </c>
      <c r="E98" t="s">
        <v>80</v>
      </c>
      <c r="F98" t="s">
        <v>521</v>
      </c>
      <c r="G98" t="s">
        <v>988</v>
      </c>
      <c r="H98" t="s">
        <v>989</v>
      </c>
      <c r="I98" t="s">
        <v>990</v>
      </c>
      <c r="J98" t="s">
        <v>991</v>
      </c>
      <c r="K98" t="s">
        <v>903</v>
      </c>
      <c r="L98" t="s">
        <v>992</v>
      </c>
      <c r="M98" t="s">
        <v>95</v>
      </c>
      <c r="N98" t="s">
        <v>88</v>
      </c>
      <c r="O98" t="s">
        <v>89</v>
      </c>
      <c r="P98" t="s">
        <v>993</v>
      </c>
      <c r="Q98" t="s">
        <v>994</v>
      </c>
      <c r="R98" t="s">
        <v>995</v>
      </c>
      <c r="S98" t="s">
        <v>93</v>
      </c>
      <c r="T98" t="s">
        <v>906</v>
      </c>
      <c r="U98" t="s">
        <v>633</v>
      </c>
      <c r="V98" t="s">
        <v>482</v>
      </c>
      <c r="W98" t="s">
        <v>996</v>
      </c>
      <c r="X98" t="s">
        <v>160</v>
      </c>
      <c r="Y98" t="s">
        <v>997</v>
      </c>
      <c r="Z98" t="s">
        <v>998</v>
      </c>
      <c r="AA98" t="s">
        <v>93</v>
      </c>
      <c r="AB98" t="s">
        <v>999</v>
      </c>
      <c r="AC98" t="s">
        <v>1000</v>
      </c>
    </row>
    <row r="99" spans="1:29" hidden="1" x14ac:dyDescent="0.25">
      <c r="A99" t="s">
        <v>28</v>
      </c>
      <c r="B99" t="s">
        <v>959</v>
      </c>
      <c r="C99" t="s">
        <v>666</v>
      </c>
      <c r="D99" t="s">
        <v>666</v>
      </c>
      <c r="E99" t="s">
        <v>80</v>
      </c>
      <c r="F99" t="s">
        <v>530</v>
      </c>
      <c r="G99" t="s">
        <v>1001</v>
      </c>
      <c r="H99" t="s">
        <v>1002</v>
      </c>
      <c r="I99" t="s">
        <v>1003</v>
      </c>
      <c r="J99" t="s">
        <v>1004</v>
      </c>
      <c r="K99" t="s">
        <v>1005</v>
      </c>
      <c r="L99" t="s">
        <v>1006</v>
      </c>
      <c r="M99" t="s">
        <v>95</v>
      </c>
      <c r="N99" t="s">
        <v>96</v>
      </c>
      <c r="O99" t="s">
        <v>89</v>
      </c>
      <c r="P99" t="s">
        <v>1007</v>
      </c>
      <c r="Q99" t="s">
        <v>1008</v>
      </c>
      <c r="R99" t="s">
        <v>1009</v>
      </c>
      <c r="S99" t="s">
        <v>93</v>
      </c>
      <c r="T99" t="s">
        <v>1010</v>
      </c>
      <c r="U99" t="s">
        <v>633</v>
      </c>
      <c r="V99" t="s">
        <v>291</v>
      </c>
      <c r="W99" t="s">
        <v>620</v>
      </c>
      <c r="X99" t="s">
        <v>160</v>
      </c>
      <c r="Y99" t="s">
        <v>1011</v>
      </c>
      <c r="Z99" t="s">
        <v>1012</v>
      </c>
      <c r="AA99" t="s">
        <v>93</v>
      </c>
      <c r="AB99" t="s">
        <v>954</v>
      </c>
      <c r="AC99" t="s">
        <v>1013</v>
      </c>
    </row>
    <row r="100" spans="1:29" hidden="1" x14ac:dyDescent="0.25">
      <c r="A100" t="s">
        <v>28</v>
      </c>
      <c r="B100" t="s">
        <v>959</v>
      </c>
      <c r="C100" t="s">
        <v>666</v>
      </c>
      <c r="D100" t="s">
        <v>666</v>
      </c>
      <c r="E100" t="s">
        <v>80</v>
      </c>
      <c r="F100" t="s">
        <v>537</v>
      </c>
      <c r="G100" t="s">
        <v>1014</v>
      </c>
      <c r="H100" t="s">
        <v>1015</v>
      </c>
      <c r="I100" t="s">
        <v>1016</v>
      </c>
      <c r="J100" t="s">
        <v>1017</v>
      </c>
      <c r="K100" t="s">
        <v>963</v>
      </c>
      <c r="L100" t="s">
        <v>964</v>
      </c>
      <c r="M100" t="s">
        <v>205</v>
      </c>
      <c r="N100" t="s">
        <v>267</v>
      </c>
      <c r="O100" t="s">
        <v>89</v>
      </c>
      <c r="P100" t="s">
        <v>1018</v>
      </c>
      <c r="Q100" t="s">
        <v>1019</v>
      </c>
      <c r="R100" t="s">
        <v>1020</v>
      </c>
      <c r="S100" t="s">
        <v>93</v>
      </c>
      <c r="T100" t="s">
        <v>1021</v>
      </c>
      <c r="U100" t="s">
        <v>633</v>
      </c>
      <c r="V100" t="s">
        <v>291</v>
      </c>
      <c r="W100" t="s">
        <v>647</v>
      </c>
      <c r="X100" t="s">
        <v>160</v>
      </c>
      <c r="Y100" t="s">
        <v>1022</v>
      </c>
      <c r="Z100" t="s">
        <v>1023</v>
      </c>
      <c r="AA100" t="s">
        <v>93</v>
      </c>
      <c r="AB100" t="s">
        <v>1024</v>
      </c>
      <c r="AC100" t="s">
        <v>1025</v>
      </c>
    </row>
    <row r="101" spans="1:29" hidden="1" x14ac:dyDescent="0.25">
      <c r="A101" t="s">
        <v>28</v>
      </c>
      <c r="B101" t="s">
        <v>959</v>
      </c>
      <c r="C101" t="s">
        <v>1026</v>
      </c>
      <c r="D101" t="s">
        <v>79</v>
      </c>
      <c r="E101" t="s">
        <v>80</v>
      </c>
      <c r="F101" t="s">
        <v>42</v>
      </c>
      <c r="G101" t="s">
        <v>1027</v>
      </c>
      <c r="H101" t="s">
        <v>1028</v>
      </c>
      <c r="I101" t="s">
        <v>1029</v>
      </c>
      <c r="J101" t="s">
        <v>89</v>
      </c>
      <c r="K101" t="s">
        <v>89</v>
      </c>
      <c r="L101" t="s">
        <v>118</v>
      </c>
      <c r="M101" t="s">
        <v>136</v>
      </c>
      <c r="N101" t="s">
        <v>89</v>
      </c>
      <c r="O101" t="s">
        <v>89</v>
      </c>
      <c r="P101" t="s">
        <v>1030</v>
      </c>
      <c r="Q101" t="s">
        <v>1031</v>
      </c>
      <c r="R101" t="s">
        <v>597</v>
      </c>
      <c r="S101" t="s">
        <v>93</v>
      </c>
      <c r="T101" t="s">
        <v>598</v>
      </c>
      <c r="U101" t="s">
        <v>136</v>
      </c>
      <c r="V101" t="s">
        <v>89</v>
      </c>
      <c r="W101" t="s">
        <v>89</v>
      </c>
      <c r="X101" t="s">
        <v>1032</v>
      </c>
      <c r="Y101" t="s">
        <v>1033</v>
      </c>
      <c r="Z101" t="s">
        <v>480</v>
      </c>
      <c r="AA101" t="s">
        <v>93</v>
      </c>
      <c r="AB101" t="s">
        <v>481</v>
      </c>
      <c r="AC101" t="s">
        <v>1034</v>
      </c>
    </row>
    <row r="102" spans="1:29" hidden="1" x14ac:dyDescent="0.25">
      <c r="A102" t="s">
        <v>28</v>
      </c>
      <c r="B102" t="s">
        <v>959</v>
      </c>
      <c r="C102" t="s">
        <v>1026</v>
      </c>
      <c r="D102" t="s">
        <v>79</v>
      </c>
      <c r="E102" t="s">
        <v>80</v>
      </c>
      <c r="F102" t="s">
        <v>43</v>
      </c>
      <c r="G102" t="s">
        <v>1035</v>
      </c>
      <c r="H102" t="s">
        <v>1036</v>
      </c>
      <c r="I102" t="s">
        <v>702</v>
      </c>
      <c r="J102" t="s">
        <v>89</v>
      </c>
      <c r="K102" t="s">
        <v>198</v>
      </c>
      <c r="L102" t="s">
        <v>135</v>
      </c>
      <c r="M102" t="s">
        <v>87</v>
      </c>
      <c r="N102" t="s">
        <v>89</v>
      </c>
      <c r="O102" t="s">
        <v>89</v>
      </c>
      <c r="P102" t="s">
        <v>1037</v>
      </c>
      <c r="Q102" t="s">
        <v>1038</v>
      </c>
      <c r="R102" t="s">
        <v>546</v>
      </c>
      <c r="S102" t="s">
        <v>93</v>
      </c>
      <c r="T102" t="s">
        <v>547</v>
      </c>
      <c r="U102" t="s">
        <v>239</v>
      </c>
      <c r="V102" t="s">
        <v>89</v>
      </c>
      <c r="W102" t="s">
        <v>89</v>
      </c>
      <c r="X102" t="s">
        <v>1039</v>
      </c>
      <c r="Y102" t="s">
        <v>1040</v>
      </c>
      <c r="Z102" t="s">
        <v>710</v>
      </c>
      <c r="AA102" t="s">
        <v>93</v>
      </c>
      <c r="AB102" t="s">
        <v>711</v>
      </c>
      <c r="AC102" t="s">
        <v>1041</v>
      </c>
    </row>
    <row r="103" spans="1:29" hidden="1" x14ac:dyDescent="0.25">
      <c r="A103" t="s">
        <v>28</v>
      </c>
      <c r="B103" t="s">
        <v>959</v>
      </c>
      <c r="C103" t="s">
        <v>1026</v>
      </c>
      <c r="D103" t="s">
        <v>79</v>
      </c>
      <c r="E103" t="s">
        <v>80</v>
      </c>
      <c r="F103" t="s">
        <v>311</v>
      </c>
      <c r="G103" t="s">
        <v>1042</v>
      </c>
      <c r="H103" t="s">
        <v>1043</v>
      </c>
      <c r="I103" t="s">
        <v>972</v>
      </c>
      <c r="J103" t="s">
        <v>89</v>
      </c>
      <c r="K103" t="s">
        <v>198</v>
      </c>
      <c r="L103" t="s">
        <v>541</v>
      </c>
      <c r="M103" t="s">
        <v>239</v>
      </c>
      <c r="N103" t="s">
        <v>88</v>
      </c>
      <c r="O103" t="s">
        <v>89</v>
      </c>
      <c r="P103" t="s">
        <v>305</v>
      </c>
      <c r="Q103" t="s">
        <v>1044</v>
      </c>
      <c r="R103" t="s">
        <v>155</v>
      </c>
      <c r="S103" t="s">
        <v>93</v>
      </c>
      <c r="T103" t="s">
        <v>156</v>
      </c>
      <c r="U103" t="s">
        <v>239</v>
      </c>
      <c r="V103" t="s">
        <v>88</v>
      </c>
      <c r="W103" t="s">
        <v>89</v>
      </c>
      <c r="X103" t="s">
        <v>98</v>
      </c>
      <c r="Y103" t="s">
        <v>1045</v>
      </c>
      <c r="Z103" t="s">
        <v>162</v>
      </c>
      <c r="AA103" t="s">
        <v>93</v>
      </c>
      <c r="AB103" t="s">
        <v>163</v>
      </c>
      <c r="AC103" t="s">
        <v>1046</v>
      </c>
    </row>
    <row r="104" spans="1:29" hidden="1" x14ac:dyDescent="0.25">
      <c r="A104" t="s">
        <v>28</v>
      </c>
      <c r="B104" t="s">
        <v>959</v>
      </c>
      <c r="C104" t="s">
        <v>1026</v>
      </c>
      <c r="D104" t="s">
        <v>79</v>
      </c>
      <c r="E104" t="s">
        <v>80</v>
      </c>
      <c r="F104" t="s">
        <v>322</v>
      </c>
      <c r="G104" t="s">
        <v>1047</v>
      </c>
      <c r="H104" t="s">
        <v>1048</v>
      </c>
      <c r="I104" t="s">
        <v>941</v>
      </c>
      <c r="J104" t="s">
        <v>89</v>
      </c>
      <c r="K104" t="s">
        <v>198</v>
      </c>
      <c r="L104" t="s">
        <v>338</v>
      </c>
      <c r="M104" t="s">
        <v>239</v>
      </c>
      <c r="N104" t="s">
        <v>88</v>
      </c>
      <c r="O104" t="s">
        <v>89</v>
      </c>
      <c r="P104" t="s">
        <v>510</v>
      </c>
      <c r="Q104" t="s">
        <v>1049</v>
      </c>
      <c r="R104" t="s">
        <v>1050</v>
      </c>
      <c r="S104" t="s">
        <v>93</v>
      </c>
      <c r="T104" t="s">
        <v>1051</v>
      </c>
      <c r="U104" t="s">
        <v>239</v>
      </c>
      <c r="V104" t="s">
        <v>88</v>
      </c>
      <c r="W104" t="s">
        <v>268</v>
      </c>
      <c r="X104" t="s">
        <v>98</v>
      </c>
      <c r="Y104" t="s">
        <v>1052</v>
      </c>
      <c r="Z104" t="s">
        <v>939</v>
      </c>
      <c r="AA104" t="s">
        <v>93</v>
      </c>
      <c r="AB104" t="s">
        <v>940</v>
      </c>
      <c r="AC104" t="s">
        <v>1053</v>
      </c>
    </row>
    <row r="105" spans="1:29" hidden="1" x14ac:dyDescent="0.25">
      <c r="A105" t="s">
        <v>28</v>
      </c>
      <c r="B105" t="s">
        <v>959</v>
      </c>
      <c r="C105" t="s">
        <v>1026</v>
      </c>
      <c r="D105" t="s">
        <v>79</v>
      </c>
      <c r="E105" t="s">
        <v>80</v>
      </c>
      <c r="F105" t="s">
        <v>334</v>
      </c>
      <c r="G105" t="s">
        <v>1054</v>
      </c>
      <c r="H105" t="s">
        <v>1055</v>
      </c>
      <c r="I105" t="s">
        <v>1056</v>
      </c>
      <c r="J105" t="s">
        <v>89</v>
      </c>
      <c r="K105" t="s">
        <v>85</v>
      </c>
      <c r="L105" t="s">
        <v>338</v>
      </c>
      <c r="M105" t="s">
        <v>239</v>
      </c>
      <c r="N105" t="s">
        <v>96</v>
      </c>
      <c r="O105" t="s">
        <v>89</v>
      </c>
      <c r="P105" t="s">
        <v>510</v>
      </c>
      <c r="Q105" t="s">
        <v>1057</v>
      </c>
      <c r="R105" t="s">
        <v>1058</v>
      </c>
      <c r="S105" t="s">
        <v>93</v>
      </c>
      <c r="T105" t="s">
        <v>925</v>
      </c>
      <c r="U105" t="s">
        <v>239</v>
      </c>
      <c r="V105" t="s">
        <v>96</v>
      </c>
      <c r="W105" t="s">
        <v>268</v>
      </c>
      <c r="X105" t="s">
        <v>98</v>
      </c>
      <c r="Y105" t="s">
        <v>1059</v>
      </c>
      <c r="Z105" t="s">
        <v>952</v>
      </c>
      <c r="AA105" t="s">
        <v>93</v>
      </c>
      <c r="AB105" t="s">
        <v>953</v>
      </c>
      <c r="AC105" t="s">
        <v>1060</v>
      </c>
    </row>
    <row r="106" spans="1:29" hidden="1" x14ac:dyDescent="0.25">
      <c r="A106" t="s">
        <v>28</v>
      </c>
      <c r="B106" t="s">
        <v>959</v>
      </c>
      <c r="C106" t="s">
        <v>1026</v>
      </c>
      <c r="D106" t="s">
        <v>79</v>
      </c>
      <c r="E106" t="s">
        <v>80</v>
      </c>
      <c r="F106" t="s">
        <v>347</v>
      </c>
      <c r="G106" t="s">
        <v>1061</v>
      </c>
      <c r="H106" t="s">
        <v>1062</v>
      </c>
      <c r="I106" t="s">
        <v>950</v>
      </c>
      <c r="J106" t="s">
        <v>89</v>
      </c>
      <c r="K106" t="s">
        <v>198</v>
      </c>
      <c r="L106" t="s">
        <v>541</v>
      </c>
      <c r="M106" t="s">
        <v>136</v>
      </c>
      <c r="N106" t="s">
        <v>88</v>
      </c>
      <c r="O106" t="s">
        <v>89</v>
      </c>
      <c r="P106" t="s">
        <v>305</v>
      </c>
      <c r="Q106" t="s">
        <v>1063</v>
      </c>
      <c r="R106" t="s">
        <v>1064</v>
      </c>
      <c r="S106" t="s">
        <v>93</v>
      </c>
      <c r="T106" t="s">
        <v>1065</v>
      </c>
      <c r="U106" t="s">
        <v>239</v>
      </c>
      <c r="V106" t="s">
        <v>88</v>
      </c>
      <c r="W106" t="s">
        <v>89</v>
      </c>
      <c r="X106" t="s">
        <v>98</v>
      </c>
      <c r="Y106" t="s">
        <v>1066</v>
      </c>
      <c r="Z106" t="s">
        <v>1067</v>
      </c>
      <c r="AA106" t="s">
        <v>93</v>
      </c>
      <c r="AB106" t="s">
        <v>1068</v>
      </c>
      <c r="AC106" t="s">
        <v>1069</v>
      </c>
    </row>
    <row r="107" spans="1:29" hidden="1" x14ac:dyDescent="0.25">
      <c r="A107" t="s">
        <v>28</v>
      </c>
      <c r="B107" t="s">
        <v>959</v>
      </c>
      <c r="C107" t="s">
        <v>1026</v>
      </c>
      <c r="D107" t="s">
        <v>79</v>
      </c>
      <c r="E107" t="s">
        <v>80</v>
      </c>
      <c r="F107" t="s">
        <v>358</v>
      </c>
      <c r="G107" t="s">
        <v>1070</v>
      </c>
      <c r="H107" t="s">
        <v>1071</v>
      </c>
      <c r="I107" t="s">
        <v>1051</v>
      </c>
      <c r="J107" t="s">
        <v>89</v>
      </c>
      <c r="K107" t="s">
        <v>198</v>
      </c>
      <c r="L107" t="s">
        <v>298</v>
      </c>
      <c r="M107" t="s">
        <v>239</v>
      </c>
      <c r="N107" t="s">
        <v>88</v>
      </c>
      <c r="O107" t="s">
        <v>89</v>
      </c>
      <c r="P107" t="s">
        <v>305</v>
      </c>
      <c r="Q107" t="s">
        <v>1072</v>
      </c>
      <c r="R107" t="s">
        <v>1073</v>
      </c>
      <c r="S107" t="s">
        <v>93</v>
      </c>
      <c r="T107" t="s">
        <v>1074</v>
      </c>
      <c r="U107" t="s">
        <v>239</v>
      </c>
      <c r="V107" t="s">
        <v>96</v>
      </c>
      <c r="W107" t="s">
        <v>268</v>
      </c>
      <c r="X107" t="s">
        <v>98</v>
      </c>
      <c r="Y107" t="s">
        <v>1075</v>
      </c>
      <c r="Z107" t="s">
        <v>967</v>
      </c>
      <c r="AA107" t="s">
        <v>93</v>
      </c>
      <c r="AB107" t="s">
        <v>968</v>
      </c>
      <c r="AC107" t="s">
        <v>1076</v>
      </c>
    </row>
    <row r="108" spans="1:29" hidden="1" x14ac:dyDescent="0.25">
      <c r="A108" t="s">
        <v>28</v>
      </c>
      <c r="B108" t="s">
        <v>959</v>
      </c>
      <c r="C108" t="s">
        <v>1026</v>
      </c>
      <c r="D108" t="s">
        <v>79</v>
      </c>
      <c r="E108" t="s">
        <v>80</v>
      </c>
      <c r="F108" t="s">
        <v>378</v>
      </c>
      <c r="G108" t="s">
        <v>1077</v>
      </c>
      <c r="H108" t="s">
        <v>1078</v>
      </c>
      <c r="I108" t="s">
        <v>1079</v>
      </c>
      <c r="J108" t="s">
        <v>89</v>
      </c>
      <c r="K108" t="s">
        <v>134</v>
      </c>
      <c r="L108" t="s">
        <v>541</v>
      </c>
      <c r="M108" t="s">
        <v>136</v>
      </c>
      <c r="N108" t="s">
        <v>88</v>
      </c>
      <c r="O108" t="s">
        <v>89</v>
      </c>
      <c r="P108" t="s">
        <v>305</v>
      </c>
      <c r="Q108" t="s">
        <v>1080</v>
      </c>
      <c r="R108" t="s">
        <v>543</v>
      </c>
      <c r="S108" t="s">
        <v>93</v>
      </c>
      <c r="T108" t="s">
        <v>544</v>
      </c>
      <c r="U108" t="s">
        <v>239</v>
      </c>
      <c r="V108" t="s">
        <v>88</v>
      </c>
      <c r="W108" t="s">
        <v>268</v>
      </c>
      <c r="X108" t="s">
        <v>98</v>
      </c>
      <c r="Y108" t="s">
        <v>1081</v>
      </c>
      <c r="Z108" t="s">
        <v>546</v>
      </c>
      <c r="AA108" t="s">
        <v>93</v>
      </c>
      <c r="AB108" t="s">
        <v>547</v>
      </c>
      <c r="AC108" t="s">
        <v>1082</v>
      </c>
    </row>
    <row r="109" spans="1:29" hidden="1" x14ac:dyDescent="0.25">
      <c r="A109" t="s">
        <v>28</v>
      </c>
      <c r="B109" t="s">
        <v>959</v>
      </c>
      <c r="C109" t="s">
        <v>1026</v>
      </c>
      <c r="D109" t="s">
        <v>79</v>
      </c>
      <c r="E109" t="s">
        <v>80</v>
      </c>
      <c r="F109" t="s">
        <v>387</v>
      </c>
      <c r="G109" t="s">
        <v>1083</v>
      </c>
      <c r="H109" t="s">
        <v>1084</v>
      </c>
      <c r="I109" t="s">
        <v>1056</v>
      </c>
      <c r="J109" t="s">
        <v>89</v>
      </c>
      <c r="K109" t="s">
        <v>85</v>
      </c>
      <c r="L109" t="s">
        <v>541</v>
      </c>
      <c r="M109" t="s">
        <v>141</v>
      </c>
      <c r="N109" t="s">
        <v>88</v>
      </c>
      <c r="O109" t="s">
        <v>89</v>
      </c>
      <c r="P109" t="s">
        <v>305</v>
      </c>
      <c r="Q109" t="s">
        <v>1085</v>
      </c>
      <c r="R109" t="s">
        <v>753</v>
      </c>
      <c r="S109" t="s">
        <v>93</v>
      </c>
      <c r="T109" t="s">
        <v>754</v>
      </c>
      <c r="U109" t="s">
        <v>239</v>
      </c>
      <c r="V109" t="s">
        <v>88</v>
      </c>
      <c r="W109" t="s">
        <v>243</v>
      </c>
      <c r="X109" t="s">
        <v>98</v>
      </c>
      <c r="Y109" t="s">
        <v>1086</v>
      </c>
      <c r="Z109" t="s">
        <v>155</v>
      </c>
      <c r="AA109" t="s">
        <v>93</v>
      </c>
      <c r="AB109" t="s">
        <v>156</v>
      </c>
      <c r="AC109" t="s">
        <v>1087</v>
      </c>
    </row>
    <row r="110" spans="1:29" hidden="1" x14ac:dyDescent="0.25">
      <c r="A110" t="s">
        <v>28</v>
      </c>
      <c r="B110" t="s">
        <v>959</v>
      </c>
      <c r="C110" t="s">
        <v>1026</v>
      </c>
      <c r="D110" t="s">
        <v>79</v>
      </c>
      <c r="E110" t="s">
        <v>80</v>
      </c>
      <c r="F110" t="s">
        <v>396</v>
      </c>
      <c r="G110" t="s">
        <v>1088</v>
      </c>
      <c r="H110" t="s">
        <v>1089</v>
      </c>
      <c r="I110" t="s">
        <v>204</v>
      </c>
      <c r="J110" t="s">
        <v>89</v>
      </c>
      <c r="K110" t="s">
        <v>134</v>
      </c>
      <c r="L110" t="s">
        <v>118</v>
      </c>
      <c r="M110" t="s">
        <v>205</v>
      </c>
      <c r="N110" t="s">
        <v>267</v>
      </c>
      <c r="O110" t="s">
        <v>89</v>
      </c>
      <c r="P110" t="s">
        <v>510</v>
      </c>
      <c r="Q110" t="s">
        <v>1090</v>
      </c>
      <c r="R110" t="s">
        <v>764</v>
      </c>
      <c r="S110" t="s">
        <v>93</v>
      </c>
      <c r="T110" t="s">
        <v>765</v>
      </c>
      <c r="U110" t="s">
        <v>449</v>
      </c>
      <c r="V110" t="s">
        <v>267</v>
      </c>
      <c r="W110" t="s">
        <v>89</v>
      </c>
      <c r="X110" t="s">
        <v>98</v>
      </c>
      <c r="Y110" t="s">
        <v>1091</v>
      </c>
      <c r="Z110" t="s">
        <v>1050</v>
      </c>
      <c r="AA110" t="s">
        <v>93</v>
      </c>
      <c r="AB110" t="s">
        <v>1051</v>
      </c>
      <c r="AC110" t="s">
        <v>1092</v>
      </c>
    </row>
    <row r="111" spans="1:29" hidden="1" x14ac:dyDescent="0.25">
      <c r="A111" t="s">
        <v>28</v>
      </c>
      <c r="B111" t="s">
        <v>959</v>
      </c>
      <c r="C111" t="s">
        <v>1026</v>
      </c>
      <c r="D111" t="s">
        <v>79</v>
      </c>
      <c r="E111" t="s">
        <v>80</v>
      </c>
      <c r="F111" t="s">
        <v>405</v>
      </c>
      <c r="G111" t="s">
        <v>1093</v>
      </c>
      <c r="H111" t="s">
        <v>1094</v>
      </c>
      <c r="I111" t="s">
        <v>156</v>
      </c>
      <c r="J111" t="s">
        <v>89</v>
      </c>
      <c r="K111" t="s">
        <v>198</v>
      </c>
      <c r="L111" t="s">
        <v>86</v>
      </c>
      <c r="M111" t="s">
        <v>205</v>
      </c>
      <c r="N111" t="s">
        <v>267</v>
      </c>
      <c r="O111" t="s">
        <v>89</v>
      </c>
      <c r="P111" t="s">
        <v>510</v>
      </c>
      <c r="Q111" t="s">
        <v>1095</v>
      </c>
      <c r="R111" t="s">
        <v>1058</v>
      </c>
      <c r="S111" t="s">
        <v>93</v>
      </c>
      <c r="T111" t="s">
        <v>925</v>
      </c>
      <c r="U111" t="s">
        <v>449</v>
      </c>
      <c r="V111" t="s">
        <v>267</v>
      </c>
      <c r="W111" t="s">
        <v>89</v>
      </c>
      <c r="X111" t="s">
        <v>98</v>
      </c>
      <c r="Y111" t="s">
        <v>1096</v>
      </c>
      <c r="Z111" t="s">
        <v>952</v>
      </c>
      <c r="AA111" t="s">
        <v>93</v>
      </c>
      <c r="AB111" t="s">
        <v>953</v>
      </c>
      <c r="AC111" t="s">
        <v>1097</v>
      </c>
    </row>
    <row r="112" spans="1:29" hidden="1" x14ac:dyDescent="0.25">
      <c r="A112" t="s">
        <v>28</v>
      </c>
      <c r="B112" t="s">
        <v>959</v>
      </c>
      <c r="C112" t="s">
        <v>1026</v>
      </c>
      <c r="D112" t="s">
        <v>79</v>
      </c>
      <c r="E112" t="s">
        <v>80</v>
      </c>
      <c r="F112" t="s">
        <v>414</v>
      </c>
      <c r="G112" t="s">
        <v>1098</v>
      </c>
      <c r="H112" t="s">
        <v>1099</v>
      </c>
      <c r="I112" t="s">
        <v>187</v>
      </c>
      <c r="J112" t="s">
        <v>89</v>
      </c>
      <c r="K112" t="s">
        <v>198</v>
      </c>
      <c r="L112" t="s">
        <v>135</v>
      </c>
      <c r="M112" t="s">
        <v>119</v>
      </c>
      <c r="N112" t="s">
        <v>96</v>
      </c>
      <c r="O112" t="s">
        <v>89</v>
      </c>
      <c r="P112" t="s">
        <v>510</v>
      </c>
      <c r="Q112" t="s">
        <v>1100</v>
      </c>
      <c r="R112" t="s">
        <v>1064</v>
      </c>
      <c r="S112" t="s">
        <v>93</v>
      </c>
      <c r="T112" t="s">
        <v>1065</v>
      </c>
      <c r="U112" t="s">
        <v>119</v>
      </c>
      <c r="V112" t="s">
        <v>267</v>
      </c>
      <c r="W112" t="s">
        <v>89</v>
      </c>
      <c r="X112" t="s">
        <v>98</v>
      </c>
      <c r="Y112" t="s">
        <v>1101</v>
      </c>
      <c r="Z112" t="s">
        <v>1067</v>
      </c>
      <c r="AA112" t="s">
        <v>93</v>
      </c>
      <c r="AB112" t="s">
        <v>1068</v>
      </c>
      <c r="AC112" t="s">
        <v>1102</v>
      </c>
    </row>
    <row r="113" spans="1:29" hidden="1" x14ac:dyDescent="0.25">
      <c r="A113" t="s">
        <v>28</v>
      </c>
      <c r="B113" t="s">
        <v>959</v>
      </c>
      <c r="C113" t="s">
        <v>1026</v>
      </c>
      <c r="D113" t="s">
        <v>79</v>
      </c>
      <c r="E113" t="s">
        <v>80</v>
      </c>
      <c r="F113" t="s">
        <v>129</v>
      </c>
      <c r="G113" t="s">
        <v>1103</v>
      </c>
      <c r="H113" t="s">
        <v>1104</v>
      </c>
      <c r="I113" t="s">
        <v>366</v>
      </c>
      <c r="J113" t="s">
        <v>89</v>
      </c>
      <c r="K113" t="s">
        <v>134</v>
      </c>
      <c r="L113" t="s">
        <v>170</v>
      </c>
      <c r="M113" t="s">
        <v>205</v>
      </c>
      <c r="N113" t="s">
        <v>267</v>
      </c>
      <c r="O113" t="s">
        <v>89</v>
      </c>
      <c r="P113" t="s">
        <v>510</v>
      </c>
      <c r="Q113" t="s">
        <v>1105</v>
      </c>
      <c r="R113" t="s">
        <v>967</v>
      </c>
      <c r="S113" t="s">
        <v>93</v>
      </c>
      <c r="T113" t="s">
        <v>968</v>
      </c>
      <c r="U113" t="s">
        <v>119</v>
      </c>
      <c r="V113" t="s">
        <v>96</v>
      </c>
      <c r="W113" t="s">
        <v>89</v>
      </c>
      <c r="X113" t="s">
        <v>98</v>
      </c>
      <c r="Y113" t="s">
        <v>1106</v>
      </c>
      <c r="Z113" t="s">
        <v>971</v>
      </c>
      <c r="AA113" t="s">
        <v>93</v>
      </c>
      <c r="AB113" t="s">
        <v>972</v>
      </c>
      <c r="AC113" t="s">
        <v>1107</v>
      </c>
    </row>
    <row r="114" spans="1:29" hidden="1" x14ac:dyDescent="0.25">
      <c r="A114" t="s">
        <v>28</v>
      </c>
      <c r="B114" t="s">
        <v>959</v>
      </c>
      <c r="C114" t="s">
        <v>1026</v>
      </c>
      <c r="D114" t="s">
        <v>79</v>
      </c>
      <c r="E114" t="s">
        <v>80</v>
      </c>
      <c r="F114" t="s">
        <v>147</v>
      </c>
      <c r="G114" t="s">
        <v>1108</v>
      </c>
      <c r="H114" t="s">
        <v>1109</v>
      </c>
      <c r="I114" t="s">
        <v>1110</v>
      </c>
      <c r="J114" t="s">
        <v>89</v>
      </c>
      <c r="K114" t="s">
        <v>134</v>
      </c>
      <c r="L114" t="s">
        <v>238</v>
      </c>
      <c r="M114" t="s">
        <v>119</v>
      </c>
      <c r="N114" t="s">
        <v>96</v>
      </c>
      <c r="O114" t="s">
        <v>89</v>
      </c>
      <c r="P114" t="s">
        <v>510</v>
      </c>
      <c r="Q114" t="s">
        <v>1111</v>
      </c>
      <c r="R114" t="s">
        <v>1112</v>
      </c>
      <c r="S114" t="s">
        <v>93</v>
      </c>
      <c r="T114" t="s">
        <v>1113</v>
      </c>
      <c r="U114" t="s">
        <v>119</v>
      </c>
      <c r="V114" t="s">
        <v>267</v>
      </c>
      <c r="W114" t="s">
        <v>89</v>
      </c>
      <c r="X114" t="s">
        <v>98</v>
      </c>
      <c r="Y114" t="s">
        <v>1114</v>
      </c>
      <c r="Z114" t="s">
        <v>982</v>
      </c>
      <c r="AA114" t="s">
        <v>93</v>
      </c>
      <c r="AB114" t="s">
        <v>983</v>
      </c>
      <c r="AC114" t="s">
        <v>1115</v>
      </c>
    </row>
    <row r="115" spans="1:29" hidden="1" x14ac:dyDescent="0.25">
      <c r="A115" t="s">
        <v>28</v>
      </c>
      <c r="B115" t="s">
        <v>959</v>
      </c>
      <c r="C115" t="s">
        <v>1026</v>
      </c>
      <c r="D115" t="s">
        <v>79</v>
      </c>
      <c r="E115" t="s">
        <v>80</v>
      </c>
      <c r="F115" t="s">
        <v>165</v>
      </c>
      <c r="G115" t="s">
        <v>1116</v>
      </c>
      <c r="H115" t="s">
        <v>1117</v>
      </c>
      <c r="I115" t="s">
        <v>1118</v>
      </c>
      <c r="J115" t="s">
        <v>89</v>
      </c>
      <c r="K115" t="s">
        <v>198</v>
      </c>
      <c r="L115" t="s">
        <v>338</v>
      </c>
      <c r="M115" t="s">
        <v>141</v>
      </c>
      <c r="N115" t="s">
        <v>88</v>
      </c>
      <c r="O115" t="s">
        <v>89</v>
      </c>
      <c r="P115" t="s">
        <v>510</v>
      </c>
      <c r="Q115" t="s">
        <v>1119</v>
      </c>
      <c r="R115" t="s">
        <v>144</v>
      </c>
      <c r="S115" t="s">
        <v>93</v>
      </c>
      <c r="T115" t="s">
        <v>145</v>
      </c>
      <c r="U115" t="s">
        <v>136</v>
      </c>
      <c r="V115" t="s">
        <v>88</v>
      </c>
      <c r="W115" t="s">
        <v>89</v>
      </c>
      <c r="X115" t="s">
        <v>98</v>
      </c>
      <c r="Y115" t="s">
        <v>1120</v>
      </c>
      <c r="Z115" t="s">
        <v>614</v>
      </c>
      <c r="AA115" t="s">
        <v>93</v>
      </c>
      <c r="AB115" t="s">
        <v>615</v>
      </c>
      <c r="AC115" t="s">
        <v>1121</v>
      </c>
    </row>
    <row r="116" spans="1:29" hidden="1" x14ac:dyDescent="0.25">
      <c r="A116" t="s">
        <v>28</v>
      </c>
      <c r="B116" t="s">
        <v>959</v>
      </c>
      <c r="C116" t="s">
        <v>1026</v>
      </c>
      <c r="D116" t="s">
        <v>79</v>
      </c>
      <c r="E116" t="s">
        <v>80</v>
      </c>
      <c r="F116" t="s">
        <v>38</v>
      </c>
      <c r="G116" t="s">
        <v>1122</v>
      </c>
      <c r="H116" t="s">
        <v>1123</v>
      </c>
      <c r="I116" t="s">
        <v>953</v>
      </c>
      <c r="J116" t="s">
        <v>89</v>
      </c>
      <c r="K116" t="s">
        <v>89</v>
      </c>
      <c r="L116" t="s">
        <v>238</v>
      </c>
      <c r="M116" t="s">
        <v>141</v>
      </c>
      <c r="N116" t="s">
        <v>88</v>
      </c>
      <c r="O116" t="s">
        <v>89</v>
      </c>
      <c r="P116" t="s">
        <v>510</v>
      </c>
      <c r="Q116" t="s">
        <v>1124</v>
      </c>
      <c r="R116" t="s">
        <v>801</v>
      </c>
      <c r="S116" t="s">
        <v>93</v>
      </c>
      <c r="T116" t="s">
        <v>802</v>
      </c>
      <c r="U116" t="s">
        <v>239</v>
      </c>
      <c r="V116" t="s">
        <v>89</v>
      </c>
      <c r="W116" t="s">
        <v>217</v>
      </c>
      <c r="X116" t="s">
        <v>98</v>
      </c>
      <c r="Y116" t="s">
        <v>1125</v>
      </c>
      <c r="Z116" t="s">
        <v>761</v>
      </c>
      <c r="AA116" t="s">
        <v>93</v>
      </c>
      <c r="AB116" t="s">
        <v>762</v>
      </c>
      <c r="AC116" t="s">
        <v>1126</v>
      </c>
    </row>
    <row r="117" spans="1:29" hidden="1" x14ac:dyDescent="0.25">
      <c r="A117" t="s">
        <v>28</v>
      </c>
      <c r="B117" t="s">
        <v>959</v>
      </c>
      <c r="C117" t="s">
        <v>1026</v>
      </c>
      <c r="D117" t="s">
        <v>79</v>
      </c>
      <c r="E117" t="s">
        <v>80</v>
      </c>
      <c r="F117" t="s">
        <v>39</v>
      </c>
      <c r="G117" t="s">
        <v>1127</v>
      </c>
      <c r="H117" t="s">
        <v>1128</v>
      </c>
      <c r="I117" t="s">
        <v>1129</v>
      </c>
      <c r="J117" t="s">
        <v>89</v>
      </c>
      <c r="K117" t="s">
        <v>85</v>
      </c>
      <c r="L117" t="s">
        <v>118</v>
      </c>
      <c r="M117" t="s">
        <v>89</v>
      </c>
      <c r="N117" t="s">
        <v>89</v>
      </c>
      <c r="O117" t="s">
        <v>89</v>
      </c>
      <c r="P117" t="s">
        <v>305</v>
      </c>
      <c r="Q117" t="s">
        <v>1130</v>
      </c>
      <c r="R117" t="s">
        <v>1131</v>
      </c>
      <c r="S117" t="s">
        <v>93</v>
      </c>
      <c r="T117" t="s">
        <v>1132</v>
      </c>
      <c r="U117" t="s">
        <v>89</v>
      </c>
      <c r="V117" t="s">
        <v>89</v>
      </c>
      <c r="W117" t="s">
        <v>89</v>
      </c>
      <c r="X117" t="s">
        <v>1133</v>
      </c>
      <c r="Y117" t="s">
        <v>1134</v>
      </c>
      <c r="Z117" t="s">
        <v>1058</v>
      </c>
      <c r="AA117" t="s">
        <v>93</v>
      </c>
      <c r="AB117" t="s">
        <v>925</v>
      </c>
      <c r="AC117" t="s">
        <v>1135</v>
      </c>
    </row>
    <row r="118" spans="1:29" hidden="1" x14ac:dyDescent="0.25">
      <c r="A118" t="s">
        <v>28</v>
      </c>
      <c r="B118" t="s">
        <v>959</v>
      </c>
      <c r="C118" t="s">
        <v>1026</v>
      </c>
      <c r="D118" t="s">
        <v>79</v>
      </c>
      <c r="E118" t="s">
        <v>80</v>
      </c>
      <c r="F118" t="s">
        <v>40</v>
      </c>
      <c r="G118" t="s">
        <v>1136</v>
      </c>
      <c r="H118" t="s">
        <v>1137</v>
      </c>
      <c r="I118" t="s">
        <v>145</v>
      </c>
      <c r="J118" t="s">
        <v>89</v>
      </c>
      <c r="K118" t="s">
        <v>198</v>
      </c>
      <c r="L118" t="s">
        <v>118</v>
      </c>
      <c r="M118" t="s">
        <v>141</v>
      </c>
      <c r="N118" t="s">
        <v>88</v>
      </c>
      <c r="O118" t="s">
        <v>89</v>
      </c>
      <c r="P118" t="s">
        <v>305</v>
      </c>
      <c r="Q118" t="s">
        <v>1138</v>
      </c>
      <c r="R118" t="s">
        <v>1064</v>
      </c>
      <c r="S118" t="s">
        <v>93</v>
      </c>
      <c r="T118" t="s">
        <v>1065</v>
      </c>
      <c r="U118" t="s">
        <v>141</v>
      </c>
      <c r="V118" t="s">
        <v>88</v>
      </c>
      <c r="W118" t="s">
        <v>268</v>
      </c>
      <c r="X118" t="s">
        <v>98</v>
      </c>
      <c r="Y118" t="s">
        <v>1139</v>
      </c>
      <c r="Z118" t="s">
        <v>1067</v>
      </c>
      <c r="AA118" t="s">
        <v>93</v>
      </c>
      <c r="AB118" t="s">
        <v>1068</v>
      </c>
      <c r="AC118" t="s">
        <v>1140</v>
      </c>
    </row>
    <row r="119" spans="1:29" hidden="1" x14ac:dyDescent="0.25">
      <c r="A119" t="s">
        <v>28</v>
      </c>
      <c r="B119" t="s">
        <v>959</v>
      </c>
      <c r="C119" t="s">
        <v>1026</v>
      </c>
      <c r="D119" t="s">
        <v>79</v>
      </c>
      <c r="E119" t="s">
        <v>80</v>
      </c>
      <c r="F119" t="s">
        <v>41</v>
      </c>
      <c r="G119" t="s">
        <v>1141</v>
      </c>
      <c r="H119" t="s">
        <v>1142</v>
      </c>
      <c r="I119" t="s">
        <v>1143</v>
      </c>
      <c r="J119" t="s">
        <v>89</v>
      </c>
      <c r="K119" t="s">
        <v>85</v>
      </c>
      <c r="L119" t="s">
        <v>541</v>
      </c>
      <c r="M119" t="s">
        <v>119</v>
      </c>
      <c r="N119" t="s">
        <v>267</v>
      </c>
      <c r="O119" t="s">
        <v>89</v>
      </c>
      <c r="P119" t="s">
        <v>510</v>
      </c>
      <c r="Q119" t="s">
        <v>1144</v>
      </c>
      <c r="R119" t="s">
        <v>1073</v>
      </c>
      <c r="S119" t="s">
        <v>93</v>
      </c>
      <c r="T119" t="s">
        <v>1074</v>
      </c>
      <c r="U119" t="s">
        <v>449</v>
      </c>
      <c r="V119" t="s">
        <v>267</v>
      </c>
      <c r="W119" t="s">
        <v>89</v>
      </c>
      <c r="X119" t="s">
        <v>98</v>
      </c>
      <c r="Y119" t="s">
        <v>1145</v>
      </c>
      <c r="Z119" t="s">
        <v>967</v>
      </c>
      <c r="AA119" t="s">
        <v>93</v>
      </c>
      <c r="AB119" t="s">
        <v>968</v>
      </c>
      <c r="AC119" t="s">
        <v>1146</v>
      </c>
    </row>
    <row r="120" spans="1:29" hidden="1" x14ac:dyDescent="0.25">
      <c r="A120" t="s">
        <v>28</v>
      </c>
      <c r="B120" t="s">
        <v>959</v>
      </c>
      <c r="C120" t="s">
        <v>1026</v>
      </c>
      <c r="D120" t="s">
        <v>79</v>
      </c>
      <c r="E120" t="s">
        <v>80</v>
      </c>
      <c r="F120" t="s">
        <v>465</v>
      </c>
      <c r="G120" t="s">
        <v>1147</v>
      </c>
      <c r="H120" t="s">
        <v>1148</v>
      </c>
      <c r="I120" t="s">
        <v>968</v>
      </c>
      <c r="J120" t="s">
        <v>89</v>
      </c>
      <c r="K120" t="s">
        <v>85</v>
      </c>
      <c r="L120" t="s">
        <v>338</v>
      </c>
      <c r="M120" t="s">
        <v>119</v>
      </c>
      <c r="N120" t="s">
        <v>96</v>
      </c>
      <c r="O120" t="s">
        <v>89</v>
      </c>
      <c r="P120" t="s">
        <v>305</v>
      </c>
      <c r="Q120" t="s">
        <v>1149</v>
      </c>
      <c r="R120" t="s">
        <v>1112</v>
      </c>
      <c r="S120" t="s">
        <v>93</v>
      </c>
      <c r="T120" t="s">
        <v>1113</v>
      </c>
      <c r="U120" t="s">
        <v>119</v>
      </c>
      <c r="V120" t="s">
        <v>96</v>
      </c>
      <c r="W120" t="s">
        <v>268</v>
      </c>
      <c r="X120" t="s">
        <v>98</v>
      </c>
      <c r="Y120" t="s">
        <v>1150</v>
      </c>
      <c r="Z120" t="s">
        <v>982</v>
      </c>
      <c r="AA120" t="s">
        <v>93</v>
      </c>
      <c r="AB120" t="s">
        <v>983</v>
      </c>
      <c r="AC120" t="s">
        <v>1151</v>
      </c>
    </row>
    <row r="121" spans="1:29" hidden="1" x14ac:dyDescent="0.25">
      <c r="A121" t="s">
        <v>28</v>
      </c>
      <c r="B121" t="s">
        <v>959</v>
      </c>
      <c r="C121" t="s">
        <v>1026</v>
      </c>
      <c r="D121" t="s">
        <v>79</v>
      </c>
      <c r="E121" t="s">
        <v>80</v>
      </c>
      <c r="F121" t="s">
        <v>473</v>
      </c>
      <c r="G121" t="s">
        <v>1152</v>
      </c>
      <c r="H121" t="s">
        <v>1153</v>
      </c>
      <c r="I121" t="s">
        <v>1154</v>
      </c>
      <c r="J121" t="s">
        <v>89</v>
      </c>
      <c r="K121" t="s">
        <v>85</v>
      </c>
      <c r="L121" t="s">
        <v>298</v>
      </c>
      <c r="M121" t="s">
        <v>449</v>
      </c>
      <c r="N121" t="s">
        <v>96</v>
      </c>
      <c r="O121" t="s">
        <v>89</v>
      </c>
      <c r="P121" t="s">
        <v>510</v>
      </c>
      <c r="Q121" t="s">
        <v>1155</v>
      </c>
      <c r="R121" t="s">
        <v>1156</v>
      </c>
      <c r="S121" t="s">
        <v>93</v>
      </c>
      <c r="T121" t="s">
        <v>1157</v>
      </c>
      <c r="U121" t="s">
        <v>449</v>
      </c>
      <c r="V121" t="s">
        <v>96</v>
      </c>
      <c r="W121" t="s">
        <v>268</v>
      </c>
      <c r="X121" t="s">
        <v>98</v>
      </c>
      <c r="Y121" t="s">
        <v>1158</v>
      </c>
      <c r="Z121" t="s">
        <v>1159</v>
      </c>
      <c r="AA121" t="s">
        <v>93</v>
      </c>
      <c r="AB121" t="s">
        <v>937</v>
      </c>
      <c r="AC121" t="s">
        <v>1160</v>
      </c>
    </row>
    <row r="122" spans="1:29" hidden="1" x14ac:dyDescent="0.25">
      <c r="A122" t="s">
        <v>28</v>
      </c>
      <c r="B122" t="s">
        <v>959</v>
      </c>
      <c r="C122" t="s">
        <v>1026</v>
      </c>
      <c r="D122" t="s">
        <v>79</v>
      </c>
      <c r="E122" t="s">
        <v>80</v>
      </c>
      <c r="F122" t="s">
        <v>487</v>
      </c>
      <c r="G122" t="s">
        <v>1161</v>
      </c>
      <c r="H122" t="s">
        <v>1162</v>
      </c>
      <c r="I122" t="s">
        <v>1163</v>
      </c>
      <c r="J122" t="s">
        <v>89</v>
      </c>
      <c r="K122" t="s">
        <v>85</v>
      </c>
      <c r="L122" t="s">
        <v>298</v>
      </c>
      <c r="M122" t="s">
        <v>95</v>
      </c>
      <c r="N122" t="s">
        <v>96</v>
      </c>
      <c r="O122" t="s">
        <v>89</v>
      </c>
      <c r="P122" t="s">
        <v>263</v>
      </c>
      <c r="Q122" t="s">
        <v>1164</v>
      </c>
      <c r="R122" t="s">
        <v>162</v>
      </c>
      <c r="S122" t="s">
        <v>93</v>
      </c>
      <c r="T122" t="s">
        <v>163</v>
      </c>
      <c r="U122" t="s">
        <v>449</v>
      </c>
      <c r="V122" t="s">
        <v>96</v>
      </c>
      <c r="W122" t="s">
        <v>243</v>
      </c>
      <c r="X122" t="s">
        <v>98</v>
      </c>
      <c r="Y122" t="s">
        <v>1165</v>
      </c>
      <c r="Z122" t="s">
        <v>929</v>
      </c>
      <c r="AA122" t="s">
        <v>93</v>
      </c>
      <c r="AB122" t="s">
        <v>930</v>
      </c>
      <c r="AC122" t="s">
        <v>1166</v>
      </c>
    </row>
    <row r="123" spans="1:29" hidden="1" x14ac:dyDescent="0.25">
      <c r="A123" t="s">
        <v>28</v>
      </c>
      <c r="B123" t="s">
        <v>959</v>
      </c>
      <c r="C123" t="s">
        <v>1026</v>
      </c>
      <c r="D123" t="s">
        <v>79</v>
      </c>
      <c r="E123" t="s">
        <v>80</v>
      </c>
      <c r="F123" t="s">
        <v>495</v>
      </c>
      <c r="G123" t="s">
        <v>1167</v>
      </c>
      <c r="H123" t="s">
        <v>1168</v>
      </c>
      <c r="I123" t="s">
        <v>957</v>
      </c>
      <c r="J123" t="s">
        <v>89</v>
      </c>
      <c r="K123" t="s">
        <v>89</v>
      </c>
      <c r="L123" t="s">
        <v>118</v>
      </c>
      <c r="M123" t="s">
        <v>205</v>
      </c>
      <c r="N123" t="s">
        <v>88</v>
      </c>
      <c r="O123" t="s">
        <v>89</v>
      </c>
      <c r="P123" t="s">
        <v>305</v>
      </c>
      <c r="Q123" t="s">
        <v>1169</v>
      </c>
      <c r="R123" t="s">
        <v>808</v>
      </c>
      <c r="S123" t="s">
        <v>93</v>
      </c>
      <c r="T123" t="s">
        <v>809</v>
      </c>
      <c r="U123" t="s">
        <v>95</v>
      </c>
      <c r="V123" t="s">
        <v>96</v>
      </c>
      <c r="W123" t="s">
        <v>97</v>
      </c>
      <c r="X123" t="s">
        <v>98</v>
      </c>
      <c r="Y123" t="s">
        <v>1170</v>
      </c>
      <c r="Z123" t="s">
        <v>811</v>
      </c>
      <c r="AA123" t="s">
        <v>93</v>
      </c>
      <c r="AB123" t="s">
        <v>812</v>
      </c>
      <c r="AC123" t="s">
        <v>1171</v>
      </c>
    </row>
    <row r="124" spans="1:29" hidden="1" x14ac:dyDescent="0.25">
      <c r="A124" t="s">
        <v>28</v>
      </c>
      <c r="B124" t="s">
        <v>959</v>
      </c>
      <c r="C124" t="s">
        <v>1026</v>
      </c>
      <c r="D124" t="s">
        <v>79</v>
      </c>
      <c r="E124" t="s">
        <v>80</v>
      </c>
      <c r="F124" t="s">
        <v>504</v>
      </c>
      <c r="G124" t="s">
        <v>1172</v>
      </c>
      <c r="H124" t="s">
        <v>1173</v>
      </c>
      <c r="I124" t="s">
        <v>1143</v>
      </c>
      <c r="J124" t="s">
        <v>89</v>
      </c>
      <c r="K124" t="s">
        <v>198</v>
      </c>
      <c r="L124" t="s">
        <v>238</v>
      </c>
      <c r="M124" t="s">
        <v>95</v>
      </c>
      <c r="N124" t="s">
        <v>88</v>
      </c>
      <c r="O124" t="s">
        <v>89</v>
      </c>
      <c r="P124" t="s">
        <v>305</v>
      </c>
      <c r="Q124" t="s">
        <v>1174</v>
      </c>
      <c r="R124" t="s">
        <v>1175</v>
      </c>
      <c r="S124" t="s">
        <v>93</v>
      </c>
      <c r="T124" t="s">
        <v>1176</v>
      </c>
      <c r="U124" t="s">
        <v>95</v>
      </c>
      <c r="V124" t="s">
        <v>96</v>
      </c>
      <c r="W124" t="s">
        <v>268</v>
      </c>
      <c r="X124" t="s">
        <v>98</v>
      </c>
      <c r="Y124" t="s">
        <v>1177</v>
      </c>
      <c r="Z124" t="s">
        <v>1178</v>
      </c>
      <c r="AA124" t="s">
        <v>93</v>
      </c>
      <c r="AB124" t="s">
        <v>1179</v>
      </c>
      <c r="AC124" t="s">
        <v>1180</v>
      </c>
    </row>
    <row r="125" spans="1:29" hidden="1" x14ac:dyDescent="0.25">
      <c r="A125" t="s">
        <v>28</v>
      </c>
      <c r="B125" t="s">
        <v>959</v>
      </c>
      <c r="C125" t="s">
        <v>1026</v>
      </c>
      <c r="D125" t="s">
        <v>79</v>
      </c>
      <c r="E125" t="s">
        <v>80</v>
      </c>
      <c r="F125" t="s">
        <v>514</v>
      </c>
      <c r="G125" t="s">
        <v>1181</v>
      </c>
      <c r="H125" t="s">
        <v>1182</v>
      </c>
      <c r="I125" t="s">
        <v>1065</v>
      </c>
      <c r="J125" t="s">
        <v>89</v>
      </c>
      <c r="K125" t="s">
        <v>198</v>
      </c>
      <c r="L125" t="s">
        <v>238</v>
      </c>
      <c r="M125" t="s">
        <v>205</v>
      </c>
      <c r="N125" t="s">
        <v>89</v>
      </c>
      <c r="O125" t="s">
        <v>89</v>
      </c>
      <c r="P125" t="s">
        <v>510</v>
      </c>
      <c r="Q125" t="s">
        <v>1183</v>
      </c>
      <c r="R125" t="s">
        <v>1184</v>
      </c>
      <c r="S125" t="s">
        <v>93</v>
      </c>
      <c r="T125" t="s">
        <v>1129</v>
      </c>
      <c r="U125" t="s">
        <v>119</v>
      </c>
      <c r="V125" t="s">
        <v>96</v>
      </c>
      <c r="W125" t="s">
        <v>110</v>
      </c>
      <c r="X125" t="s">
        <v>98</v>
      </c>
      <c r="Y125" t="s">
        <v>1185</v>
      </c>
      <c r="Z125" t="s">
        <v>1073</v>
      </c>
      <c r="AA125" t="s">
        <v>93</v>
      </c>
      <c r="AB125" t="s">
        <v>1074</v>
      </c>
      <c r="AC125" t="s">
        <v>1186</v>
      </c>
    </row>
    <row r="126" spans="1:29" hidden="1" x14ac:dyDescent="0.25">
      <c r="A126" t="s">
        <v>28</v>
      </c>
      <c r="B126" t="s">
        <v>959</v>
      </c>
      <c r="C126" t="s">
        <v>1026</v>
      </c>
      <c r="D126" t="s">
        <v>79</v>
      </c>
      <c r="E126" t="s">
        <v>80</v>
      </c>
      <c r="F126" t="s">
        <v>521</v>
      </c>
      <c r="G126" t="s">
        <v>1187</v>
      </c>
      <c r="H126" t="s">
        <v>1188</v>
      </c>
      <c r="I126" t="s">
        <v>209</v>
      </c>
      <c r="J126" t="s">
        <v>89</v>
      </c>
      <c r="K126" t="s">
        <v>85</v>
      </c>
      <c r="L126" t="s">
        <v>118</v>
      </c>
      <c r="M126" t="s">
        <v>119</v>
      </c>
      <c r="N126" t="s">
        <v>88</v>
      </c>
      <c r="O126" t="s">
        <v>89</v>
      </c>
      <c r="P126" t="s">
        <v>510</v>
      </c>
      <c r="Q126" t="s">
        <v>1189</v>
      </c>
      <c r="R126" t="s">
        <v>1190</v>
      </c>
      <c r="S126" t="s">
        <v>93</v>
      </c>
      <c r="T126" t="s">
        <v>1191</v>
      </c>
      <c r="U126" t="s">
        <v>136</v>
      </c>
      <c r="V126" t="s">
        <v>96</v>
      </c>
      <c r="W126" t="s">
        <v>97</v>
      </c>
      <c r="X126" t="s">
        <v>98</v>
      </c>
      <c r="Y126" t="s">
        <v>1192</v>
      </c>
      <c r="Z126" t="s">
        <v>1112</v>
      </c>
      <c r="AA126" t="s">
        <v>93</v>
      </c>
      <c r="AB126" t="s">
        <v>1113</v>
      </c>
      <c r="AC126" t="s">
        <v>1193</v>
      </c>
    </row>
    <row r="127" spans="1:29" hidden="1" x14ac:dyDescent="0.25">
      <c r="A127" t="s">
        <v>28</v>
      </c>
      <c r="B127" t="s">
        <v>959</v>
      </c>
      <c r="C127" t="s">
        <v>1026</v>
      </c>
      <c r="D127" t="s">
        <v>79</v>
      </c>
      <c r="E127" t="s">
        <v>80</v>
      </c>
      <c r="F127" t="s">
        <v>530</v>
      </c>
      <c r="G127" t="s">
        <v>1194</v>
      </c>
      <c r="H127" t="s">
        <v>1195</v>
      </c>
      <c r="I127" t="s">
        <v>812</v>
      </c>
      <c r="J127" t="s">
        <v>89</v>
      </c>
      <c r="K127" t="s">
        <v>198</v>
      </c>
      <c r="L127" t="s">
        <v>118</v>
      </c>
      <c r="M127" t="s">
        <v>136</v>
      </c>
      <c r="N127" t="s">
        <v>88</v>
      </c>
      <c r="O127" t="s">
        <v>89</v>
      </c>
      <c r="P127" t="s">
        <v>263</v>
      </c>
      <c r="Q127" t="s">
        <v>1196</v>
      </c>
      <c r="R127" t="s">
        <v>1156</v>
      </c>
      <c r="S127" t="s">
        <v>93</v>
      </c>
      <c r="T127" t="s">
        <v>1157</v>
      </c>
      <c r="U127" t="s">
        <v>87</v>
      </c>
      <c r="V127" t="s">
        <v>96</v>
      </c>
      <c r="W127" t="s">
        <v>268</v>
      </c>
      <c r="X127" t="s">
        <v>98</v>
      </c>
      <c r="Y127" t="s">
        <v>1197</v>
      </c>
      <c r="Z127" t="s">
        <v>1159</v>
      </c>
      <c r="AA127" t="s">
        <v>93</v>
      </c>
      <c r="AB127" t="s">
        <v>937</v>
      </c>
      <c r="AC127" t="s">
        <v>1198</v>
      </c>
    </row>
    <row r="128" spans="1:29" hidden="1" x14ac:dyDescent="0.25">
      <c r="A128" t="s">
        <v>28</v>
      </c>
      <c r="B128" t="s">
        <v>959</v>
      </c>
      <c r="C128" t="s">
        <v>1026</v>
      </c>
      <c r="D128" t="s">
        <v>79</v>
      </c>
      <c r="E128" t="s">
        <v>80</v>
      </c>
      <c r="F128" t="s">
        <v>537</v>
      </c>
      <c r="G128" t="s">
        <v>1199</v>
      </c>
      <c r="H128" t="s">
        <v>1200</v>
      </c>
      <c r="I128" t="s">
        <v>615</v>
      </c>
      <c r="J128" t="s">
        <v>89</v>
      </c>
      <c r="K128" t="s">
        <v>134</v>
      </c>
      <c r="L128" t="s">
        <v>338</v>
      </c>
      <c r="M128" t="s">
        <v>87</v>
      </c>
      <c r="N128" t="s">
        <v>88</v>
      </c>
      <c r="O128" t="s">
        <v>89</v>
      </c>
      <c r="P128" t="s">
        <v>510</v>
      </c>
      <c r="Q128" t="s">
        <v>1201</v>
      </c>
      <c r="R128" t="s">
        <v>1202</v>
      </c>
      <c r="S128" t="s">
        <v>93</v>
      </c>
      <c r="T128" t="s">
        <v>1203</v>
      </c>
      <c r="U128" t="s">
        <v>136</v>
      </c>
      <c r="V128" t="s">
        <v>88</v>
      </c>
      <c r="W128" t="s">
        <v>89</v>
      </c>
      <c r="X128" t="s">
        <v>98</v>
      </c>
      <c r="Y128" t="s">
        <v>1204</v>
      </c>
      <c r="Z128" t="s">
        <v>1205</v>
      </c>
      <c r="AA128" t="s">
        <v>93</v>
      </c>
      <c r="AB128" t="s">
        <v>1206</v>
      </c>
      <c r="AC128" t="s">
        <v>1207</v>
      </c>
    </row>
    <row r="129" spans="1:29" hidden="1" x14ac:dyDescent="0.25">
      <c r="A129" t="s">
        <v>28</v>
      </c>
      <c r="B129" t="s">
        <v>959</v>
      </c>
      <c r="C129" t="s">
        <v>1026</v>
      </c>
      <c r="D129" t="s">
        <v>79</v>
      </c>
      <c r="E129" t="s">
        <v>80</v>
      </c>
      <c r="F129" t="s">
        <v>560</v>
      </c>
      <c r="G129" t="s">
        <v>1208</v>
      </c>
      <c r="H129" t="s">
        <v>1209</v>
      </c>
      <c r="I129" t="s">
        <v>1206</v>
      </c>
      <c r="J129" t="s">
        <v>89</v>
      </c>
      <c r="K129" t="s">
        <v>134</v>
      </c>
      <c r="L129" t="s">
        <v>86</v>
      </c>
      <c r="M129" t="s">
        <v>239</v>
      </c>
      <c r="N129" t="s">
        <v>88</v>
      </c>
      <c r="O129" t="s">
        <v>89</v>
      </c>
      <c r="P129" t="s">
        <v>305</v>
      </c>
      <c r="Q129" t="s">
        <v>1210</v>
      </c>
      <c r="R129" t="s">
        <v>1050</v>
      </c>
      <c r="S129" t="s">
        <v>93</v>
      </c>
      <c r="T129" t="s">
        <v>1051</v>
      </c>
      <c r="U129" t="s">
        <v>136</v>
      </c>
      <c r="V129" t="s">
        <v>96</v>
      </c>
      <c r="W129" t="s">
        <v>243</v>
      </c>
      <c r="X129" t="s">
        <v>98</v>
      </c>
      <c r="Y129" t="s">
        <v>1211</v>
      </c>
      <c r="Z129" t="s">
        <v>939</v>
      </c>
      <c r="AA129" t="s">
        <v>93</v>
      </c>
      <c r="AB129" t="s">
        <v>940</v>
      </c>
      <c r="AC129" t="s">
        <v>1212</v>
      </c>
    </row>
    <row r="130" spans="1:29" hidden="1" x14ac:dyDescent="0.25">
      <c r="A130" t="s">
        <v>28</v>
      </c>
      <c r="B130" t="s">
        <v>959</v>
      </c>
      <c r="C130" t="s">
        <v>1026</v>
      </c>
      <c r="D130" t="s">
        <v>79</v>
      </c>
      <c r="E130" t="s">
        <v>80</v>
      </c>
      <c r="F130" t="s">
        <v>567</v>
      </c>
      <c r="G130" t="s">
        <v>1213</v>
      </c>
      <c r="H130" t="s">
        <v>1214</v>
      </c>
      <c r="I130" t="s">
        <v>1215</v>
      </c>
      <c r="J130" t="s">
        <v>89</v>
      </c>
      <c r="K130" t="s">
        <v>198</v>
      </c>
      <c r="L130" t="s">
        <v>541</v>
      </c>
      <c r="M130" t="s">
        <v>239</v>
      </c>
      <c r="N130" t="s">
        <v>88</v>
      </c>
      <c r="O130" t="s">
        <v>89</v>
      </c>
      <c r="P130" t="s">
        <v>305</v>
      </c>
      <c r="Q130" t="s">
        <v>1216</v>
      </c>
      <c r="R130" t="s">
        <v>952</v>
      </c>
      <c r="S130" t="s">
        <v>93</v>
      </c>
      <c r="T130" t="s">
        <v>953</v>
      </c>
      <c r="U130" t="s">
        <v>87</v>
      </c>
      <c r="V130" t="s">
        <v>88</v>
      </c>
      <c r="W130" t="s">
        <v>110</v>
      </c>
      <c r="X130" t="s">
        <v>98</v>
      </c>
      <c r="Y130" t="s">
        <v>1217</v>
      </c>
      <c r="Z130" t="s">
        <v>956</v>
      </c>
      <c r="AA130" t="s">
        <v>93</v>
      </c>
      <c r="AB130" t="s">
        <v>957</v>
      </c>
      <c r="AC130" t="s">
        <v>1218</v>
      </c>
    </row>
    <row r="131" spans="1:29" hidden="1" x14ac:dyDescent="0.25">
      <c r="A131" t="s">
        <v>28</v>
      </c>
      <c r="B131" t="s">
        <v>959</v>
      </c>
      <c r="C131" t="s">
        <v>1026</v>
      </c>
      <c r="D131" t="s">
        <v>79</v>
      </c>
      <c r="E131" t="s">
        <v>80</v>
      </c>
      <c r="F131" t="s">
        <v>574</v>
      </c>
      <c r="G131" t="s">
        <v>1219</v>
      </c>
      <c r="H131" t="s">
        <v>1220</v>
      </c>
      <c r="I131" t="s">
        <v>1132</v>
      </c>
      <c r="J131" t="s">
        <v>89</v>
      </c>
      <c r="K131" t="s">
        <v>89</v>
      </c>
      <c r="L131" t="s">
        <v>238</v>
      </c>
      <c r="M131" t="s">
        <v>95</v>
      </c>
      <c r="N131" t="s">
        <v>89</v>
      </c>
      <c r="O131" t="s">
        <v>1221</v>
      </c>
      <c r="P131" t="s">
        <v>1222</v>
      </c>
      <c r="Q131" t="s">
        <v>1223</v>
      </c>
      <c r="R131" t="s">
        <v>1224</v>
      </c>
      <c r="S131" t="s">
        <v>93</v>
      </c>
      <c r="T131" t="s">
        <v>1225</v>
      </c>
      <c r="U131" t="s">
        <v>87</v>
      </c>
      <c r="V131" t="s">
        <v>89</v>
      </c>
      <c r="W131" t="s">
        <v>1221</v>
      </c>
      <c r="X131" t="s">
        <v>1226</v>
      </c>
      <c r="Y131" t="s">
        <v>1227</v>
      </c>
      <c r="Z131" t="s">
        <v>1184</v>
      </c>
      <c r="AA131" t="s">
        <v>93</v>
      </c>
      <c r="AB131" t="s">
        <v>1129</v>
      </c>
      <c r="AC131" t="s">
        <v>1228</v>
      </c>
    </row>
    <row r="132" spans="1:29" hidden="1" x14ac:dyDescent="0.25">
      <c r="A132" t="s">
        <v>28</v>
      </c>
      <c r="B132" t="s">
        <v>959</v>
      </c>
      <c r="C132" t="s">
        <v>1026</v>
      </c>
      <c r="D132" t="s">
        <v>79</v>
      </c>
      <c r="E132" t="s">
        <v>80</v>
      </c>
      <c r="F132" t="s">
        <v>583</v>
      </c>
      <c r="G132" t="s">
        <v>1229</v>
      </c>
      <c r="H132" t="s">
        <v>1230</v>
      </c>
      <c r="I132" t="s">
        <v>1225</v>
      </c>
      <c r="J132" t="s">
        <v>89</v>
      </c>
      <c r="K132" t="s">
        <v>89</v>
      </c>
      <c r="L132" t="s">
        <v>86</v>
      </c>
      <c r="M132" t="s">
        <v>95</v>
      </c>
      <c r="N132" t="s">
        <v>89</v>
      </c>
      <c r="O132" t="s">
        <v>1221</v>
      </c>
      <c r="P132" t="s">
        <v>1231</v>
      </c>
      <c r="Q132" t="s">
        <v>1232</v>
      </c>
      <c r="R132" t="s">
        <v>1233</v>
      </c>
      <c r="S132" t="s">
        <v>93</v>
      </c>
      <c r="T132" t="s">
        <v>1234</v>
      </c>
      <c r="U132" t="s">
        <v>95</v>
      </c>
      <c r="V132" t="s">
        <v>89</v>
      </c>
      <c r="W132" t="s">
        <v>1221</v>
      </c>
      <c r="X132" t="s">
        <v>1235</v>
      </c>
      <c r="Y132" t="s">
        <v>1236</v>
      </c>
      <c r="Z132" t="s">
        <v>1190</v>
      </c>
      <c r="AA132" t="s">
        <v>93</v>
      </c>
      <c r="AB132" t="s">
        <v>1191</v>
      </c>
      <c r="AC132" t="s">
        <v>1237</v>
      </c>
    </row>
    <row r="133" spans="1:29" hidden="1" x14ac:dyDescent="0.25">
      <c r="A133" t="s">
        <v>28</v>
      </c>
      <c r="B133" t="s">
        <v>959</v>
      </c>
      <c r="C133" t="s">
        <v>1026</v>
      </c>
      <c r="D133" t="s">
        <v>79</v>
      </c>
      <c r="E133" t="s">
        <v>80</v>
      </c>
      <c r="F133" t="s">
        <v>592</v>
      </c>
      <c r="G133" t="s">
        <v>1238</v>
      </c>
      <c r="H133" t="s">
        <v>1239</v>
      </c>
      <c r="I133" t="s">
        <v>156</v>
      </c>
      <c r="J133" t="s">
        <v>89</v>
      </c>
      <c r="K133" t="s">
        <v>89</v>
      </c>
      <c r="L133" t="s">
        <v>238</v>
      </c>
      <c r="M133" t="s">
        <v>136</v>
      </c>
      <c r="N133" t="s">
        <v>89</v>
      </c>
      <c r="O133" t="s">
        <v>969</v>
      </c>
      <c r="P133" t="s">
        <v>1240</v>
      </c>
      <c r="Q133" t="s">
        <v>1241</v>
      </c>
      <c r="R133" t="s">
        <v>1242</v>
      </c>
      <c r="S133" t="s">
        <v>93</v>
      </c>
      <c r="T133" t="s">
        <v>950</v>
      </c>
      <c r="U133" t="s">
        <v>87</v>
      </c>
      <c r="V133" t="s">
        <v>89</v>
      </c>
      <c r="W133" t="s">
        <v>1221</v>
      </c>
      <c r="X133" t="s">
        <v>1235</v>
      </c>
      <c r="Y133" t="s">
        <v>1243</v>
      </c>
      <c r="Z133" t="s">
        <v>1156</v>
      </c>
      <c r="AA133" t="s">
        <v>93</v>
      </c>
      <c r="AB133" t="s">
        <v>1157</v>
      </c>
      <c r="AC133" t="s">
        <v>1244</v>
      </c>
    </row>
    <row r="134" spans="1:29" hidden="1" x14ac:dyDescent="0.25">
      <c r="A134" t="s">
        <v>28</v>
      </c>
      <c r="B134" t="s">
        <v>959</v>
      </c>
      <c r="C134" t="s">
        <v>1026</v>
      </c>
      <c r="D134" t="s">
        <v>79</v>
      </c>
      <c r="E134" t="s">
        <v>80</v>
      </c>
      <c r="F134" t="s">
        <v>601</v>
      </c>
      <c r="G134" t="s">
        <v>1245</v>
      </c>
      <c r="H134" t="s">
        <v>1246</v>
      </c>
      <c r="I134" t="s">
        <v>580</v>
      </c>
      <c r="J134" t="s">
        <v>89</v>
      </c>
      <c r="K134" t="s">
        <v>89</v>
      </c>
      <c r="L134" t="s">
        <v>86</v>
      </c>
      <c r="M134" t="s">
        <v>87</v>
      </c>
      <c r="N134" t="s">
        <v>89</v>
      </c>
      <c r="O134" t="s">
        <v>188</v>
      </c>
      <c r="P134" t="s">
        <v>1247</v>
      </c>
      <c r="Q134" t="s">
        <v>1248</v>
      </c>
      <c r="R134" t="s">
        <v>1202</v>
      </c>
      <c r="S134" t="s">
        <v>93</v>
      </c>
      <c r="T134" t="s">
        <v>1203</v>
      </c>
      <c r="U134" t="s">
        <v>95</v>
      </c>
      <c r="V134" t="s">
        <v>89</v>
      </c>
      <c r="W134" t="s">
        <v>1249</v>
      </c>
      <c r="X134" t="s">
        <v>1250</v>
      </c>
      <c r="Y134" t="s">
        <v>1251</v>
      </c>
      <c r="Z134" t="s">
        <v>1205</v>
      </c>
      <c r="AA134" t="s">
        <v>93</v>
      </c>
      <c r="AB134" t="s">
        <v>1206</v>
      </c>
      <c r="AC134" t="s">
        <v>1252</v>
      </c>
    </row>
    <row r="135" spans="1:29" hidden="1" x14ac:dyDescent="0.25">
      <c r="A135" t="s">
        <v>28</v>
      </c>
      <c r="B135" t="s">
        <v>959</v>
      </c>
      <c r="C135" t="s">
        <v>1026</v>
      </c>
      <c r="D135" t="s">
        <v>79</v>
      </c>
      <c r="E135" t="s">
        <v>80</v>
      </c>
      <c r="F135" t="s">
        <v>608</v>
      </c>
      <c r="G135" t="s">
        <v>1253</v>
      </c>
      <c r="H135" t="s">
        <v>1254</v>
      </c>
      <c r="I135" t="s">
        <v>802</v>
      </c>
      <c r="J135" t="s">
        <v>89</v>
      </c>
      <c r="K135" t="s">
        <v>89</v>
      </c>
      <c r="L135" t="s">
        <v>118</v>
      </c>
      <c r="M135" t="s">
        <v>95</v>
      </c>
      <c r="N135" t="s">
        <v>89</v>
      </c>
      <c r="O135" t="s">
        <v>1221</v>
      </c>
      <c r="P135" t="s">
        <v>1255</v>
      </c>
      <c r="Q135" t="s">
        <v>1256</v>
      </c>
      <c r="R135" t="s">
        <v>1257</v>
      </c>
      <c r="S135" t="s">
        <v>93</v>
      </c>
      <c r="T135" t="s">
        <v>1056</v>
      </c>
      <c r="U135" t="s">
        <v>87</v>
      </c>
      <c r="V135" t="s">
        <v>89</v>
      </c>
      <c r="W135" t="s">
        <v>969</v>
      </c>
      <c r="X135" t="s">
        <v>1226</v>
      </c>
      <c r="Y135" t="s">
        <v>1258</v>
      </c>
      <c r="Z135" t="s">
        <v>1259</v>
      </c>
      <c r="AA135" t="s">
        <v>93</v>
      </c>
      <c r="AB135" t="s">
        <v>1215</v>
      </c>
      <c r="AC135" t="s">
        <v>1260</v>
      </c>
    </row>
    <row r="136" spans="1:29" hidden="1" x14ac:dyDescent="0.25">
      <c r="A136" t="s">
        <v>28</v>
      </c>
      <c r="B136" t="s">
        <v>959</v>
      </c>
      <c r="C136" t="s">
        <v>1026</v>
      </c>
      <c r="D136" t="s">
        <v>79</v>
      </c>
      <c r="E136" t="s">
        <v>80</v>
      </c>
      <c r="F136" t="s">
        <v>33</v>
      </c>
      <c r="G136" t="s">
        <v>1261</v>
      </c>
      <c r="H136" t="s">
        <v>1262</v>
      </c>
      <c r="I136" t="s">
        <v>1263</v>
      </c>
      <c r="J136" t="s">
        <v>89</v>
      </c>
      <c r="K136" t="s">
        <v>198</v>
      </c>
      <c r="L136" t="s">
        <v>338</v>
      </c>
      <c r="M136" t="s">
        <v>136</v>
      </c>
      <c r="N136" t="s">
        <v>88</v>
      </c>
      <c r="O136" t="s">
        <v>89</v>
      </c>
      <c r="P136" t="s">
        <v>1264</v>
      </c>
      <c r="Q136" t="s">
        <v>1265</v>
      </c>
      <c r="R136" t="s">
        <v>270</v>
      </c>
      <c r="S136" t="s">
        <v>93</v>
      </c>
      <c r="T136" t="s">
        <v>271</v>
      </c>
      <c r="U136" t="s">
        <v>136</v>
      </c>
      <c r="V136" t="s">
        <v>89</v>
      </c>
      <c r="W136" t="s">
        <v>97</v>
      </c>
      <c r="X136" t="s">
        <v>1266</v>
      </c>
      <c r="Y136" t="s">
        <v>1267</v>
      </c>
      <c r="Z136" t="s">
        <v>401</v>
      </c>
      <c r="AA136" t="s">
        <v>93</v>
      </c>
      <c r="AB136" t="s">
        <v>402</v>
      </c>
      <c r="AC136" t="s">
        <v>1268</v>
      </c>
    </row>
    <row r="137" spans="1:29" hidden="1" x14ac:dyDescent="0.25">
      <c r="A137" t="s">
        <v>28</v>
      </c>
      <c r="B137" t="s">
        <v>959</v>
      </c>
      <c r="C137" t="s">
        <v>1026</v>
      </c>
      <c r="D137" t="s">
        <v>79</v>
      </c>
      <c r="E137" t="s">
        <v>80</v>
      </c>
      <c r="F137" t="s">
        <v>34</v>
      </c>
      <c r="G137" t="s">
        <v>1269</v>
      </c>
      <c r="H137" t="s">
        <v>1270</v>
      </c>
      <c r="I137" t="s">
        <v>580</v>
      </c>
      <c r="J137" t="s">
        <v>89</v>
      </c>
      <c r="K137" t="s">
        <v>134</v>
      </c>
      <c r="L137" t="s">
        <v>86</v>
      </c>
      <c r="M137" t="s">
        <v>95</v>
      </c>
      <c r="N137" t="s">
        <v>267</v>
      </c>
      <c r="O137" t="s">
        <v>89</v>
      </c>
      <c r="P137" t="s">
        <v>1271</v>
      </c>
      <c r="Q137" t="s">
        <v>1272</v>
      </c>
      <c r="R137" t="s">
        <v>344</v>
      </c>
      <c r="S137" t="s">
        <v>93</v>
      </c>
      <c r="T137" t="s">
        <v>345</v>
      </c>
      <c r="U137" t="s">
        <v>87</v>
      </c>
      <c r="V137" t="s">
        <v>88</v>
      </c>
      <c r="W137" t="s">
        <v>89</v>
      </c>
      <c r="X137" t="s">
        <v>1273</v>
      </c>
      <c r="Y137" t="s">
        <v>1274</v>
      </c>
      <c r="Z137" t="s">
        <v>173</v>
      </c>
      <c r="AA137" t="s">
        <v>93</v>
      </c>
      <c r="AB137" t="s">
        <v>174</v>
      </c>
      <c r="AC137" t="s">
        <v>1275</v>
      </c>
    </row>
    <row r="138" spans="1:29" hidden="1" x14ac:dyDescent="0.25">
      <c r="A138" t="s">
        <v>28</v>
      </c>
      <c r="B138" t="s">
        <v>959</v>
      </c>
      <c r="C138" t="s">
        <v>1026</v>
      </c>
      <c r="D138" t="s">
        <v>79</v>
      </c>
      <c r="E138" t="s">
        <v>80</v>
      </c>
      <c r="F138" t="s">
        <v>35</v>
      </c>
      <c r="G138" t="s">
        <v>1276</v>
      </c>
      <c r="H138" t="s">
        <v>1277</v>
      </c>
      <c r="I138" t="s">
        <v>328</v>
      </c>
      <c r="J138" t="s">
        <v>89</v>
      </c>
      <c r="K138" t="s">
        <v>198</v>
      </c>
      <c r="L138" t="s">
        <v>338</v>
      </c>
      <c r="M138" t="s">
        <v>87</v>
      </c>
      <c r="N138" t="s">
        <v>96</v>
      </c>
      <c r="O138" t="s">
        <v>89</v>
      </c>
      <c r="P138" t="s">
        <v>1278</v>
      </c>
      <c r="Q138" t="s">
        <v>1279</v>
      </c>
      <c r="R138" t="s">
        <v>186</v>
      </c>
      <c r="S138" t="s">
        <v>93</v>
      </c>
      <c r="T138" t="s">
        <v>187</v>
      </c>
      <c r="U138" t="s">
        <v>87</v>
      </c>
      <c r="V138" t="s">
        <v>254</v>
      </c>
      <c r="W138" t="s">
        <v>268</v>
      </c>
      <c r="X138" t="s">
        <v>1280</v>
      </c>
      <c r="Y138" t="s">
        <v>1281</v>
      </c>
      <c r="Z138" t="s">
        <v>191</v>
      </c>
      <c r="AA138" t="s">
        <v>93</v>
      </c>
      <c r="AB138" t="s">
        <v>192</v>
      </c>
      <c r="AC138" t="s">
        <v>1282</v>
      </c>
    </row>
    <row r="139" spans="1:29" hidden="1" x14ac:dyDescent="0.25">
      <c r="A139" t="s">
        <v>28</v>
      </c>
      <c r="B139" t="s">
        <v>959</v>
      </c>
      <c r="C139" t="s">
        <v>1026</v>
      </c>
      <c r="D139" t="s">
        <v>79</v>
      </c>
      <c r="E139" t="s">
        <v>80</v>
      </c>
      <c r="F139" t="s">
        <v>36</v>
      </c>
      <c r="G139" t="s">
        <v>1283</v>
      </c>
      <c r="H139" t="s">
        <v>1284</v>
      </c>
      <c r="I139" t="s">
        <v>485</v>
      </c>
      <c r="J139" t="s">
        <v>89</v>
      </c>
      <c r="K139" t="s">
        <v>198</v>
      </c>
      <c r="L139" t="s">
        <v>338</v>
      </c>
      <c r="M139" t="s">
        <v>87</v>
      </c>
      <c r="N139" t="s">
        <v>267</v>
      </c>
      <c r="O139" t="s">
        <v>89</v>
      </c>
      <c r="P139" t="s">
        <v>1285</v>
      </c>
      <c r="Q139" t="s">
        <v>1286</v>
      </c>
      <c r="R139" t="s">
        <v>689</v>
      </c>
      <c r="S139" t="s">
        <v>93</v>
      </c>
      <c r="T139" t="s">
        <v>690</v>
      </c>
      <c r="U139" t="s">
        <v>87</v>
      </c>
      <c r="V139" t="s">
        <v>254</v>
      </c>
      <c r="W139" t="s">
        <v>268</v>
      </c>
      <c r="X139" t="s">
        <v>1287</v>
      </c>
      <c r="Y139" t="s">
        <v>1288</v>
      </c>
      <c r="Z139" t="s">
        <v>597</v>
      </c>
      <c r="AA139" t="s">
        <v>93</v>
      </c>
      <c r="AB139" t="s">
        <v>598</v>
      </c>
      <c r="AC139" t="s">
        <v>1289</v>
      </c>
    </row>
    <row r="140" spans="1:29" hidden="1" x14ac:dyDescent="0.25">
      <c r="A140" t="s">
        <v>28</v>
      </c>
      <c r="B140" t="s">
        <v>959</v>
      </c>
      <c r="C140" t="s">
        <v>1026</v>
      </c>
      <c r="D140" t="s">
        <v>79</v>
      </c>
      <c r="E140" t="s">
        <v>80</v>
      </c>
      <c r="F140" t="s">
        <v>37</v>
      </c>
      <c r="G140" t="s">
        <v>1290</v>
      </c>
      <c r="H140" t="s">
        <v>1291</v>
      </c>
      <c r="I140" t="s">
        <v>163</v>
      </c>
      <c r="J140" t="s">
        <v>89</v>
      </c>
      <c r="K140" t="s">
        <v>198</v>
      </c>
      <c r="L140" t="s">
        <v>541</v>
      </c>
      <c r="M140" t="s">
        <v>87</v>
      </c>
      <c r="N140" t="s">
        <v>254</v>
      </c>
      <c r="O140" t="s">
        <v>268</v>
      </c>
      <c r="P140" t="s">
        <v>1292</v>
      </c>
      <c r="Q140" t="s">
        <v>1293</v>
      </c>
      <c r="R140" t="s">
        <v>543</v>
      </c>
      <c r="S140" t="s">
        <v>93</v>
      </c>
      <c r="T140" t="s">
        <v>544</v>
      </c>
      <c r="U140" t="s">
        <v>87</v>
      </c>
      <c r="V140" t="s">
        <v>267</v>
      </c>
      <c r="W140" t="s">
        <v>89</v>
      </c>
      <c r="X140" t="s">
        <v>1294</v>
      </c>
      <c r="Y140" t="s">
        <v>1295</v>
      </c>
      <c r="Z140" t="s">
        <v>546</v>
      </c>
      <c r="AA140" t="s">
        <v>93</v>
      </c>
      <c r="AB140" t="s">
        <v>547</v>
      </c>
      <c r="AC140" t="s">
        <v>1296</v>
      </c>
    </row>
    <row r="141" spans="1:29" hidden="1" x14ac:dyDescent="0.25">
      <c r="A141" t="s">
        <v>28</v>
      </c>
      <c r="B141" t="s">
        <v>1297</v>
      </c>
      <c r="C141" t="s">
        <v>1026</v>
      </c>
      <c r="D141" t="s">
        <v>898</v>
      </c>
      <c r="E141" t="s">
        <v>80</v>
      </c>
      <c r="F141" t="s">
        <v>29</v>
      </c>
      <c r="G141" t="s">
        <v>1298</v>
      </c>
      <c r="H141" t="s">
        <v>1299</v>
      </c>
      <c r="I141" t="s">
        <v>1300</v>
      </c>
      <c r="J141" t="s">
        <v>89</v>
      </c>
      <c r="K141" t="s">
        <v>89</v>
      </c>
      <c r="L141" t="s">
        <v>86</v>
      </c>
      <c r="M141" t="s">
        <v>136</v>
      </c>
      <c r="N141" t="s">
        <v>89</v>
      </c>
      <c r="O141" t="s">
        <v>996</v>
      </c>
      <c r="P141" t="s">
        <v>1301</v>
      </c>
      <c r="Q141" t="s">
        <v>1302</v>
      </c>
      <c r="R141" t="s">
        <v>623</v>
      </c>
      <c r="S141" t="s">
        <v>93</v>
      </c>
      <c r="T141" t="s">
        <v>624</v>
      </c>
      <c r="U141" t="s">
        <v>87</v>
      </c>
      <c r="V141" t="s">
        <v>89</v>
      </c>
      <c r="W141" t="s">
        <v>1221</v>
      </c>
      <c r="X141" t="s">
        <v>1303</v>
      </c>
      <c r="Y141" t="s">
        <v>1304</v>
      </c>
      <c r="Z141" t="s">
        <v>628</v>
      </c>
      <c r="AA141" t="s">
        <v>93</v>
      </c>
      <c r="AB141" t="s">
        <v>629</v>
      </c>
      <c r="AC141" t="s">
        <v>1305</v>
      </c>
    </row>
    <row r="142" spans="1:29" hidden="1" x14ac:dyDescent="0.25">
      <c r="A142" t="s">
        <v>28</v>
      </c>
      <c r="B142" t="s">
        <v>1297</v>
      </c>
      <c r="C142" t="s">
        <v>1026</v>
      </c>
      <c r="D142" t="s">
        <v>898</v>
      </c>
      <c r="E142" t="s">
        <v>80</v>
      </c>
      <c r="F142" t="s">
        <v>30</v>
      </c>
      <c r="G142" t="s">
        <v>1306</v>
      </c>
      <c r="H142" t="s">
        <v>1307</v>
      </c>
      <c r="I142" t="s">
        <v>1308</v>
      </c>
      <c r="J142" t="s">
        <v>89</v>
      </c>
      <c r="K142" t="s">
        <v>89</v>
      </c>
      <c r="L142" t="s">
        <v>86</v>
      </c>
      <c r="M142" t="s">
        <v>95</v>
      </c>
      <c r="N142" t="s">
        <v>89</v>
      </c>
      <c r="O142" t="s">
        <v>1249</v>
      </c>
      <c r="P142" t="s">
        <v>1309</v>
      </c>
      <c r="Q142" t="s">
        <v>1310</v>
      </c>
      <c r="R142" t="s">
        <v>227</v>
      </c>
      <c r="S142" t="s">
        <v>93</v>
      </c>
      <c r="T142" t="s">
        <v>228</v>
      </c>
      <c r="U142" t="s">
        <v>87</v>
      </c>
      <c r="V142" t="s">
        <v>89</v>
      </c>
      <c r="W142" t="s">
        <v>1221</v>
      </c>
      <c r="X142" t="s">
        <v>1311</v>
      </c>
      <c r="Y142" t="s">
        <v>1312</v>
      </c>
      <c r="Z142" t="s">
        <v>232</v>
      </c>
      <c r="AA142" t="s">
        <v>93</v>
      </c>
      <c r="AB142" t="s">
        <v>233</v>
      </c>
      <c r="AC142" t="s">
        <v>1313</v>
      </c>
    </row>
    <row r="143" spans="1:29" hidden="1" x14ac:dyDescent="0.25">
      <c r="A143" t="s">
        <v>28</v>
      </c>
      <c r="B143" t="s">
        <v>1297</v>
      </c>
      <c r="C143" t="s">
        <v>1026</v>
      </c>
      <c r="D143" t="s">
        <v>898</v>
      </c>
      <c r="E143" t="s">
        <v>80</v>
      </c>
      <c r="F143" t="s">
        <v>42</v>
      </c>
      <c r="G143" t="s">
        <v>1314</v>
      </c>
      <c r="H143" t="s">
        <v>1315</v>
      </c>
      <c r="I143" t="s">
        <v>1316</v>
      </c>
      <c r="J143" t="s">
        <v>1317</v>
      </c>
      <c r="K143" t="s">
        <v>913</v>
      </c>
      <c r="L143" t="s">
        <v>1318</v>
      </c>
      <c r="M143" t="s">
        <v>87</v>
      </c>
      <c r="N143" t="s">
        <v>89</v>
      </c>
      <c r="O143" t="s">
        <v>1221</v>
      </c>
      <c r="P143" t="s">
        <v>1247</v>
      </c>
      <c r="Q143" t="s">
        <v>1319</v>
      </c>
      <c r="R143" t="s">
        <v>614</v>
      </c>
      <c r="S143" t="s">
        <v>93</v>
      </c>
      <c r="T143" t="s">
        <v>615</v>
      </c>
      <c r="U143" t="s">
        <v>95</v>
      </c>
      <c r="V143" t="s">
        <v>89</v>
      </c>
      <c r="W143" t="s">
        <v>188</v>
      </c>
      <c r="X143" t="s">
        <v>1320</v>
      </c>
      <c r="Y143" t="s">
        <v>1321</v>
      </c>
      <c r="Z143" t="s">
        <v>753</v>
      </c>
      <c r="AA143" t="s">
        <v>93</v>
      </c>
      <c r="AB143" t="s">
        <v>754</v>
      </c>
      <c r="AC143" t="s">
        <v>1322</v>
      </c>
    </row>
    <row r="144" spans="1:29" hidden="1" x14ac:dyDescent="0.25">
      <c r="A144" t="s">
        <v>28</v>
      </c>
      <c r="B144" t="s">
        <v>1297</v>
      </c>
      <c r="C144" t="s">
        <v>1026</v>
      </c>
      <c r="D144" t="s">
        <v>898</v>
      </c>
      <c r="E144" t="s">
        <v>80</v>
      </c>
      <c r="F144" t="s">
        <v>43</v>
      </c>
      <c r="G144" t="s">
        <v>1323</v>
      </c>
      <c r="H144" t="s">
        <v>1324</v>
      </c>
      <c r="I144" t="s">
        <v>1325</v>
      </c>
      <c r="J144" t="s">
        <v>1326</v>
      </c>
      <c r="K144" t="s">
        <v>948</v>
      </c>
      <c r="L144" t="s">
        <v>1327</v>
      </c>
      <c r="M144" t="s">
        <v>87</v>
      </c>
      <c r="N144" t="s">
        <v>89</v>
      </c>
      <c r="O144" t="s">
        <v>969</v>
      </c>
      <c r="P144" t="s">
        <v>1226</v>
      </c>
      <c r="Q144" t="s">
        <v>1328</v>
      </c>
      <c r="R144" t="s">
        <v>761</v>
      </c>
      <c r="S144" t="s">
        <v>93</v>
      </c>
      <c r="T144" t="s">
        <v>762</v>
      </c>
      <c r="U144" t="s">
        <v>87</v>
      </c>
      <c r="V144" t="s">
        <v>89</v>
      </c>
      <c r="W144" t="s">
        <v>1329</v>
      </c>
      <c r="X144" t="s">
        <v>1255</v>
      </c>
      <c r="Y144" t="s">
        <v>1330</v>
      </c>
      <c r="Z144" t="s">
        <v>764</v>
      </c>
      <c r="AA144" t="s">
        <v>93</v>
      </c>
      <c r="AB144" t="s">
        <v>765</v>
      </c>
      <c r="AC144" t="s">
        <v>1331</v>
      </c>
    </row>
    <row r="145" spans="1:29" hidden="1" x14ac:dyDescent="0.25">
      <c r="A145" t="s">
        <v>28</v>
      </c>
      <c r="B145" t="s">
        <v>1297</v>
      </c>
      <c r="C145" t="s">
        <v>1026</v>
      </c>
      <c r="D145" t="s">
        <v>898</v>
      </c>
      <c r="E145" t="s">
        <v>80</v>
      </c>
      <c r="F145" t="s">
        <v>311</v>
      </c>
      <c r="G145" t="s">
        <v>1332</v>
      </c>
      <c r="H145" t="s">
        <v>1333</v>
      </c>
      <c r="I145" t="s">
        <v>1334</v>
      </c>
      <c r="J145" t="s">
        <v>1335</v>
      </c>
      <c r="K145" t="s">
        <v>978</v>
      </c>
      <c r="L145" t="s">
        <v>1006</v>
      </c>
      <c r="M145" t="s">
        <v>95</v>
      </c>
      <c r="N145" t="s">
        <v>89</v>
      </c>
      <c r="O145" t="s">
        <v>1221</v>
      </c>
      <c r="P145" t="s">
        <v>1255</v>
      </c>
      <c r="Q145" t="s">
        <v>1336</v>
      </c>
      <c r="R145" t="s">
        <v>1131</v>
      </c>
      <c r="S145" t="s">
        <v>93</v>
      </c>
      <c r="T145" t="s">
        <v>1132</v>
      </c>
      <c r="U145" t="s">
        <v>87</v>
      </c>
      <c r="V145" t="s">
        <v>89</v>
      </c>
      <c r="W145" t="s">
        <v>1221</v>
      </c>
      <c r="X145" t="s">
        <v>1337</v>
      </c>
      <c r="Y145" t="s">
        <v>1338</v>
      </c>
      <c r="Z145" t="s">
        <v>1058</v>
      </c>
      <c r="AA145" t="s">
        <v>93</v>
      </c>
      <c r="AB145" t="s">
        <v>925</v>
      </c>
      <c r="AC145" t="s">
        <v>1339</v>
      </c>
    </row>
    <row r="146" spans="1:29" hidden="1" x14ac:dyDescent="0.25">
      <c r="A146" t="s">
        <v>28</v>
      </c>
      <c r="B146" t="s">
        <v>1297</v>
      </c>
      <c r="C146" t="s">
        <v>1026</v>
      </c>
      <c r="D146" t="s">
        <v>898</v>
      </c>
      <c r="E146" t="s">
        <v>80</v>
      </c>
      <c r="F146" t="s">
        <v>322</v>
      </c>
      <c r="G146" t="s">
        <v>1340</v>
      </c>
      <c r="H146" t="s">
        <v>1341</v>
      </c>
      <c r="I146" t="s">
        <v>1342</v>
      </c>
      <c r="J146" t="s">
        <v>1343</v>
      </c>
      <c r="K146" t="s">
        <v>923</v>
      </c>
      <c r="L146" t="s">
        <v>1344</v>
      </c>
      <c r="M146" t="s">
        <v>95</v>
      </c>
      <c r="N146" t="s">
        <v>89</v>
      </c>
      <c r="O146" t="s">
        <v>969</v>
      </c>
      <c r="P146" t="s">
        <v>1240</v>
      </c>
      <c r="Q146" t="s">
        <v>1345</v>
      </c>
      <c r="R146" t="s">
        <v>1064</v>
      </c>
      <c r="S146" t="s">
        <v>93</v>
      </c>
      <c r="T146" t="s">
        <v>1065</v>
      </c>
      <c r="U146" t="s">
        <v>95</v>
      </c>
      <c r="V146" t="s">
        <v>89</v>
      </c>
      <c r="W146" t="s">
        <v>1249</v>
      </c>
      <c r="X146" t="s">
        <v>1226</v>
      </c>
      <c r="Y146" t="s">
        <v>1346</v>
      </c>
      <c r="Z146" t="s">
        <v>1067</v>
      </c>
      <c r="AA146" t="s">
        <v>93</v>
      </c>
      <c r="AB146" t="s">
        <v>1068</v>
      </c>
      <c r="AC146" t="s">
        <v>1347</v>
      </c>
    </row>
    <row r="147" spans="1:29" hidden="1" x14ac:dyDescent="0.25">
      <c r="A147" t="s">
        <v>28</v>
      </c>
      <c r="B147" t="s">
        <v>1297</v>
      </c>
      <c r="C147" t="s">
        <v>1026</v>
      </c>
      <c r="D147" t="s">
        <v>898</v>
      </c>
      <c r="E147" t="s">
        <v>80</v>
      </c>
      <c r="F147" t="s">
        <v>334</v>
      </c>
      <c r="G147" t="s">
        <v>1348</v>
      </c>
      <c r="H147" t="s">
        <v>1349</v>
      </c>
      <c r="I147" t="s">
        <v>1350</v>
      </c>
      <c r="J147" t="s">
        <v>1351</v>
      </c>
      <c r="K147" t="s">
        <v>903</v>
      </c>
      <c r="L147" t="s">
        <v>1352</v>
      </c>
      <c r="M147" t="s">
        <v>95</v>
      </c>
      <c r="N147" t="s">
        <v>89</v>
      </c>
      <c r="O147" t="s">
        <v>188</v>
      </c>
      <c r="P147" t="s">
        <v>1235</v>
      </c>
      <c r="Q147" t="s">
        <v>1353</v>
      </c>
      <c r="R147" t="s">
        <v>967</v>
      </c>
      <c r="S147" t="s">
        <v>93</v>
      </c>
      <c r="T147" t="s">
        <v>968</v>
      </c>
      <c r="U147" t="s">
        <v>95</v>
      </c>
      <c r="V147" t="s">
        <v>89</v>
      </c>
      <c r="W147" t="s">
        <v>188</v>
      </c>
      <c r="X147" t="s">
        <v>1240</v>
      </c>
      <c r="Y147" t="s">
        <v>1354</v>
      </c>
      <c r="Z147" t="s">
        <v>971</v>
      </c>
      <c r="AA147" t="s">
        <v>93</v>
      </c>
      <c r="AB147" t="s">
        <v>972</v>
      </c>
      <c r="AC147" t="s">
        <v>1355</v>
      </c>
    </row>
    <row r="148" spans="1:29" hidden="1" x14ac:dyDescent="0.25">
      <c r="A148" t="s">
        <v>28</v>
      </c>
      <c r="B148" t="s">
        <v>1297</v>
      </c>
      <c r="C148" t="s">
        <v>1026</v>
      </c>
      <c r="D148" t="s">
        <v>898</v>
      </c>
      <c r="E148" t="s">
        <v>80</v>
      </c>
      <c r="F148" t="s">
        <v>347</v>
      </c>
      <c r="G148" t="s">
        <v>1356</v>
      </c>
      <c r="H148" t="s">
        <v>1357</v>
      </c>
      <c r="I148" t="s">
        <v>1358</v>
      </c>
      <c r="J148" t="s">
        <v>1359</v>
      </c>
      <c r="K148" t="s">
        <v>948</v>
      </c>
      <c r="L148" t="s">
        <v>1360</v>
      </c>
      <c r="M148" t="s">
        <v>95</v>
      </c>
      <c r="N148" t="s">
        <v>89</v>
      </c>
      <c r="O148" t="s">
        <v>1221</v>
      </c>
      <c r="P148" t="s">
        <v>1361</v>
      </c>
      <c r="Q148" t="s">
        <v>1362</v>
      </c>
      <c r="R148" t="s">
        <v>1112</v>
      </c>
      <c r="S148" t="s">
        <v>93</v>
      </c>
      <c r="T148" t="s">
        <v>1113</v>
      </c>
      <c r="U148" t="s">
        <v>205</v>
      </c>
      <c r="V148" t="s">
        <v>89</v>
      </c>
      <c r="W148" t="s">
        <v>1221</v>
      </c>
      <c r="X148" t="s">
        <v>1361</v>
      </c>
      <c r="Y148" t="s">
        <v>1363</v>
      </c>
      <c r="Z148" t="s">
        <v>982</v>
      </c>
      <c r="AA148" t="s">
        <v>93</v>
      </c>
      <c r="AB148" t="s">
        <v>983</v>
      </c>
      <c r="AC148" t="s">
        <v>1364</v>
      </c>
    </row>
    <row r="149" spans="1:29" hidden="1" x14ac:dyDescent="0.25">
      <c r="A149" t="s">
        <v>28</v>
      </c>
      <c r="B149" t="s">
        <v>1297</v>
      </c>
      <c r="C149" t="s">
        <v>1026</v>
      </c>
      <c r="D149" t="s">
        <v>898</v>
      </c>
      <c r="E149" t="s">
        <v>80</v>
      </c>
      <c r="F149" t="s">
        <v>358</v>
      </c>
      <c r="G149" t="s">
        <v>1365</v>
      </c>
      <c r="H149" t="s">
        <v>1366</v>
      </c>
      <c r="I149" t="s">
        <v>1367</v>
      </c>
      <c r="J149" t="s">
        <v>1368</v>
      </c>
      <c r="K149" t="s">
        <v>978</v>
      </c>
      <c r="L149" t="s">
        <v>1369</v>
      </c>
      <c r="M149" t="s">
        <v>136</v>
      </c>
      <c r="N149" t="s">
        <v>267</v>
      </c>
      <c r="O149" t="s">
        <v>89</v>
      </c>
      <c r="P149" t="s">
        <v>510</v>
      </c>
      <c r="Q149" t="s">
        <v>1370</v>
      </c>
      <c r="R149" t="s">
        <v>1159</v>
      </c>
      <c r="S149" t="s">
        <v>93</v>
      </c>
      <c r="T149" t="s">
        <v>937</v>
      </c>
      <c r="U149" t="s">
        <v>239</v>
      </c>
      <c r="V149" t="s">
        <v>254</v>
      </c>
      <c r="W149" t="s">
        <v>89</v>
      </c>
      <c r="X149" t="s">
        <v>98</v>
      </c>
      <c r="Y149" t="s">
        <v>1371</v>
      </c>
      <c r="Z149" t="s">
        <v>995</v>
      </c>
      <c r="AA149" t="s">
        <v>93</v>
      </c>
      <c r="AB149" t="s">
        <v>906</v>
      </c>
      <c r="AC149" t="s">
        <v>1372</v>
      </c>
    </row>
    <row r="150" spans="1:29" hidden="1" x14ac:dyDescent="0.25">
      <c r="A150" t="s">
        <v>28</v>
      </c>
      <c r="B150" t="s">
        <v>1297</v>
      </c>
      <c r="C150" t="s">
        <v>1026</v>
      </c>
      <c r="D150" t="s">
        <v>898</v>
      </c>
      <c r="E150" t="s">
        <v>80</v>
      </c>
      <c r="F150" t="s">
        <v>31</v>
      </c>
      <c r="G150" t="s">
        <v>1373</v>
      </c>
      <c r="H150" t="s">
        <v>1374</v>
      </c>
      <c r="I150" t="s">
        <v>833</v>
      </c>
      <c r="J150" t="s">
        <v>89</v>
      </c>
      <c r="K150" t="s">
        <v>89</v>
      </c>
      <c r="L150" t="s">
        <v>338</v>
      </c>
      <c r="M150" t="s">
        <v>95</v>
      </c>
      <c r="N150" t="s">
        <v>89</v>
      </c>
      <c r="O150" t="s">
        <v>1249</v>
      </c>
      <c r="P150" t="s">
        <v>1311</v>
      </c>
      <c r="Q150" t="s">
        <v>1375</v>
      </c>
      <c r="R150" t="s">
        <v>1376</v>
      </c>
      <c r="S150" t="s">
        <v>93</v>
      </c>
      <c r="T150" t="s">
        <v>663</v>
      </c>
      <c r="U150" t="s">
        <v>95</v>
      </c>
      <c r="V150" t="s">
        <v>89</v>
      </c>
      <c r="W150" t="s">
        <v>1221</v>
      </c>
      <c r="X150" t="s">
        <v>1222</v>
      </c>
      <c r="Y150" t="s">
        <v>1377</v>
      </c>
      <c r="Z150" t="s">
        <v>383</v>
      </c>
      <c r="AA150" t="s">
        <v>93</v>
      </c>
      <c r="AB150" t="s">
        <v>384</v>
      </c>
      <c r="AC150" t="s">
        <v>1378</v>
      </c>
    </row>
    <row r="151" spans="1:29" hidden="1" x14ac:dyDescent="0.25">
      <c r="A151" t="s">
        <v>28</v>
      </c>
      <c r="B151" t="s">
        <v>1297</v>
      </c>
      <c r="C151" t="s">
        <v>1026</v>
      </c>
      <c r="D151" t="s">
        <v>898</v>
      </c>
      <c r="E151" t="s">
        <v>80</v>
      </c>
      <c r="F151" t="s">
        <v>378</v>
      </c>
      <c r="G151" t="s">
        <v>1379</v>
      </c>
      <c r="H151" t="s">
        <v>1380</v>
      </c>
      <c r="I151" t="s">
        <v>1381</v>
      </c>
      <c r="J151" t="s">
        <v>1382</v>
      </c>
      <c r="K151" t="s">
        <v>963</v>
      </c>
      <c r="L151" t="s">
        <v>904</v>
      </c>
      <c r="M151" t="s">
        <v>239</v>
      </c>
      <c r="N151" t="s">
        <v>267</v>
      </c>
      <c r="O151" t="s">
        <v>89</v>
      </c>
      <c r="P151" t="s">
        <v>305</v>
      </c>
      <c r="Q151" t="s">
        <v>1383</v>
      </c>
      <c r="R151" t="s">
        <v>929</v>
      </c>
      <c r="S151" t="s">
        <v>93</v>
      </c>
      <c r="T151" t="s">
        <v>930</v>
      </c>
      <c r="U151" t="s">
        <v>136</v>
      </c>
      <c r="V151" t="s">
        <v>254</v>
      </c>
      <c r="W151" t="s">
        <v>89</v>
      </c>
      <c r="X151" t="s">
        <v>98</v>
      </c>
      <c r="Y151" t="s">
        <v>1384</v>
      </c>
      <c r="Z151" t="s">
        <v>801</v>
      </c>
      <c r="AA151" t="s">
        <v>93</v>
      </c>
      <c r="AB151" t="s">
        <v>802</v>
      </c>
      <c r="AC151" t="s">
        <v>1385</v>
      </c>
    </row>
    <row r="152" spans="1:29" hidden="1" x14ac:dyDescent="0.25">
      <c r="A152" t="s">
        <v>28</v>
      </c>
      <c r="B152" t="s">
        <v>1297</v>
      </c>
      <c r="C152" t="s">
        <v>1026</v>
      </c>
      <c r="D152" t="s">
        <v>898</v>
      </c>
      <c r="E152" t="s">
        <v>80</v>
      </c>
      <c r="F152" t="s">
        <v>387</v>
      </c>
      <c r="G152" t="s">
        <v>1386</v>
      </c>
      <c r="H152" t="s">
        <v>1387</v>
      </c>
      <c r="I152" t="s">
        <v>1388</v>
      </c>
      <c r="J152" t="s">
        <v>1389</v>
      </c>
      <c r="K152" t="s">
        <v>963</v>
      </c>
      <c r="L152" t="s">
        <v>1390</v>
      </c>
      <c r="M152" t="s">
        <v>136</v>
      </c>
      <c r="N152" t="s">
        <v>267</v>
      </c>
      <c r="O152" t="s">
        <v>89</v>
      </c>
      <c r="P152" t="s">
        <v>510</v>
      </c>
      <c r="Q152" t="s">
        <v>1391</v>
      </c>
      <c r="R152" t="s">
        <v>811</v>
      </c>
      <c r="S152" t="s">
        <v>93</v>
      </c>
      <c r="T152" t="s">
        <v>812</v>
      </c>
      <c r="U152" t="s">
        <v>239</v>
      </c>
      <c r="V152" t="s">
        <v>254</v>
      </c>
      <c r="W152" t="s">
        <v>110</v>
      </c>
      <c r="X152" t="s">
        <v>98</v>
      </c>
      <c r="Y152" t="s">
        <v>1392</v>
      </c>
      <c r="Z152" t="s">
        <v>1131</v>
      </c>
      <c r="AA152" t="s">
        <v>93</v>
      </c>
      <c r="AB152" t="s">
        <v>1132</v>
      </c>
      <c r="AC152" t="s">
        <v>1393</v>
      </c>
    </row>
    <row r="153" spans="1:29" hidden="1" x14ac:dyDescent="0.25">
      <c r="A153" t="s">
        <v>28</v>
      </c>
      <c r="B153" t="s">
        <v>1297</v>
      </c>
      <c r="C153" t="s">
        <v>1026</v>
      </c>
      <c r="D153" t="s">
        <v>898</v>
      </c>
      <c r="E153" t="s">
        <v>80</v>
      </c>
      <c r="F153" t="s">
        <v>32</v>
      </c>
      <c r="G153" t="s">
        <v>1394</v>
      </c>
      <c r="H153" t="s">
        <v>1395</v>
      </c>
      <c r="I153" t="s">
        <v>1396</v>
      </c>
      <c r="J153" t="s">
        <v>89</v>
      </c>
      <c r="K153" t="s">
        <v>85</v>
      </c>
      <c r="L153" t="s">
        <v>86</v>
      </c>
      <c r="M153" t="s">
        <v>87</v>
      </c>
      <c r="N153" t="s">
        <v>89</v>
      </c>
      <c r="O153" t="s">
        <v>200</v>
      </c>
      <c r="P153" t="s">
        <v>1397</v>
      </c>
      <c r="Q153" t="s">
        <v>1398</v>
      </c>
      <c r="R153" t="s">
        <v>270</v>
      </c>
      <c r="S153" t="s">
        <v>93</v>
      </c>
      <c r="T153" t="s">
        <v>271</v>
      </c>
      <c r="U153" t="s">
        <v>95</v>
      </c>
      <c r="V153" t="s">
        <v>89</v>
      </c>
      <c r="W153" t="s">
        <v>1399</v>
      </c>
      <c r="X153" t="s">
        <v>1400</v>
      </c>
      <c r="Y153" t="s">
        <v>1401</v>
      </c>
      <c r="Z153" t="s">
        <v>401</v>
      </c>
      <c r="AA153" t="s">
        <v>93</v>
      </c>
      <c r="AB153" t="s">
        <v>402</v>
      </c>
      <c r="AC153" t="s">
        <v>1402</v>
      </c>
    </row>
    <row r="154" spans="1:29" hidden="1" x14ac:dyDescent="0.25">
      <c r="A154" t="s">
        <v>28</v>
      </c>
      <c r="B154" t="s">
        <v>1297</v>
      </c>
      <c r="C154" t="s">
        <v>1026</v>
      </c>
      <c r="D154" t="s">
        <v>898</v>
      </c>
      <c r="E154" t="s">
        <v>80</v>
      </c>
      <c r="F154" t="s">
        <v>33</v>
      </c>
      <c r="G154" t="s">
        <v>1403</v>
      </c>
      <c r="H154" t="s">
        <v>1404</v>
      </c>
      <c r="I154" t="s">
        <v>1405</v>
      </c>
      <c r="J154" t="s">
        <v>89</v>
      </c>
      <c r="K154" t="s">
        <v>89</v>
      </c>
      <c r="L154" t="s">
        <v>86</v>
      </c>
      <c r="M154" t="s">
        <v>136</v>
      </c>
      <c r="N154" t="s">
        <v>89</v>
      </c>
      <c r="O154" t="s">
        <v>1249</v>
      </c>
      <c r="P154" t="s">
        <v>1311</v>
      </c>
      <c r="Q154" t="s">
        <v>1406</v>
      </c>
      <c r="R154" t="s">
        <v>173</v>
      </c>
      <c r="S154" t="s">
        <v>93</v>
      </c>
      <c r="T154" t="s">
        <v>174</v>
      </c>
      <c r="U154" t="s">
        <v>95</v>
      </c>
      <c r="V154" t="s">
        <v>89</v>
      </c>
      <c r="W154" t="s">
        <v>1221</v>
      </c>
      <c r="X154" t="s">
        <v>1247</v>
      </c>
      <c r="Y154" t="s">
        <v>1407</v>
      </c>
      <c r="Z154" t="s">
        <v>177</v>
      </c>
      <c r="AA154" t="s">
        <v>93</v>
      </c>
      <c r="AB154" t="s">
        <v>178</v>
      </c>
      <c r="AC154" t="s">
        <v>1408</v>
      </c>
    </row>
    <row r="155" spans="1:29" hidden="1" x14ac:dyDescent="0.25">
      <c r="A155" t="s">
        <v>28</v>
      </c>
      <c r="B155" t="s">
        <v>1297</v>
      </c>
      <c r="C155" t="s">
        <v>1026</v>
      </c>
      <c r="D155" t="s">
        <v>898</v>
      </c>
      <c r="E155" t="s">
        <v>80</v>
      </c>
      <c r="F155" t="s">
        <v>34</v>
      </c>
      <c r="G155" t="s">
        <v>1409</v>
      </c>
      <c r="H155" t="s">
        <v>1410</v>
      </c>
      <c r="I155" t="s">
        <v>1411</v>
      </c>
      <c r="J155" t="s">
        <v>89</v>
      </c>
      <c r="K155" t="s">
        <v>89</v>
      </c>
      <c r="L155" t="s">
        <v>238</v>
      </c>
      <c r="M155" t="s">
        <v>87</v>
      </c>
      <c r="N155" t="s">
        <v>89</v>
      </c>
      <c r="O155" t="s">
        <v>1221</v>
      </c>
      <c r="P155" t="s">
        <v>1412</v>
      </c>
      <c r="Q155" t="s">
        <v>1413</v>
      </c>
      <c r="R155" t="s">
        <v>365</v>
      </c>
      <c r="S155" t="s">
        <v>93</v>
      </c>
      <c r="T155" t="s">
        <v>366</v>
      </c>
      <c r="U155" t="s">
        <v>87</v>
      </c>
      <c r="V155" t="s">
        <v>89</v>
      </c>
      <c r="W155" t="s">
        <v>1249</v>
      </c>
      <c r="X155" t="s">
        <v>1255</v>
      </c>
      <c r="Y155" t="s">
        <v>1414</v>
      </c>
      <c r="Z155" t="s">
        <v>588</v>
      </c>
      <c r="AA155" t="s">
        <v>93</v>
      </c>
      <c r="AB155" t="s">
        <v>589</v>
      </c>
      <c r="AC155" t="s">
        <v>1415</v>
      </c>
    </row>
    <row r="156" spans="1:29" hidden="1" x14ac:dyDescent="0.25">
      <c r="A156" t="s">
        <v>28</v>
      </c>
      <c r="B156" t="s">
        <v>1297</v>
      </c>
      <c r="C156" t="s">
        <v>1026</v>
      </c>
      <c r="D156" t="s">
        <v>898</v>
      </c>
      <c r="E156" t="s">
        <v>80</v>
      </c>
      <c r="F156" t="s">
        <v>35</v>
      </c>
      <c r="G156" t="s">
        <v>1416</v>
      </c>
      <c r="H156" t="s">
        <v>1417</v>
      </c>
      <c r="I156" t="s">
        <v>1418</v>
      </c>
      <c r="J156" t="s">
        <v>89</v>
      </c>
      <c r="K156" t="s">
        <v>85</v>
      </c>
      <c r="L156" t="s">
        <v>86</v>
      </c>
      <c r="M156" t="s">
        <v>87</v>
      </c>
      <c r="N156" t="s">
        <v>89</v>
      </c>
      <c r="O156" t="s">
        <v>1221</v>
      </c>
      <c r="P156" t="s">
        <v>1400</v>
      </c>
      <c r="Q156" t="s">
        <v>1419</v>
      </c>
      <c r="R156" t="s">
        <v>480</v>
      </c>
      <c r="S156" t="s">
        <v>93</v>
      </c>
      <c r="T156" t="s">
        <v>481</v>
      </c>
      <c r="U156" t="s">
        <v>95</v>
      </c>
      <c r="V156" t="s">
        <v>89</v>
      </c>
      <c r="W156" t="s">
        <v>1221</v>
      </c>
      <c r="X156" t="s">
        <v>1400</v>
      </c>
      <c r="Y156" t="s">
        <v>1420</v>
      </c>
      <c r="Z156" t="s">
        <v>484</v>
      </c>
      <c r="AA156" t="s">
        <v>93</v>
      </c>
      <c r="AB156" t="s">
        <v>485</v>
      </c>
      <c r="AC156" t="s">
        <v>1421</v>
      </c>
    </row>
    <row r="157" spans="1:29" hidden="1" x14ac:dyDescent="0.25">
      <c r="A157" t="s">
        <v>28</v>
      </c>
      <c r="B157" t="s">
        <v>1297</v>
      </c>
      <c r="C157" t="s">
        <v>1026</v>
      </c>
      <c r="D157" t="s">
        <v>898</v>
      </c>
      <c r="E157" t="s">
        <v>80</v>
      </c>
      <c r="F157" t="s">
        <v>36</v>
      </c>
      <c r="G157" t="s">
        <v>1422</v>
      </c>
      <c r="H157" t="s">
        <v>1423</v>
      </c>
      <c r="I157" t="s">
        <v>1024</v>
      </c>
      <c r="J157" t="s">
        <v>89</v>
      </c>
      <c r="K157" t="s">
        <v>89</v>
      </c>
      <c r="L157" t="s">
        <v>86</v>
      </c>
      <c r="M157" t="s">
        <v>95</v>
      </c>
      <c r="N157" t="s">
        <v>89</v>
      </c>
      <c r="O157" t="s">
        <v>1221</v>
      </c>
      <c r="P157" t="s">
        <v>1337</v>
      </c>
      <c r="Q157" t="s">
        <v>1424</v>
      </c>
      <c r="R157" t="s">
        <v>139</v>
      </c>
      <c r="S157" t="s">
        <v>93</v>
      </c>
      <c r="T157" t="s">
        <v>140</v>
      </c>
      <c r="U157" t="s">
        <v>95</v>
      </c>
      <c r="V157" t="s">
        <v>89</v>
      </c>
      <c r="W157" t="s">
        <v>1221</v>
      </c>
      <c r="X157" t="s">
        <v>1337</v>
      </c>
      <c r="Y157" t="s">
        <v>1425</v>
      </c>
      <c r="Z157" t="s">
        <v>144</v>
      </c>
      <c r="AA157" t="s">
        <v>93</v>
      </c>
      <c r="AB157" t="s">
        <v>145</v>
      </c>
      <c r="AC157" t="s">
        <v>1426</v>
      </c>
    </row>
    <row r="158" spans="1:29" hidden="1" x14ac:dyDescent="0.25">
      <c r="A158" t="s">
        <v>28</v>
      </c>
      <c r="B158" t="s">
        <v>1297</v>
      </c>
      <c r="C158" t="s">
        <v>1026</v>
      </c>
      <c r="D158" t="s">
        <v>898</v>
      </c>
      <c r="E158" t="s">
        <v>80</v>
      </c>
      <c r="F158" t="s">
        <v>37</v>
      </c>
      <c r="G158" t="s">
        <v>1427</v>
      </c>
      <c r="H158" t="s">
        <v>1428</v>
      </c>
      <c r="I158" t="s">
        <v>787</v>
      </c>
      <c r="J158" t="s">
        <v>89</v>
      </c>
      <c r="K158" t="s">
        <v>85</v>
      </c>
      <c r="L158" t="s">
        <v>86</v>
      </c>
      <c r="M158" t="s">
        <v>87</v>
      </c>
      <c r="N158" t="s">
        <v>89</v>
      </c>
      <c r="O158" t="s">
        <v>1221</v>
      </c>
      <c r="P158" t="s">
        <v>1337</v>
      </c>
      <c r="Q158" t="s">
        <v>1429</v>
      </c>
      <c r="R158" t="s">
        <v>801</v>
      </c>
      <c r="S158" t="s">
        <v>93</v>
      </c>
      <c r="T158" t="s">
        <v>802</v>
      </c>
      <c r="U158" t="s">
        <v>95</v>
      </c>
      <c r="V158" t="s">
        <v>89</v>
      </c>
      <c r="W158" t="s">
        <v>1430</v>
      </c>
      <c r="X158" t="s">
        <v>1247</v>
      </c>
      <c r="Y158" t="s">
        <v>1431</v>
      </c>
      <c r="Z158" t="s">
        <v>761</v>
      </c>
      <c r="AA158" t="s">
        <v>93</v>
      </c>
      <c r="AB158" t="s">
        <v>762</v>
      </c>
      <c r="AC158" t="s">
        <v>1432</v>
      </c>
    </row>
    <row r="159" spans="1:29" hidden="1" x14ac:dyDescent="0.25">
      <c r="A159" t="s">
        <v>44</v>
      </c>
      <c r="B159" t="s">
        <v>78</v>
      </c>
      <c r="C159" t="s">
        <v>79</v>
      </c>
      <c r="D159" t="s">
        <v>79</v>
      </c>
      <c r="E159" t="s">
        <v>80</v>
      </c>
      <c r="F159" t="s">
        <v>45</v>
      </c>
      <c r="G159" t="s">
        <v>1433</v>
      </c>
      <c r="H159" t="s">
        <v>1434</v>
      </c>
      <c r="I159" t="s">
        <v>1435</v>
      </c>
      <c r="J159" t="s">
        <v>1436</v>
      </c>
      <c r="K159" t="s">
        <v>89</v>
      </c>
      <c r="L159" t="s">
        <v>1437</v>
      </c>
      <c r="M159" t="s">
        <v>1438</v>
      </c>
      <c r="N159" t="s">
        <v>89</v>
      </c>
      <c r="O159" t="s">
        <v>1439</v>
      </c>
      <c r="P159" t="s">
        <v>1440</v>
      </c>
      <c r="Q159" t="s">
        <v>1441</v>
      </c>
      <c r="R159" t="s">
        <v>1442</v>
      </c>
      <c r="S159" t="s">
        <v>93</v>
      </c>
      <c r="T159" t="s">
        <v>1255</v>
      </c>
      <c r="U159" t="s">
        <v>1438</v>
      </c>
      <c r="V159" t="s">
        <v>89</v>
      </c>
      <c r="W159" t="s">
        <v>1443</v>
      </c>
      <c r="X159" t="s">
        <v>1444</v>
      </c>
      <c r="Y159" t="s">
        <v>1445</v>
      </c>
      <c r="Z159" t="s">
        <v>1446</v>
      </c>
      <c r="AA159" t="s">
        <v>93</v>
      </c>
      <c r="AB159" t="s">
        <v>1247</v>
      </c>
      <c r="AC159" t="s">
        <v>1447</v>
      </c>
    </row>
    <row r="160" spans="1:29" hidden="1" x14ac:dyDescent="0.25">
      <c r="A160" t="s">
        <v>44</v>
      </c>
      <c r="B160" t="s">
        <v>78</v>
      </c>
      <c r="C160" t="s">
        <v>79</v>
      </c>
      <c r="D160" t="s">
        <v>79</v>
      </c>
      <c r="E160" t="s">
        <v>80</v>
      </c>
      <c r="F160" t="s">
        <v>46</v>
      </c>
      <c r="G160" t="s">
        <v>1448</v>
      </c>
      <c r="H160" t="s">
        <v>1449</v>
      </c>
      <c r="I160" t="s">
        <v>1435</v>
      </c>
      <c r="J160" t="s">
        <v>1450</v>
      </c>
      <c r="K160" t="s">
        <v>89</v>
      </c>
      <c r="L160" t="s">
        <v>1437</v>
      </c>
      <c r="M160" t="s">
        <v>1438</v>
      </c>
      <c r="N160" t="s">
        <v>89</v>
      </c>
      <c r="O160" t="s">
        <v>1443</v>
      </c>
      <c r="P160" t="s">
        <v>1396</v>
      </c>
      <c r="Q160" t="s">
        <v>1451</v>
      </c>
      <c r="R160" t="s">
        <v>1452</v>
      </c>
      <c r="S160" t="s">
        <v>93</v>
      </c>
      <c r="T160" t="s">
        <v>1453</v>
      </c>
      <c r="U160" t="s">
        <v>1438</v>
      </c>
      <c r="V160" t="s">
        <v>89</v>
      </c>
      <c r="W160" t="s">
        <v>1439</v>
      </c>
      <c r="X160" t="s">
        <v>1454</v>
      </c>
      <c r="Y160" t="s">
        <v>1455</v>
      </c>
      <c r="Z160" t="s">
        <v>1456</v>
      </c>
      <c r="AA160" t="s">
        <v>93</v>
      </c>
      <c r="AB160" t="s">
        <v>1320</v>
      </c>
      <c r="AC160" t="s">
        <v>1457</v>
      </c>
    </row>
    <row r="161" spans="1:29" hidden="1" x14ac:dyDescent="0.25">
      <c r="A161" t="s">
        <v>44</v>
      </c>
      <c r="B161" t="s">
        <v>78</v>
      </c>
      <c r="C161" t="s">
        <v>79</v>
      </c>
      <c r="D161" t="s">
        <v>79</v>
      </c>
      <c r="E161" t="s">
        <v>80</v>
      </c>
      <c r="F161" t="s">
        <v>47</v>
      </c>
      <c r="G161" t="s">
        <v>1458</v>
      </c>
      <c r="H161" t="s">
        <v>1459</v>
      </c>
      <c r="I161" t="s">
        <v>1435</v>
      </c>
      <c r="J161" t="s">
        <v>1450</v>
      </c>
      <c r="K161" t="s">
        <v>89</v>
      </c>
      <c r="L161" t="s">
        <v>1437</v>
      </c>
      <c r="M161" t="s">
        <v>1438</v>
      </c>
      <c r="N161" t="s">
        <v>89</v>
      </c>
      <c r="O161" t="s">
        <v>1439</v>
      </c>
      <c r="P161" t="s">
        <v>1460</v>
      </c>
      <c r="Q161" t="s">
        <v>1461</v>
      </c>
      <c r="R161" t="s">
        <v>1462</v>
      </c>
      <c r="S161" t="s">
        <v>93</v>
      </c>
      <c r="T161" t="s">
        <v>1303</v>
      </c>
      <c r="U161" t="s">
        <v>1463</v>
      </c>
      <c r="V161" t="s">
        <v>89</v>
      </c>
      <c r="W161" t="s">
        <v>1439</v>
      </c>
      <c r="X161" t="s">
        <v>1464</v>
      </c>
      <c r="Y161" t="s">
        <v>1465</v>
      </c>
      <c r="Z161" t="s">
        <v>1466</v>
      </c>
      <c r="AA161" t="s">
        <v>93</v>
      </c>
      <c r="AB161" t="s">
        <v>1222</v>
      </c>
      <c r="AC161" t="s">
        <v>1467</v>
      </c>
    </row>
    <row r="162" spans="1:29" hidden="1" x14ac:dyDescent="0.25">
      <c r="A162" t="s">
        <v>44</v>
      </c>
      <c r="B162" t="s">
        <v>78</v>
      </c>
      <c r="C162" t="s">
        <v>79</v>
      </c>
      <c r="D162" t="s">
        <v>79</v>
      </c>
      <c r="E162" t="s">
        <v>80</v>
      </c>
      <c r="F162" t="s">
        <v>48</v>
      </c>
      <c r="G162" t="s">
        <v>1468</v>
      </c>
      <c r="H162" t="s">
        <v>1469</v>
      </c>
      <c r="I162" t="s">
        <v>1435</v>
      </c>
      <c r="J162" t="s">
        <v>1436</v>
      </c>
      <c r="K162" t="s">
        <v>89</v>
      </c>
      <c r="L162" t="s">
        <v>1437</v>
      </c>
      <c r="M162" t="s">
        <v>1438</v>
      </c>
      <c r="N162" t="s">
        <v>89</v>
      </c>
      <c r="O162" t="s">
        <v>1439</v>
      </c>
      <c r="P162" t="s">
        <v>1470</v>
      </c>
      <c r="Q162" t="s">
        <v>1471</v>
      </c>
      <c r="R162" t="s">
        <v>1472</v>
      </c>
      <c r="S162" t="s">
        <v>93</v>
      </c>
      <c r="T162" t="s">
        <v>1473</v>
      </c>
      <c r="U162" t="s">
        <v>1438</v>
      </c>
      <c r="V162" t="s">
        <v>89</v>
      </c>
      <c r="W162" t="s">
        <v>1474</v>
      </c>
      <c r="X162" t="s">
        <v>1475</v>
      </c>
      <c r="Y162" t="s">
        <v>1476</v>
      </c>
      <c r="Z162" t="s">
        <v>1477</v>
      </c>
      <c r="AA162" t="s">
        <v>93</v>
      </c>
      <c r="AB162" t="s">
        <v>1309</v>
      </c>
      <c r="AC162" t="s">
        <v>1478</v>
      </c>
    </row>
    <row r="163" spans="1:29" hidden="1" x14ac:dyDescent="0.25">
      <c r="A163" t="s">
        <v>44</v>
      </c>
      <c r="B163" t="s">
        <v>78</v>
      </c>
      <c r="C163" t="s">
        <v>79</v>
      </c>
      <c r="D163" t="s">
        <v>79</v>
      </c>
      <c r="E163" t="s">
        <v>80</v>
      </c>
      <c r="F163" t="s">
        <v>49</v>
      </c>
      <c r="G163" t="s">
        <v>1479</v>
      </c>
      <c r="H163" t="s">
        <v>1480</v>
      </c>
      <c r="I163" t="s">
        <v>1435</v>
      </c>
      <c r="J163" t="s">
        <v>1450</v>
      </c>
      <c r="K163" t="s">
        <v>89</v>
      </c>
      <c r="L163" t="s">
        <v>1437</v>
      </c>
      <c r="M163" t="s">
        <v>1438</v>
      </c>
      <c r="N163" t="s">
        <v>89</v>
      </c>
      <c r="O163" t="s">
        <v>1443</v>
      </c>
      <c r="P163" t="s">
        <v>1481</v>
      </c>
      <c r="Q163" t="s">
        <v>1482</v>
      </c>
      <c r="R163" t="s">
        <v>305</v>
      </c>
      <c r="S163" t="s">
        <v>93</v>
      </c>
      <c r="T163" t="s">
        <v>1483</v>
      </c>
      <c r="U163" t="s">
        <v>1438</v>
      </c>
      <c r="V163" t="s">
        <v>89</v>
      </c>
      <c r="W163" t="s">
        <v>1484</v>
      </c>
      <c r="X163" t="s">
        <v>1485</v>
      </c>
      <c r="Y163" t="s">
        <v>1486</v>
      </c>
      <c r="Z163" t="s">
        <v>1487</v>
      </c>
      <c r="AA163" t="s">
        <v>93</v>
      </c>
      <c r="AB163" t="s">
        <v>645</v>
      </c>
      <c r="AC163" t="s">
        <v>1488</v>
      </c>
    </row>
    <row r="164" spans="1:29" hidden="1" x14ac:dyDescent="0.25">
      <c r="A164" t="s">
        <v>44</v>
      </c>
      <c r="B164" t="s">
        <v>78</v>
      </c>
      <c r="C164" t="s">
        <v>79</v>
      </c>
      <c r="D164" t="s">
        <v>79</v>
      </c>
      <c r="E164" t="s">
        <v>80</v>
      </c>
      <c r="F164" t="s">
        <v>50</v>
      </c>
      <c r="G164" t="s">
        <v>1489</v>
      </c>
      <c r="H164" t="s">
        <v>1490</v>
      </c>
      <c r="I164" t="s">
        <v>1435</v>
      </c>
      <c r="J164" t="s">
        <v>1436</v>
      </c>
      <c r="K164" t="s">
        <v>89</v>
      </c>
      <c r="L164" t="s">
        <v>1491</v>
      </c>
      <c r="M164" t="s">
        <v>1438</v>
      </c>
      <c r="N164" t="s">
        <v>89</v>
      </c>
      <c r="O164" t="s">
        <v>1484</v>
      </c>
      <c r="P164" t="s">
        <v>1492</v>
      </c>
      <c r="Q164" t="s">
        <v>1493</v>
      </c>
      <c r="R164" t="s">
        <v>1494</v>
      </c>
      <c r="S164" t="s">
        <v>93</v>
      </c>
      <c r="T164" t="s">
        <v>1361</v>
      </c>
      <c r="U164" t="s">
        <v>1438</v>
      </c>
      <c r="V164" t="s">
        <v>89</v>
      </c>
      <c r="W164" t="s">
        <v>1443</v>
      </c>
      <c r="X164" t="s">
        <v>1495</v>
      </c>
      <c r="Y164" t="s">
        <v>1496</v>
      </c>
      <c r="Z164" t="s">
        <v>1497</v>
      </c>
      <c r="AA164" t="s">
        <v>93</v>
      </c>
      <c r="AB164" t="s">
        <v>1250</v>
      </c>
      <c r="AC164" t="s">
        <v>1498</v>
      </c>
    </row>
    <row r="165" spans="1:29" hidden="1" x14ac:dyDescent="0.25">
      <c r="A165" t="s">
        <v>44</v>
      </c>
      <c r="B165" t="s">
        <v>78</v>
      </c>
      <c r="C165" t="s">
        <v>79</v>
      </c>
      <c r="D165" t="s">
        <v>79</v>
      </c>
      <c r="E165" t="s">
        <v>80</v>
      </c>
      <c r="F165" t="s">
        <v>51</v>
      </c>
      <c r="G165" t="s">
        <v>1499</v>
      </c>
      <c r="H165" t="s">
        <v>1500</v>
      </c>
      <c r="I165" t="s">
        <v>1435</v>
      </c>
      <c r="J165" t="s">
        <v>1501</v>
      </c>
      <c r="K165" t="s">
        <v>89</v>
      </c>
      <c r="L165" t="s">
        <v>1437</v>
      </c>
      <c r="M165" t="s">
        <v>1438</v>
      </c>
      <c r="N165" t="s">
        <v>89</v>
      </c>
      <c r="O165" t="s">
        <v>1443</v>
      </c>
      <c r="P165" t="s">
        <v>1502</v>
      </c>
      <c r="Q165" t="s">
        <v>1503</v>
      </c>
      <c r="R165" t="s">
        <v>1504</v>
      </c>
      <c r="S165" t="s">
        <v>93</v>
      </c>
      <c r="T165" t="s">
        <v>1400</v>
      </c>
      <c r="U165" t="s">
        <v>1438</v>
      </c>
      <c r="V165" t="s">
        <v>89</v>
      </c>
      <c r="W165" t="s">
        <v>1439</v>
      </c>
      <c r="X165" t="s">
        <v>1505</v>
      </c>
      <c r="Y165" t="s">
        <v>1506</v>
      </c>
      <c r="Z165" t="s">
        <v>1507</v>
      </c>
      <c r="AA165" t="s">
        <v>93</v>
      </c>
      <c r="AB165" t="s">
        <v>1337</v>
      </c>
      <c r="AC165" t="s">
        <v>1508</v>
      </c>
    </row>
    <row r="166" spans="1:29" hidden="1" x14ac:dyDescent="0.25">
      <c r="A166" t="s">
        <v>44</v>
      </c>
      <c r="B166" t="s">
        <v>78</v>
      </c>
      <c r="C166" t="s">
        <v>79</v>
      </c>
      <c r="D166" t="s">
        <v>79</v>
      </c>
      <c r="E166" t="s">
        <v>80</v>
      </c>
      <c r="F166" t="s">
        <v>52</v>
      </c>
      <c r="G166" t="s">
        <v>408</v>
      </c>
      <c r="H166" t="s">
        <v>1509</v>
      </c>
      <c r="I166" t="s">
        <v>1435</v>
      </c>
      <c r="J166" t="s">
        <v>1450</v>
      </c>
      <c r="K166" t="s">
        <v>89</v>
      </c>
      <c r="L166" t="s">
        <v>1437</v>
      </c>
      <c r="M166" t="s">
        <v>1438</v>
      </c>
      <c r="N166" t="s">
        <v>89</v>
      </c>
      <c r="O166" t="s">
        <v>1443</v>
      </c>
      <c r="P166" t="s">
        <v>1510</v>
      </c>
      <c r="Q166" t="s">
        <v>1511</v>
      </c>
      <c r="R166" t="s">
        <v>1512</v>
      </c>
      <c r="S166" t="s">
        <v>93</v>
      </c>
      <c r="T166" t="s">
        <v>1231</v>
      </c>
      <c r="U166" t="s">
        <v>1438</v>
      </c>
      <c r="V166" t="s">
        <v>89</v>
      </c>
      <c r="W166" t="s">
        <v>1443</v>
      </c>
      <c r="X166" t="s">
        <v>1513</v>
      </c>
      <c r="Y166" t="s">
        <v>1514</v>
      </c>
      <c r="Z166" t="s">
        <v>1515</v>
      </c>
      <c r="AA166" t="s">
        <v>93</v>
      </c>
      <c r="AB166" t="s">
        <v>1240</v>
      </c>
      <c r="AC166" t="s">
        <v>1516</v>
      </c>
    </row>
    <row r="167" spans="1:29" hidden="1" x14ac:dyDescent="0.25">
      <c r="A167" t="s">
        <v>44</v>
      </c>
      <c r="B167" t="s">
        <v>78</v>
      </c>
      <c r="C167" t="s">
        <v>79</v>
      </c>
      <c r="D167" t="s">
        <v>79</v>
      </c>
      <c r="E167" t="s">
        <v>80</v>
      </c>
      <c r="F167" t="s">
        <v>53</v>
      </c>
      <c r="G167" t="s">
        <v>1517</v>
      </c>
      <c r="H167" t="s">
        <v>1518</v>
      </c>
      <c r="I167" t="s">
        <v>1435</v>
      </c>
      <c r="J167" t="s">
        <v>1519</v>
      </c>
      <c r="K167" t="s">
        <v>89</v>
      </c>
      <c r="L167" t="s">
        <v>1491</v>
      </c>
      <c r="M167" t="s">
        <v>1438</v>
      </c>
      <c r="N167" t="s">
        <v>89</v>
      </c>
      <c r="O167" t="s">
        <v>1443</v>
      </c>
      <c r="P167" t="s">
        <v>1520</v>
      </c>
      <c r="Q167" t="s">
        <v>1521</v>
      </c>
      <c r="R167" t="s">
        <v>1522</v>
      </c>
      <c r="S167" t="s">
        <v>93</v>
      </c>
      <c r="T167" t="s">
        <v>1412</v>
      </c>
      <c r="U167" t="s">
        <v>1438</v>
      </c>
      <c r="V167" t="s">
        <v>89</v>
      </c>
      <c r="W167" t="s">
        <v>1443</v>
      </c>
      <c r="X167" t="s">
        <v>716</v>
      </c>
      <c r="Y167" t="s">
        <v>1523</v>
      </c>
      <c r="Z167" t="s">
        <v>1462</v>
      </c>
      <c r="AA167" t="s">
        <v>93</v>
      </c>
      <c r="AB167" t="s">
        <v>1303</v>
      </c>
      <c r="AC167" t="s">
        <v>1524</v>
      </c>
    </row>
    <row r="168" spans="1:29" hidden="1" x14ac:dyDescent="0.25">
      <c r="A168" t="s">
        <v>44</v>
      </c>
      <c r="B168" t="s">
        <v>78</v>
      </c>
      <c r="C168" t="s">
        <v>79</v>
      </c>
      <c r="D168" t="s">
        <v>79</v>
      </c>
      <c r="E168" t="s">
        <v>80</v>
      </c>
      <c r="F168" t="s">
        <v>54</v>
      </c>
      <c r="G168" t="s">
        <v>1525</v>
      </c>
      <c r="H168" t="s">
        <v>1526</v>
      </c>
      <c r="I168" t="s">
        <v>1435</v>
      </c>
      <c r="J168" t="s">
        <v>1519</v>
      </c>
      <c r="K168" t="s">
        <v>89</v>
      </c>
      <c r="L168" t="s">
        <v>1437</v>
      </c>
      <c r="M168" t="s">
        <v>1438</v>
      </c>
      <c r="N168" t="s">
        <v>89</v>
      </c>
      <c r="O168" t="s">
        <v>1439</v>
      </c>
      <c r="P168" t="s">
        <v>1527</v>
      </c>
      <c r="Q168" t="s">
        <v>1528</v>
      </c>
      <c r="R168" t="s">
        <v>1529</v>
      </c>
      <c r="S168" t="s">
        <v>93</v>
      </c>
      <c r="T168" t="s">
        <v>1226</v>
      </c>
      <c r="U168" t="s">
        <v>1463</v>
      </c>
      <c r="V168" t="s">
        <v>89</v>
      </c>
      <c r="W168" t="s">
        <v>1443</v>
      </c>
      <c r="X168" t="s">
        <v>1530</v>
      </c>
      <c r="Y168" t="s">
        <v>1531</v>
      </c>
      <c r="Z168" t="s">
        <v>1512</v>
      </c>
      <c r="AA168" t="s">
        <v>93</v>
      </c>
      <c r="AB168" t="s">
        <v>1231</v>
      </c>
      <c r="AC168" t="s">
        <v>1532</v>
      </c>
    </row>
    <row r="169" spans="1:29" hidden="1" x14ac:dyDescent="0.25">
      <c r="A169" t="s">
        <v>44</v>
      </c>
      <c r="B169" t="s">
        <v>78</v>
      </c>
      <c r="C169" t="s">
        <v>79</v>
      </c>
      <c r="D169" t="s">
        <v>79</v>
      </c>
      <c r="E169" t="s">
        <v>80</v>
      </c>
      <c r="F169" t="s">
        <v>55</v>
      </c>
      <c r="G169" t="s">
        <v>1533</v>
      </c>
      <c r="H169" t="s">
        <v>1534</v>
      </c>
      <c r="I169" t="s">
        <v>1435</v>
      </c>
      <c r="J169" t="s">
        <v>1450</v>
      </c>
      <c r="K169" t="s">
        <v>89</v>
      </c>
      <c r="L169" t="s">
        <v>1491</v>
      </c>
      <c r="M169" t="s">
        <v>1438</v>
      </c>
      <c r="N169" t="s">
        <v>89</v>
      </c>
      <c r="O169" t="s">
        <v>1474</v>
      </c>
      <c r="P169" t="s">
        <v>1535</v>
      </c>
      <c r="Q169" t="s">
        <v>1536</v>
      </c>
      <c r="R169" t="s">
        <v>1504</v>
      </c>
      <c r="S169" t="s">
        <v>93</v>
      </c>
      <c r="T169" t="s">
        <v>1400</v>
      </c>
      <c r="U169" t="s">
        <v>1438</v>
      </c>
      <c r="V169" t="s">
        <v>89</v>
      </c>
      <c r="W169" t="s">
        <v>1439</v>
      </c>
      <c r="X169" t="s">
        <v>1537</v>
      </c>
      <c r="Y169" t="s">
        <v>1538</v>
      </c>
      <c r="Z169" t="s">
        <v>1507</v>
      </c>
      <c r="AA169" t="s">
        <v>93</v>
      </c>
      <c r="AB169" t="s">
        <v>1337</v>
      </c>
      <c r="AC169" t="s">
        <v>1539</v>
      </c>
    </row>
    <row r="170" spans="1:29" hidden="1" x14ac:dyDescent="0.25">
      <c r="A170" t="s">
        <v>44</v>
      </c>
      <c r="B170" t="s">
        <v>78</v>
      </c>
      <c r="C170" t="s">
        <v>79</v>
      </c>
      <c r="D170" t="s">
        <v>79</v>
      </c>
      <c r="E170" t="s">
        <v>80</v>
      </c>
      <c r="F170" t="s">
        <v>56</v>
      </c>
      <c r="G170" t="s">
        <v>1540</v>
      </c>
      <c r="H170" t="s">
        <v>1541</v>
      </c>
      <c r="I170" t="s">
        <v>1435</v>
      </c>
      <c r="J170" t="s">
        <v>1542</v>
      </c>
      <c r="K170" t="s">
        <v>89</v>
      </c>
      <c r="L170" t="s">
        <v>1491</v>
      </c>
      <c r="M170" t="s">
        <v>1438</v>
      </c>
      <c r="N170" t="s">
        <v>89</v>
      </c>
      <c r="O170" t="s">
        <v>1443</v>
      </c>
      <c r="P170" t="s">
        <v>1543</v>
      </c>
      <c r="Q170" t="s">
        <v>1544</v>
      </c>
      <c r="R170" t="s">
        <v>1545</v>
      </c>
      <c r="S170" t="s">
        <v>93</v>
      </c>
      <c r="T170" t="s">
        <v>1311</v>
      </c>
      <c r="U170" t="s">
        <v>1438</v>
      </c>
      <c r="V170" t="s">
        <v>89</v>
      </c>
      <c r="W170" t="s">
        <v>1443</v>
      </c>
      <c r="X170" t="s">
        <v>1546</v>
      </c>
      <c r="Y170" t="s">
        <v>1547</v>
      </c>
      <c r="Z170" t="s">
        <v>1548</v>
      </c>
      <c r="AA170" t="s">
        <v>93</v>
      </c>
      <c r="AB170" t="s">
        <v>1397</v>
      </c>
      <c r="AC170" t="s">
        <v>1549</v>
      </c>
    </row>
    <row r="171" spans="1:29" hidden="1" x14ac:dyDescent="0.25">
      <c r="A171" t="s">
        <v>44</v>
      </c>
      <c r="B171" t="s">
        <v>814</v>
      </c>
      <c r="C171" t="s">
        <v>79</v>
      </c>
      <c r="D171" t="s">
        <v>898</v>
      </c>
      <c r="E171" t="s">
        <v>80</v>
      </c>
      <c r="F171" t="s">
        <v>45</v>
      </c>
      <c r="G171" t="s">
        <v>1550</v>
      </c>
      <c r="H171" t="s">
        <v>1551</v>
      </c>
      <c r="I171" t="s">
        <v>1552</v>
      </c>
      <c r="J171" t="s">
        <v>1553</v>
      </c>
      <c r="K171" t="s">
        <v>1554</v>
      </c>
      <c r="L171" t="s">
        <v>1555</v>
      </c>
      <c r="M171" t="s">
        <v>89</v>
      </c>
      <c r="N171" t="s">
        <v>89</v>
      </c>
      <c r="O171" t="s">
        <v>1439</v>
      </c>
      <c r="P171" t="s">
        <v>1556</v>
      </c>
      <c r="Q171" t="s">
        <v>1557</v>
      </c>
      <c r="R171" t="s">
        <v>1462</v>
      </c>
      <c r="S171" t="s">
        <v>93</v>
      </c>
      <c r="T171" t="s">
        <v>1303</v>
      </c>
      <c r="U171" t="s">
        <v>1438</v>
      </c>
      <c r="V171" t="s">
        <v>89</v>
      </c>
      <c r="W171" t="s">
        <v>1439</v>
      </c>
      <c r="X171" t="s">
        <v>739</v>
      </c>
      <c r="Y171" t="s">
        <v>1558</v>
      </c>
      <c r="Z171" t="s">
        <v>1466</v>
      </c>
      <c r="AA171" t="s">
        <v>93</v>
      </c>
      <c r="AB171" t="s">
        <v>1222</v>
      </c>
      <c r="AC171" t="s">
        <v>1559</v>
      </c>
    </row>
    <row r="172" spans="1:29" hidden="1" x14ac:dyDescent="0.25">
      <c r="A172" t="s">
        <v>44</v>
      </c>
      <c r="B172" t="s">
        <v>814</v>
      </c>
      <c r="C172" t="s">
        <v>79</v>
      </c>
      <c r="D172" t="s">
        <v>898</v>
      </c>
      <c r="E172" t="s">
        <v>80</v>
      </c>
      <c r="F172" t="s">
        <v>46</v>
      </c>
      <c r="G172" t="s">
        <v>1560</v>
      </c>
      <c r="H172" t="s">
        <v>1561</v>
      </c>
      <c r="I172" t="s">
        <v>1562</v>
      </c>
      <c r="J172" t="s">
        <v>1563</v>
      </c>
      <c r="K172" t="s">
        <v>89</v>
      </c>
      <c r="L172" t="s">
        <v>1564</v>
      </c>
      <c r="M172" t="s">
        <v>1438</v>
      </c>
      <c r="N172" t="s">
        <v>89</v>
      </c>
      <c r="O172" t="s">
        <v>89</v>
      </c>
      <c r="P172" t="s">
        <v>278</v>
      </c>
      <c r="Q172" t="s">
        <v>1565</v>
      </c>
      <c r="R172" t="s">
        <v>1477</v>
      </c>
      <c r="S172" t="s">
        <v>93</v>
      </c>
      <c r="T172" t="s">
        <v>1309</v>
      </c>
      <c r="U172" t="s">
        <v>1438</v>
      </c>
      <c r="V172" t="s">
        <v>89</v>
      </c>
      <c r="W172" t="s">
        <v>89</v>
      </c>
      <c r="X172" t="s">
        <v>278</v>
      </c>
      <c r="Y172" t="s">
        <v>1566</v>
      </c>
      <c r="Z172" t="s">
        <v>1567</v>
      </c>
      <c r="AA172" t="s">
        <v>93</v>
      </c>
      <c r="AB172" t="s">
        <v>1568</v>
      </c>
      <c r="AC172" t="s">
        <v>1569</v>
      </c>
    </row>
    <row r="173" spans="1:29" hidden="1" x14ac:dyDescent="0.25">
      <c r="A173" t="s">
        <v>44</v>
      </c>
      <c r="B173" t="s">
        <v>814</v>
      </c>
      <c r="C173" t="s">
        <v>79</v>
      </c>
      <c r="D173" t="s">
        <v>898</v>
      </c>
      <c r="E173" t="s">
        <v>80</v>
      </c>
      <c r="F173" t="s">
        <v>47</v>
      </c>
      <c r="G173" t="s">
        <v>1570</v>
      </c>
      <c r="H173" t="s">
        <v>1571</v>
      </c>
      <c r="I173" t="s">
        <v>1572</v>
      </c>
      <c r="J173" t="s">
        <v>1573</v>
      </c>
      <c r="K173" t="s">
        <v>1574</v>
      </c>
      <c r="L173" t="s">
        <v>1575</v>
      </c>
      <c r="M173" t="s">
        <v>89</v>
      </c>
      <c r="N173" t="s">
        <v>89</v>
      </c>
      <c r="O173" t="s">
        <v>89</v>
      </c>
      <c r="P173" t="s">
        <v>278</v>
      </c>
      <c r="Q173" t="s">
        <v>1576</v>
      </c>
      <c r="R173" t="s">
        <v>1577</v>
      </c>
      <c r="S173" t="s">
        <v>93</v>
      </c>
      <c r="T173" t="s">
        <v>1578</v>
      </c>
      <c r="U173" t="s">
        <v>89</v>
      </c>
      <c r="V173" t="s">
        <v>89</v>
      </c>
      <c r="W173" t="s">
        <v>89</v>
      </c>
      <c r="X173" t="s">
        <v>278</v>
      </c>
      <c r="Y173" t="s">
        <v>1579</v>
      </c>
      <c r="Z173" t="s">
        <v>1545</v>
      </c>
      <c r="AA173" t="s">
        <v>93</v>
      </c>
      <c r="AB173" t="s">
        <v>1311</v>
      </c>
      <c r="AC173" t="s">
        <v>1580</v>
      </c>
    </row>
    <row r="174" spans="1:29" hidden="1" x14ac:dyDescent="0.25">
      <c r="A174" t="s">
        <v>44</v>
      </c>
      <c r="B174" t="s">
        <v>814</v>
      </c>
      <c r="C174" t="s">
        <v>79</v>
      </c>
      <c r="D174" t="s">
        <v>898</v>
      </c>
      <c r="E174" t="s">
        <v>80</v>
      </c>
      <c r="F174" t="s">
        <v>48</v>
      </c>
      <c r="G174" t="s">
        <v>1581</v>
      </c>
      <c r="H174" t="s">
        <v>1582</v>
      </c>
      <c r="I174" t="s">
        <v>1583</v>
      </c>
      <c r="J174" t="s">
        <v>1584</v>
      </c>
      <c r="K174" t="s">
        <v>1574</v>
      </c>
      <c r="L174" t="s">
        <v>1585</v>
      </c>
      <c r="M174" t="s">
        <v>89</v>
      </c>
      <c r="N174" t="s">
        <v>89</v>
      </c>
      <c r="O174" t="s">
        <v>89</v>
      </c>
      <c r="P174" t="s">
        <v>1586</v>
      </c>
      <c r="Q174" t="s">
        <v>1587</v>
      </c>
      <c r="R174" t="s">
        <v>1588</v>
      </c>
      <c r="S174" t="s">
        <v>93</v>
      </c>
      <c r="T174" t="s">
        <v>1301</v>
      </c>
      <c r="U174" t="s">
        <v>89</v>
      </c>
      <c r="V174" t="s">
        <v>89</v>
      </c>
      <c r="W174" t="s">
        <v>89</v>
      </c>
      <c r="X174" t="s">
        <v>1589</v>
      </c>
      <c r="Y174" t="s">
        <v>1590</v>
      </c>
      <c r="Z174" t="s">
        <v>1591</v>
      </c>
      <c r="AA174" t="s">
        <v>93</v>
      </c>
      <c r="AB174" t="s">
        <v>1592</v>
      </c>
      <c r="AC174" t="s">
        <v>1593</v>
      </c>
    </row>
    <row r="175" spans="1:29" hidden="1" x14ac:dyDescent="0.25">
      <c r="A175" t="s">
        <v>44</v>
      </c>
      <c r="B175" t="s">
        <v>814</v>
      </c>
      <c r="C175" t="s">
        <v>79</v>
      </c>
      <c r="D175" t="s">
        <v>898</v>
      </c>
      <c r="E175" t="s">
        <v>80</v>
      </c>
      <c r="F175" t="s">
        <v>49</v>
      </c>
      <c r="G175" t="s">
        <v>1594</v>
      </c>
      <c r="H175" t="s">
        <v>1595</v>
      </c>
      <c r="I175" t="s">
        <v>1596</v>
      </c>
      <c r="J175" t="s">
        <v>1597</v>
      </c>
      <c r="K175" t="s">
        <v>1598</v>
      </c>
      <c r="L175" t="s">
        <v>1599</v>
      </c>
      <c r="M175" t="s">
        <v>1438</v>
      </c>
      <c r="N175" t="s">
        <v>89</v>
      </c>
      <c r="O175" t="s">
        <v>1443</v>
      </c>
      <c r="P175" t="s">
        <v>1600</v>
      </c>
      <c r="Q175" t="s">
        <v>1601</v>
      </c>
      <c r="R175" t="s">
        <v>1487</v>
      </c>
      <c r="S175" t="s">
        <v>93</v>
      </c>
      <c r="T175" t="s">
        <v>645</v>
      </c>
      <c r="U175" t="s">
        <v>1438</v>
      </c>
      <c r="V175" t="s">
        <v>89</v>
      </c>
      <c r="W175" t="s">
        <v>1439</v>
      </c>
      <c r="X175" t="s">
        <v>1602</v>
      </c>
      <c r="Y175" t="s">
        <v>1603</v>
      </c>
      <c r="Z175" t="s">
        <v>1604</v>
      </c>
      <c r="AA175" t="s">
        <v>93</v>
      </c>
      <c r="AB175" t="s">
        <v>657</v>
      </c>
      <c r="AC175" t="s">
        <v>1605</v>
      </c>
    </row>
    <row r="176" spans="1:29" hidden="1" x14ac:dyDescent="0.25">
      <c r="A176" t="s">
        <v>44</v>
      </c>
      <c r="B176" t="s">
        <v>814</v>
      </c>
      <c r="C176" t="s">
        <v>79</v>
      </c>
      <c r="D176" t="s">
        <v>898</v>
      </c>
      <c r="E176" t="s">
        <v>80</v>
      </c>
      <c r="F176" t="s">
        <v>50</v>
      </c>
      <c r="G176" t="s">
        <v>1606</v>
      </c>
      <c r="H176" t="s">
        <v>1607</v>
      </c>
      <c r="I176" t="s">
        <v>1608</v>
      </c>
      <c r="J176" t="s">
        <v>1609</v>
      </c>
      <c r="K176" t="s">
        <v>1574</v>
      </c>
      <c r="L176" t="s">
        <v>1610</v>
      </c>
      <c r="M176" t="s">
        <v>1438</v>
      </c>
      <c r="N176" t="s">
        <v>89</v>
      </c>
      <c r="O176" t="s">
        <v>89</v>
      </c>
      <c r="P176" t="s">
        <v>1435</v>
      </c>
      <c r="Q176" t="s">
        <v>1611</v>
      </c>
      <c r="R176" t="s">
        <v>1529</v>
      </c>
      <c r="S176" t="s">
        <v>93</v>
      </c>
      <c r="T176" t="s">
        <v>1226</v>
      </c>
      <c r="U176" t="s">
        <v>1438</v>
      </c>
      <c r="V176" t="s">
        <v>89</v>
      </c>
      <c r="W176" t="s">
        <v>1612</v>
      </c>
      <c r="X176" t="s">
        <v>1613</v>
      </c>
      <c r="Y176" t="s">
        <v>1614</v>
      </c>
      <c r="Z176" t="s">
        <v>1512</v>
      </c>
      <c r="AA176" t="s">
        <v>93</v>
      </c>
      <c r="AB176" t="s">
        <v>1231</v>
      </c>
      <c r="AC176" t="s">
        <v>1615</v>
      </c>
    </row>
    <row r="177" spans="1:29" hidden="1" x14ac:dyDescent="0.25">
      <c r="A177" t="s">
        <v>44</v>
      </c>
      <c r="B177" t="s">
        <v>814</v>
      </c>
      <c r="C177" t="s">
        <v>79</v>
      </c>
      <c r="D177" t="s">
        <v>898</v>
      </c>
      <c r="E177" t="s">
        <v>80</v>
      </c>
      <c r="F177" t="s">
        <v>51</v>
      </c>
      <c r="G177" t="s">
        <v>1616</v>
      </c>
      <c r="H177" t="s">
        <v>1617</v>
      </c>
      <c r="I177" t="s">
        <v>1618</v>
      </c>
      <c r="J177" t="s">
        <v>1619</v>
      </c>
      <c r="K177" t="s">
        <v>1620</v>
      </c>
      <c r="L177" t="s">
        <v>1621</v>
      </c>
      <c r="M177" t="s">
        <v>1438</v>
      </c>
      <c r="N177" t="s">
        <v>89</v>
      </c>
      <c r="O177" t="s">
        <v>1439</v>
      </c>
      <c r="P177" t="s">
        <v>1622</v>
      </c>
      <c r="Q177" t="s">
        <v>1623</v>
      </c>
      <c r="R177" t="s">
        <v>1446</v>
      </c>
      <c r="S177" t="s">
        <v>93</v>
      </c>
      <c r="T177" t="s">
        <v>1247</v>
      </c>
      <c r="U177" t="s">
        <v>1438</v>
      </c>
      <c r="V177" t="s">
        <v>89</v>
      </c>
      <c r="W177" t="s">
        <v>1439</v>
      </c>
      <c r="X177" t="s">
        <v>1624</v>
      </c>
      <c r="Y177" t="s">
        <v>1625</v>
      </c>
      <c r="Z177" t="s">
        <v>1522</v>
      </c>
      <c r="AA177" t="s">
        <v>93</v>
      </c>
      <c r="AB177" t="s">
        <v>1412</v>
      </c>
      <c r="AC177" t="s">
        <v>1626</v>
      </c>
    </row>
    <row r="178" spans="1:29" hidden="1" x14ac:dyDescent="0.25">
      <c r="A178" t="s">
        <v>44</v>
      </c>
      <c r="B178" t="s">
        <v>814</v>
      </c>
      <c r="C178" t="s">
        <v>79</v>
      </c>
      <c r="D178" t="s">
        <v>898</v>
      </c>
      <c r="E178" t="s">
        <v>80</v>
      </c>
      <c r="F178" t="s">
        <v>52</v>
      </c>
      <c r="G178" t="s">
        <v>1627</v>
      </c>
      <c r="H178" t="s">
        <v>1628</v>
      </c>
      <c r="I178" t="s">
        <v>1629</v>
      </c>
      <c r="J178" t="s">
        <v>1630</v>
      </c>
      <c r="K178" t="s">
        <v>1598</v>
      </c>
      <c r="L178" t="s">
        <v>1631</v>
      </c>
      <c r="M178" t="s">
        <v>89</v>
      </c>
      <c r="N178" t="s">
        <v>89</v>
      </c>
      <c r="O178" t="s">
        <v>1439</v>
      </c>
      <c r="P178" t="s">
        <v>1632</v>
      </c>
      <c r="Q178" t="s">
        <v>1633</v>
      </c>
      <c r="R178" t="s">
        <v>1634</v>
      </c>
      <c r="S178" t="s">
        <v>93</v>
      </c>
      <c r="T178" t="s">
        <v>1235</v>
      </c>
      <c r="U178" t="s">
        <v>89</v>
      </c>
      <c r="V178" t="s">
        <v>89</v>
      </c>
      <c r="W178" t="s">
        <v>1439</v>
      </c>
      <c r="X178" t="s">
        <v>1635</v>
      </c>
      <c r="Y178" t="s">
        <v>1636</v>
      </c>
      <c r="Z178" t="s">
        <v>1504</v>
      </c>
      <c r="AA178" t="s">
        <v>93</v>
      </c>
      <c r="AB178" t="s">
        <v>1400</v>
      </c>
      <c r="AC178" t="s">
        <v>1637</v>
      </c>
    </row>
    <row r="179" spans="1:29" hidden="1" x14ac:dyDescent="0.25">
      <c r="A179" t="s">
        <v>44</v>
      </c>
      <c r="B179" t="s">
        <v>814</v>
      </c>
      <c r="C179" t="s">
        <v>79</v>
      </c>
      <c r="D179" t="s">
        <v>898</v>
      </c>
      <c r="E179" t="s">
        <v>80</v>
      </c>
      <c r="F179" t="s">
        <v>53</v>
      </c>
      <c r="G179" t="s">
        <v>1638</v>
      </c>
      <c r="H179" t="s">
        <v>1639</v>
      </c>
      <c r="I179" t="s">
        <v>1640</v>
      </c>
      <c r="J179" t="s">
        <v>1641</v>
      </c>
      <c r="K179" t="s">
        <v>1642</v>
      </c>
      <c r="L179" t="s">
        <v>1643</v>
      </c>
      <c r="M179" t="s">
        <v>1438</v>
      </c>
      <c r="N179" t="s">
        <v>89</v>
      </c>
      <c r="O179" t="s">
        <v>1439</v>
      </c>
      <c r="P179" t="s">
        <v>1644</v>
      </c>
      <c r="Q179" t="s">
        <v>1645</v>
      </c>
      <c r="R179" t="s">
        <v>1577</v>
      </c>
      <c r="S179" t="s">
        <v>93</v>
      </c>
      <c r="T179" t="s">
        <v>1578</v>
      </c>
      <c r="U179" t="s">
        <v>1438</v>
      </c>
      <c r="V179" t="s">
        <v>89</v>
      </c>
      <c r="W179" t="s">
        <v>1439</v>
      </c>
      <c r="X179" t="s">
        <v>1646</v>
      </c>
      <c r="Y179" t="s">
        <v>1647</v>
      </c>
      <c r="Z179" t="s">
        <v>1545</v>
      </c>
      <c r="AA179" t="s">
        <v>93</v>
      </c>
      <c r="AB179" t="s">
        <v>1311</v>
      </c>
      <c r="AC179" t="s">
        <v>1648</v>
      </c>
    </row>
    <row r="180" spans="1:29" hidden="1" x14ac:dyDescent="0.25">
      <c r="A180" t="s">
        <v>44</v>
      </c>
      <c r="B180" t="s">
        <v>814</v>
      </c>
      <c r="C180" t="s">
        <v>79</v>
      </c>
      <c r="D180" t="s">
        <v>898</v>
      </c>
      <c r="E180" t="s">
        <v>80</v>
      </c>
      <c r="F180" t="s">
        <v>54</v>
      </c>
      <c r="G180" t="s">
        <v>1649</v>
      </c>
      <c r="H180" t="s">
        <v>1650</v>
      </c>
      <c r="I180" t="s">
        <v>1435</v>
      </c>
      <c r="J180" t="s">
        <v>1501</v>
      </c>
      <c r="K180" t="s">
        <v>89</v>
      </c>
      <c r="L180" t="s">
        <v>1491</v>
      </c>
      <c r="M180" t="s">
        <v>1438</v>
      </c>
      <c r="N180" t="s">
        <v>89</v>
      </c>
      <c r="O180" t="s">
        <v>1443</v>
      </c>
      <c r="P180" t="s">
        <v>1510</v>
      </c>
      <c r="Q180" t="s">
        <v>1651</v>
      </c>
      <c r="R180" t="s">
        <v>1515</v>
      </c>
      <c r="S180" t="s">
        <v>93</v>
      </c>
      <c r="T180" t="s">
        <v>1240</v>
      </c>
      <c r="U180" t="s">
        <v>1438</v>
      </c>
      <c r="V180" t="s">
        <v>89</v>
      </c>
      <c r="W180" t="s">
        <v>1474</v>
      </c>
      <c r="X180" t="s">
        <v>1652</v>
      </c>
      <c r="Y180" t="s">
        <v>1653</v>
      </c>
      <c r="Z180" t="s">
        <v>1634</v>
      </c>
      <c r="AA180" t="s">
        <v>93</v>
      </c>
      <c r="AB180" t="s">
        <v>1235</v>
      </c>
      <c r="AC180" t="s">
        <v>1654</v>
      </c>
    </row>
    <row r="181" spans="1:29" hidden="1" x14ac:dyDescent="0.25">
      <c r="A181" t="s">
        <v>44</v>
      </c>
      <c r="B181" t="s">
        <v>814</v>
      </c>
      <c r="C181" t="s">
        <v>79</v>
      </c>
      <c r="D181" t="s">
        <v>898</v>
      </c>
      <c r="E181" t="s">
        <v>80</v>
      </c>
      <c r="F181" t="s">
        <v>55</v>
      </c>
      <c r="G181" t="s">
        <v>1655</v>
      </c>
      <c r="H181" t="s">
        <v>1656</v>
      </c>
      <c r="I181" t="s">
        <v>1657</v>
      </c>
      <c r="J181" t="s">
        <v>1619</v>
      </c>
      <c r="K181" t="s">
        <v>1620</v>
      </c>
      <c r="L181" t="s">
        <v>1658</v>
      </c>
      <c r="M181" t="s">
        <v>1438</v>
      </c>
      <c r="N181" t="s">
        <v>89</v>
      </c>
      <c r="O181" t="s">
        <v>1439</v>
      </c>
      <c r="P181" t="s">
        <v>1659</v>
      </c>
      <c r="Q181" t="s">
        <v>1660</v>
      </c>
      <c r="R181" t="s">
        <v>1442</v>
      </c>
      <c r="S181" t="s">
        <v>93</v>
      </c>
      <c r="T181" t="s">
        <v>1255</v>
      </c>
      <c r="U181" t="s">
        <v>89</v>
      </c>
      <c r="V181" t="s">
        <v>89</v>
      </c>
      <c r="W181" t="s">
        <v>1439</v>
      </c>
      <c r="X181" t="s">
        <v>1661</v>
      </c>
      <c r="Y181" t="s">
        <v>1662</v>
      </c>
      <c r="Z181" t="s">
        <v>1446</v>
      </c>
      <c r="AA181" t="s">
        <v>93</v>
      </c>
      <c r="AB181" t="s">
        <v>1247</v>
      </c>
      <c r="AC181" t="s">
        <v>1663</v>
      </c>
    </row>
    <row r="182" spans="1:29" hidden="1" x14ac:dyDescent="0.25">
      <c r="A182" t="s">
        <v>44</v>
      </c>
      <c r="B182" t="s">
        <v>814</v>
      </c>
      <c r="C182" t="s">
        <v>79</v>
      </c>
      <c r="D182" t="s">
        <v>898</v>
      </c>
      <c r="E182" t="s">
        <v>80</v>
      </c>
      <c r="F182" t="s">
        <v>56</v>
      </c>
      <c r="G182" t="s">
        <v>1664</v>
      </c>
      <c r="H182" t="s">
        <v>1665</v>
      </c>
      <c r="I182" t="s">
        <v>1666</v>
      </c>
      <c r="J182" t="s">
        <v>1667</v>
      </c>
      <c r="K182" t="s">
        <v>1598</v>
      </c>
      <c r="L182" t="s">
        <v>1658</v>
      </c>
      <c r="M182" t="s">
        <v>89</v>
      </c>
      <c r="N182" t="s">
        <v>89</v>
      </c>
      <c r="O182" t="s">
        <v>1439</v>
      </c>
      <c r="P182" t="s">
        <v>1668</v>
      </c>
      <c r="Q182" t="s">
        <v>1669</v>
      </c>
      <c r="R182" t="s">
        <v>1670</v>
      </c>
      <c r="S182" t="s">
        <v>93</v>
      </c>
      <c r="T182" t="s">
        <v>1671</v>
      </c>
      <c r="U182" t="s">
        <v>89</v>
      </c>
      <c r="V182" t="s">
        <v>89</v>
      </c>
      <c r="W182" t="s">
        <v>1439</v>
      </c>
      <c r="X182" t="s">
        <v>769</v>
      </c>
      <c r="Y182" t="s">
        <v>1672</v>
      </c>
      <c r="Z182" t="s">
        <v>1452</v>
      </c>
      <c r="AA182" t="s">
        <v>93</v>
      </c>
      <c r="AB182" t="s">
        <v>1453</v>
      </c>
      <c r="AC182" t="s">
        <v>1673</v>
      </c>
    </row>
    <row r="183" spans="1:29" hidden="1" x14ac:dyDescent="0.25">
      <c r="A183" t="s">
        <v>44</v>
      </c>
      <c r="B183" t="s">
        <v>897</v>
      </c>
      <c r="C183" t="s">
        <v>79</v>
      </c>
      <c r="D183" t="s">
        <v>666</v>
      </c>
      <c r="E183" t="s">
        <v>80</v>
      </c>
      <c r="F183" t="s">
        <v>45</v>
      </c>
      <c r="G183" t="s">
        <v>1674</v>
      </c>
      <c r="H183" t="s">
        <v>1675</v>
      </c>
      <c r="I183" t="s">
        <v>1676</v>
      </c>
      <c r="J183" t="s">
        <v>1677</v>
      </c>
      <c r="K183" t="s">
        <v>1678</v>
      </c>
      <c r="L183" t="s">
        <v>1555</v>
      </c>
      <c r="M183" t="s">
        <v>89</v>
      </c>
      <c r="N183" t="s">
        <v>1679</v>
      </c>
      <c r="O183" t="s">
        <v>89</v>
      </c>
      <c r="P183" t="s">
        <v>98</v>
      </c>
      <c r="Q183" t="s">
        <v>1680</v>
      </c>
      <c r="R183" t="s">
        <v>1577</v>
      </c>
      <c r="S183" t="s">
        <v>93</v>
      </c>
      <c r="T183" t="s">
        <v>1578</v>
      </c>
      <c r="U183" t="s">
        <v>89</v>
      </c>
      <c r="V183" t="s">
        <v>1679</v>
      </c>
      <c r="W183" t="s">
        <v>89</v>
      </c>
      <c r="X183" t="s">
        <v>98</v>
      </c>
      <c r="Y183" t="s">
        <v>1681</v>
      </c>
      <c r="Z183" t="s">
        <v>1545</v>
      </c>
      <c r="AA183" t="s">
        <v>93</v>
      </c>
      <c r="AB183" t="s">
        <v>1311</v>
      </c>
      <c r="AC183" t="s">
        <v>1682</v>
      </c>
    </row>
    <row r="184" spans="1:29" hidden="1" x14ac:dyDescent="0.25">
      <c r="A184" t="s">
        <v>44</v>
      </c>
      <c r="B184" t="s">
        <v>897</v>
      </c>
      <c r="C184" t="s">
        <v>79</v>
      </c>
      <c r="D184" t="s">
        <v>666</v>
      </c>
      <c r="E184" t="s">
        <v>80</v>
      </c>
      <c r="F184" t="s">
        <v>46</v>
      </c>
      <c r="G184" t="s">
        <v>1683</v>
      </c>
      <c r="H184" t="s">
        <v>1684</v>
      </c>
      <c r="I184" t="s">
        <v>1685</v>
      </c>
      <c r="J184" t="s">
        <v>1686</v>
      </c>
      <c r="K184" t="s">
        <v>1642</v>
      </c>
      <c r="L184" t="s">
        <v>1621</v>
      </c>
      <c r="M184" t="s">
        <v>89</v>
      </c>
      <c r="N184" t="s">
        <v>1679</v>
      </c>
      <c r="O184" t="s">
        <v>89</v>
      </c>
      <c r="P184" t="s">
        <v>98</v>
      </c>
      <c r="Q184" t="s">
        <v>1687</v>
      </c>
      <c r="R184" t="s">
        <v>1588</v>
      </c>
      <c r="S184" t="s">
        <v>93</v>
      </c>
      <c r="T184" t="s">
        <v>1301</v>
      </c>
      <c r="U184" t="s">
        <v>89</v>
      </c>
      <c r="V184" t="s">
        <v>1679</v>
      </c>
      <c r="W184" t="s">
        <v>89</v>
      </c>
      <c r="X184" t="s">
        <v>98</v>
      </c>
      <c r="Y184" t="s">
        <v>1688</v>
      </c>
      <c r="Z184" t="s">
        <v>1591</v>
      </c>
      <c r="AA184" t="s">
        <v>93</v>
      </c>
      <c r="AB184" t="s">
        <v>1592</v>
      </c>
      <c r="AC184" t="s">
        <v>1689</v>
      </c>
    </row>
    <row r="185" spans="1:29" hidden="1" x14ac:dyDescent="0.25">
      <c r="A185" t="s">
        <v>44</v>
      </c>
      <c r="B185" t="s">
        <v>897</v>
      </c>
      <c r="C185" t="s">
        <v>79</v>
      </c>
      <c r="D185" t="s">
        <v>666</v>
      </c>
      <c r="E185" t="s">
        <v>80</v>
      </c>
      <c r="F185" t="s">
        <v>47</v>
      </c>
      <c r="G185" t="s">
        <v>1690</v>
      </c>
      <c r="H185" t="s">
        <v>1691</v>
      </c>
      <c r="I185" t="s">
        <v>1692</v>
      </c>
      <c r="J185" t="s">
        <v>1501</v>
      </c>
      <c r="K185" t="s">
        <v>89</v>
      </c>
      <c r="L185" t="s">
        <v>1564</v>
      </c>
      <c r="M185" t="s">
        <v>1438</v>
      </c>
      <c r="N185" t="s">
        <v>89</v>
      </c>
      <c r="O185" t="s">
        <v>89</v>
      </c>
      <c r="P185" t="s">
        <v>98</v>
      </c>
      <c r="Q185" t="s">
        <v>1693</v>
      </c>
      <c r="R185" t="s">
        <v>1670</v>
      </c>
      <c r="S185" t="s">
        <v>93</v>
      </c>
      <c r="T185" t="s">
        <v>1671</v>
      </c>
      <c r="U185" t="s">
        <v>89</v>
      </c>
      <c r="V185" t="s">
        <v>89</v>
      </c>
      <c r="W185" t="s">
        <v>89</v>
      </c>
      <c r="X185" t="s">
        <v>98</v>
      </c>
      <c r="Y185" t="s">
        <v>1694</v>
      </c>
      <c r="Z185" t="s">
        <v>1452</v>
      </c>
      <c r="AA185" t="s">
        <v>93</v>
      </c>
      <c r="AB185" t="s">
        <v>1453</v>
      </c>
      <c r="AC185" t="s">
        <v>1695</v>
      </c>
    </row>
    <row r="186" spans="1:29" hidden="1" x14ac:dyDescent="0.25">
      <c r="A186" t="s">
        <v>44</v>
      </c>
      <c r="B186" t="s">
        <v>897</v>
      </c>
      <c r="C186" t="s">
        <v>79</v>
      </c>
      <c r="D186" t="s">
        <v>666</v>
      </c>
      <c r="E186" t="s">
        <v>80</v>
      </c>
      <c r="F186" t="s">
        <v>48</v>
      </c>
      <c r="G186" t="s">
        <v>1696</v>
      </c>
      <c r="H186" t="s">
        <v>1697</v>
      </c>
      <c r="I186" t="s">
        <v>1698</v>
      </c>
      <c r="J186" t="s">
        <v>1686</v>
      </c>
      <c r="K186" t="s">
        <v>1554</v>
      </c>
      <c r="L186" t="s">
        <v>1699</v>
      </c>
      <c r="M186" t="s">
        <v>1438</v>
      </c>
      <c r="N186" t="s">
        <v>89</v>
      </c>
      <c r="O186" t="s">
        <v>1484</v>
      </c>
      <c r="P186" t="s">
        <v>89</v>
      </c>
      <c r="Q186" t="s">
        <v>1700</v>
      </c>
      <c r="R186" t="s">
        <v>1701</v>
      </c>
      <c r="S186" t="s">
        <v>93</v>
      </c>
      <c r="T186" t="s">
        <v>1702</v>
      </c>
      <c r="U186" t="s">
        <v>1438</v>
      </c>
      <c r="V186" t="s">
        <v>89</v>
      </c>
      <c r="W186" t="s">
        <v>1484</v>
      </c>
      <c r="X186" t="s">
        <v>89</v>
      </c>
      <c r="Y186" t="s">
        <v>1703</v>
      </c>
      <c r="Z186" t="s">
        <v>1704</v>
      </c>
      <c r="AA186" t="s">
        <v>93</v>
      </c>
      <c r="AB186" t="s">
        <v>1705</v>
      </c>
      <c r="AC186" t="s">
        <v>1706</v>
      </c>
    </row>
    <row r="187" spans="1:29" hidden="1" x14ac:dyDescent="0.25">
      <c r="A187" t="s">
        <v>44</v>
      </c>
      <c r="B187" t="s">
        <v>897</v>
      </c>
      <c r="C187" t="s">
        <v>79</v>
      </c>
      <c r="D187" t="s">
        <v>666</v>
      </c>
      <c r="E187" t="s">
        <v>80</v>
      </c>
      <c r="F187" t="s">
        <v>49</v>
      </c>
      <c r="G187" t="s">
        <v>1707</v>
      </c>
      <c r="H187" t="s">
        <v>1708</v>
      </c>
      <c r="I187" t="s">
        <v>1709</v>
      </c>
      <c r="J187" t="s">
        <v>1710</v>
      </c>
      <c r="K187" t="s">
        <v>1554</v>
      </c>
      <c r="L187" t="s">
        <v>1555</v>
      </c>
      <c r="M187" t="s">
        <v>1438</v>
      </c>
      <c r="N187" t="s">
        <v>1711</v>
      </c>
      <c r="O187" t="s">
        <v>89</v>
      </c>
      <c r="P187" t="s">
        <v>1712</v>
      </c>
      <c r="Q187" t="s">
        <v>1713</v>
      </c>
      <c r="R187" t="s">
        <v>1604</v>
      </c>
      <c r="S187" t="s">
        <v>93</v>
      </c>
      <c r="T187" t="s">
        <v>657</v>
      </c>
      <c r="U187" t="s">
        <v>1438</v>
      </c>
      <c r="V187" t="s">
        <v>1714</v>
      </c>
      <c r="W187" t="s">
        <v>89</v>
      </c>
      <c r="X187" t="s">
        <v>1715</v>
      </c>
      <c r="Y187" t="s">
        <v>1716</v>
      </c>
      <c r="Z187" t="s">
        <v>1717</v>
      </c>
      <c r="AA187" t="s">
        <v>93</v>
      </c>
      <c r="AB187" t="s">
        <v>621</v>
      </c>
      <c r="AC187" t="s">
        <v>1718</v>
      </c>
    </row>
    <row r="188" spans="1:29" hidden="1" x14ac:dyDescent="0.25">
      <c r="A188" t="s">
        <v>44</v>
      </c>
      <c r="B188" t="s">
        <v>897</v>
      </c>
      <c r="C188" t="s">
        <v>79</v>
      </c>
      <c r="D188" t="s">
        <v>666</v>
      </c>
      <c r="E188" t="s">
        <v>80</v>
      </c>
      <c r="F188" t="s">
        <v>50</v>
      </c>
      <c r="G188" t="s">
        <v>1719</v>
      </c>
      <c r="H188" t="s">
        <v>1720</v>
      </c>
      <c r="I188" t="s">
        <v>1721</v>
      </c>
      <c r="J188" t="s">
        <v>1722</v>
      </c>
      <c r="K188" t="s">
        <v>1574</v>
      </c>
      <c r="L188" t="s">
        <v>1610</v>
      </c>
      <c r="M188" t="s">
        <v>1438</v>
      </c>
      <c r="N188" t="s">
        <v>1679</v>
      </c>
      <c r="O188" t="s">
        <v>89</v>
      </c>
      <c r="P188" t="s">
        <v>1723</v>
      </c>
      <c r="Q188" t="s">
        <v>1724</v>
      </c>
      <c r="R188" t="s">
        <v>1512</v>
      </c>
      <c r="S188" t="s">
        <v>93</v>
      </c>
      <c r="T188" t="s">
        <v>1231</v>
      </c>
      <c r="U188" t="s">
        <v>1438</v>
      </c>
      <c r="V188" t="s">
        <v>1714</v>
      </c>
      <c r="W188" t="s">
        <v>89</v>
      </c>
      <c r="X188" t="s">
        <v>1725</v>
      </c>
      <c r="Y188" t="s">
        <v>1726</v>
      </c>
      <c r="Z188" t="s">
        <v>1515</v>
      </c>
      <c r="AA188" t="s">
        <v>93</v>
      </c>
      <c r="AB188" t="s">
        <v>1240</v>
      </c>
      <c r="AC188" t="s">
        <v>1727</v>
      </c>
    </row>
    <row r="189" spans="1:29" hidden="1" x14ac:dyDescent="0.25">
      <c r="A189" t="s">
        <v>44</v>
      </c>
      <c r="B189" t="s">
        <v>897</v>
      </c>
      <c r="C189" t="s">
        <v>79</v>
      </c>
      <c r="D189" t="s">
        <v>666</v>
      </c>
      <c r="E189" t="s">
        <v>80</v>
      </c>
      <c r="F189" t="s">
        <v>51</v>
      </c>
      <c r="G189" t="s">
        <v>1728</v>
      </c>
      <c r="H189" t="s">
        <v>1729</v>
      </c>
      <c r="I189" t="s">
        <v>1730</v>
      </c>
      <c r="J189" t="s">
        <v>1731</v>
      </c>
      <c r="K189" t="s">
        <v>1598</v>
      </c>
      <c r="L189" t="s">
        <v>1643</v>
      </c>
      <c r="M189" t="s">
        <v>89</v>
      </c>
      <c r="N189" t="s">
        <v>89</v>
      </c>
      <c r="O189" t="s">
        <v>89</v>
      </c>
      <c r="P189" t="s">
        <v>1732</v>
      </c>
      <c r="Q189" t="s">
        <v>1733</v>
      </c>
      <c r="R189" t="s">
        <v>1462</v>
      </c>
      <c r="S189" t="s">
        <v>93</v>
      </c>
      <c r="T189" t="s">
        <v>1303</v>
      </c>
      <c r="U189" t="s">
        <v>89</v>
      </c>
      <c r="V189" t="s">
        <v>1679</v>
      </c>
      <c r="W189" t="s">
        <v>89</v>
      </c>
      <c r="X189" t="s">
        <v>1734</v>
      </c>
      <c r="Y189" t="s">
        <v>1735</v>
      </c>
      <c r="Z189" t="s">
        <v>1466</v>
      </c>
      <c r="AA189" t="s">
        <v>93</v>
      </c>
      <c r="AB189" t="s">
        <v>1222</v>
      </c>
      <c r="AC189" t="s">
        <v>1736</v>
      </c>
    </row>
    <row r="190" spans="1:29" hidden="1" x14ac:dyDescent="0.25">
      <c r="A190" t="s">
        <v>44</v>
      </c>
      <c r="B190" t="s">
        <v>897</v>
      </c>
      <c r="C190" t="s">
        <v>79</v>
      </c>
      <c r="D190" t="s">
        <v>666</v>
      </c>
      <c r="E190" t="s">
        <v>80</v>
      </c>
      <c r="F190" t="s">
        <v>52</v>
      </c>
      <c r="G190" t="s">
        <v>1737</v>
      </c>
      <c r="H190" t="s">
        <v>1738</v>
      </c>
      <c r="I190" t="s">
        <v>1739</v>
      </c>
      <c r="J190" t="s">
        <v>1740</v>
      </c>
      <c r="K190" t="s">
        <v>1620</v>
      </c>
      <c r="L190" t="s">
        <v>1585</v>
      </c>
      <c r="M190" t="s">
        <v>89</v>
      </c>
      <c r="N190" t="s">
        <v>1679</v>
      </c>
      <c r="O190" t="s">
        <v>89</v>
      </c>
      <c r="P190" t="s">
        <v>98</v>
      </c>
      <c r="Q190" t="s">
        <v>1741</v>
      </c>
      <c r="R190" t="s">
        <v>1507</v>
      </c>
      <c r="S190" t="s">
        <v>93</v>
      </c>
      <c r="T190" t="s">
        <v>1337</v>
      </c>
      <c r="U190" t="s">
        <v>89</v>
      </c>
      <c r="V190" t="s">
        <v>1679</v>
      </c>
      <c r="W190" t="s">
        <v>89</v>
      </c>
      <c r="X190" t="s">
        <v>98</v>
      </c>
      <c r="Y190" t="s">
        <v>1742</v>
      </c>
      <c r="Z190" t="s">
        <v>1442</v>
      </c>
      <c r="AA190" t="s">
        <v>93</v>
      </c>
      <c r="AB190" t="s">
        <v>1255</v>
      </c>
      <c r="AC190" t="s">
        <v>1743</v>
      </c>
    </row>
    <row r="191" spans="1:29" hidden="1" x14ac:dyDescent="0.25">
      <c r="A191" t="s">
        <v>44</v>
      </c>
      <c r="B191" t="s">
        <v>897</v>
      </c>
      <c r="C191" t="s">
        <v>79</v>
      </c>
      <c r="D191" t="s">
        <v>666</v>
      </c>
      <c r="E191" t="s">
        <v>80</v>
      </c>
      <c r="F191" t="s">
        <v>53</v>
      </c>
      <c r="G191" t="s">
        <v>1744</v>
      </c>
      <c r="H191" t="s">
        <v>1745</v>
      </c>
      <c r="I191" t="s">
        <v>1746</v>
      </c>
      <c r="J191" t="s">
        <v>1710</v>
      </c>
      <c r="K191" t="s">
        <v>1598</v>
      </c>
      <c r="L191" t="s">
        <v>1631</v>
      </c>
      <c r="M191" t="s">
        <v>89</v>
      </c>
      <c r="N191" t="s">
        <v>1679</v>
      </c>
      <c r="O191" t="s">
        <v>89</v>
      </c>
      <c r="P191" t="s">
        <v>98</v>
      </c>
      <c r="Q191" t="s">
        <v>1747</v>
      </c>
      <c r="R191" t="s">
        <v>1548</v>
      </c>
      <c r="S191" t="s">
        <v>93</v>
      </c>
      <c r="T191" t="s">
        <v>1397</v>
      </c>
      <c r="U191" t="s">
        <v>89</v>
      </c>
      <c r="V191" t="s">
        <v>1714</v>
      </c>
      <c r="W191" t="s">
        <v>89</v>
      </c>
      <c r="X191" t="s">
        <v>98</v>
      </c>
      <c r="Y191" t="s">
        <v>1748</v>
      </c>
      <c r="Z191" t="s">
        <v>1670</v>
      </c>
      <c r="AA191" t="s">
        <v>93</v>
      </c>
      <c r="AB191" t="s">
        <v>1671</v>
      </c>
      <c r="AC191" t="s">
        <v>1749</v>
      </c>
    </row>
    <row r="192" spans="1:29" hidden="1" x14ac:dyDescent="0.25">
      <c r="A192" t="s">
        <v>44</v>
      </c>
      <c r="B192" t="s">
        <v>897</v>
      </c>
      <c r="C192" t="s">
        <v>79</v>
      </c>
      <c r="D192" t="s">
        <v>666</v>
      </c>
      <c r="E192" t="s">
        <v>80</v>
      </c>
      <c r="F192" t="s">
        <v>54</v>
      </c>
      <c r="G192" t="s">
        <v>1750</v>
      </c>
      <c r="H192" t="s">
        <v>1751</v>
      </c>
      <c r="I192" t="s">
        <v>1752</v>
      </c>
      <c r="J192" t="s">
        <v>1563</v>
      </c>
      <c r="K192" t="s">
        <v>1598</v>
      </c>
      <c r="L192" t="s">
        <v>1491</v>
      </c>
      <c r="M192" t="s">
        <v>1438</v>
      </c>
      <c r="N192" t="s">
        <v>1711</v>
      </c>
      <c r="O192" t="s">
        <v>89</v>
      </c>
      <c r="P192" t="s">
        <v>1753</v>
      </c>
      <c r="Q192" t="s">
        <v>1754</v>
      </c>
      <c r="R192" t="s">
        <v>1504</v>
      </c>
      <c r="S192" t="s">
        <v>93</v>
      </c>
      <c r="T192" t="s">
        <v>1400</v>
      </c>
      <c r="U192" t="s">
        <v>1438</v>
      </c>
      <c r="V192" t="s">
        <v>1714</v>
      </c>
      <c r="W192" t="s">
        <v>89</v>
      </c>
      <c r="X192" t="s">
        <v>1755</v>
      </c>
      <c r="Y192" t="s">
        <v>1756</v>
      </c>
      <c r="Z192" t="s">
        <v>1507</v>
      </c>
      <c r="AA192" t="s">
        <v>93</v>
      </c>
      <c r="AB192" t="s">
        <v>1337</v>
      </c>
      <c r="AC192" t="s">
        <v>1757</v>
      </c>
    </row>
    <row r="193" spans="1:29" hidden="1" x14ac:dyDescent="0.25">
      <c r="A193" t="s">
        <v>44</v>
      </c>
      <c r="B193" t="s">
        <v>897</v>
      </c>
      <c r="C193" t="s">
        <v>79</v>
      </c>
      <c r="D193" t="s">
        <v>666</v>
      </c>
      <c r="E193" t="s">
        <v>80</v>
      </c>
      <c r="F193" t="s">
        <v>55</v>
      </c>
      <c r="G193" t="s">
        <v>1758</v>
      </c>
      <c r="H193" t="s">
        <v>1759</v>
      </c>
      <c r="I193" t="s">
        <v>1760</v>
      </c>
      <c r="J193" t="s">
        <v>1761</v>
      </c>
      <c r="K193" t="s">
        <v>1620</v>
      </c>
      <c r="L193" t="s">
        <v>1762</v>
      </c>
      <c r="M193" t="s">
        <v>89</v>
      </c>
      <c r="N193" t="s">
        <v>1679</v>
      </c>
      <c r="O193" t="s">
        <v>89</v>
      </c>
      <c r="P193" t="s">
        <v>98</v>
      </c>
      <c r="Q193" t="s">
        <v>1763</v>
      </c>
      <c r="R193" t="s">
        <v>1522</v>
      </c>
      <c r="S193" t="s">
        <v>93</v>
      </c>
      <c r="T193" t="s">
        <v>1412</v>
      </c>
      <c r="U193" t="s">
        <v>89</v>
      </c>
      <c r="V193" t="s">
        <v>1679</v>
      </c>
      <c r="W193" t="s">
        <v>89</v>
      </c>
      <c r="X193" t="s">
        <v>98</v>
      </c>
      <c r="Y193" t="s">
        <v>1764</v>
      </c>
      <c r="Z193" t="s">
        <v>1462</v>
      </c>
      <c r="AA193" t="s">
        <v>93</v>
      </c>
      <c r="AB193" t="s">
        <v>1303</v>
      </c>
      <c r="AC193" t="s">
        <v>1765</v>
      </c>
    </row>
    <row r="194" spans="1:29" hidden="1" x14ac:dyDescent="0.25">
      <c r="A194" t="s">
        <v>44</v>
      </c>
      <c r="B194" t="s">
        <v>897</v>
      </c>
      <c r="C194" t="s">
        <v>79</v>
      </c>
      <c r="D194" t="s">
        <v>666</v>
      </c>
      <c r="E194" t="s">
        <v>80</v>
      </c>
      <c r="F194" t="s">
        <v>56</v>
      </c>
      <c r="G194" t="s">
        <v>1766</v>
      </c>
      <c r="H194" t="s">
        <v>1767</v>
      </c>
      <c r="I194" t="s">
        <v>1768</v>
      </c>
      <c r="J194" t="s">
        <v>1769</v>
      </c>
      <c r="K194" t="s">
        <v>1642</v>
      </c>
      <c r="L194" t="s">
        <v>1699</v>
      </c>
      <c r="M194" t="s">
        <v>89</v>
      </c>
      <c r="N194" t="s">
        <v>1714</v>
      </c>
      <c r="O194" t="s">
        <v>89</v>
      </c>
      <c r="P194" t="s">
        <v>98</v>
      </c>
      <c r="Q194" t="s">
        <v>1770</v>
      </c>
      <c r="R194" t="s">
        <v>1472</v>
      </c>
      <c r="S194" t="s">
        <v>93</v>
      </c>
      <c r="T194" t="s">
        <v>1473</v>
      </c>
      <c r="U194" t="s">
        <v>89</v>
      </c>
      <c r="V194" t="s">
        <v>1679</v>
      </c>
      <c r="W194" t="s">
        <v>89</v>
      </c>
      <c r="X194" t="s">
        <v>98</v>
      </c>
      <c r="Y194" t="s">
        <v>1771</v>
      </c>
      <c r="Z194" t="s">
        <v>1477</v>
      </c>
      <c r="AA194" t="s">
        <v>93</v>
      </c>
      <c r="AB194" t="s">
        <v>1309</v>
      </c>
      <c r="AC194" t="s">
        <v>1772</v>
      </c>
    </row>
    <row r="195" spans="1:29" hidden="1" x14ac:dyDescent="0.25">
      <c r="A195" t="s">
        <v>44</v>
      </c>
      <c r="B195" t="s">
        <v>273</v>
      </c>
      <c r="C195" t="s">
        <v>79</v>
      </c>
      <c r="D195" t="s">
        <v>274</v>
      </c>
      <c r="E195" t="s">
        <v>80</v>
      </c>
      <c r="F195" t="s">
        <v>45</v>
      </c>
      <c r="G195" t="s">
        <v>1773</v>
      </c>
      <c r="H195" t="s">
        <v>1774</v>
      </c>
      <c r="I195" t="s">
        <v>1435</v>
      </c>
      <c r="J195" t="s">
        <v>1450</v>
      </c>
      <c r="K195" t="s">
        <v>89</v>
      </c>
      <c r="L195" t="s">
        <v>1437</v>
      </c>
      <c r="M195" t="s">
        <v>1463</v>
      </c>
      <c r="N195" t="s">
        <v>89</v>
      </c>
      <c r="O195" t="s">
        <v>1775</v>
      </c>
      <c r="P195" t="s">
        <v>706</v>
      </c>
      <c r="Q195" t="s">
        <v>1776</v>
      </c>
      <c r="R195" t="s">
        <v>1504</v>
      </c>
      <c r="S195" t="s">
        <v>93</v>
      </c>
      <c r="T195" t="s">
        <v>1400</v>
      </c>
      <c r="U195" t="s">
        <v>1438</v>
      </c>
      <c r="V195" t="s">
        <v>89</v>
      </c>
      <c r="W195" t="s">
        <v>1443</v>
      </c>
      <c r="X195" t="s">
        <v>1777</v>
      </c>
      <c r="Y195" t="s">
        <v>1778</v>
      </c>
      <c r="Z195" t="s">
        <v>1507</v>
      </c>
      <c r="AA195" t="s">
        <v>93</v>
      </c>
      <c r="AB195" t="s">
        <v>1337</v>
      </c>
      <c r="AC195" t="s">
        <v>1779</v>
      </c>
    </row>
    <row r="196" spans="1:29" hidden="1" x14ac:dyDescent="0.25">
      <c r="A196" t="s">
        <v>44</v>
      </c>
      <c r="B196" t="s">
        <v>273</v>
      </c>
      <c r="C196" t="s">
        <v>79</v>
      </c>
      <c r="D196" t="s">
        <v>274</v>
      </c>
      <c r="E196" t="s">
        <v>80</v>
      </c>
      <c r="F196" t="s">
        <v>46</v>
      </c>
      <c r="G196" t="s">
        <v>1780</v>
      </c>
      <c r="H196" t="s">
        <v>1781</v>
      </c>
      <c r="I196" t="s">
        <v>1435</v>
      </c>
      <c r="J196" t="s">
        <v>1450</v>
      </c>
      <c r="K196" t="s">
        <v>89</v>
      </c>
      <c r="L196" t="s">
        <v>1437</v>
      </c>
      <c r="M196" t="s">
        <v>1438</v>
      </c>
      <c r="N196" t="s">
        <v>89</v>
      </c>
      <c r="O196" t="s">
        <v>1443</v>
      </c>
      <c r="P196" t="s">
        <v>1782</v>
      </c>
      <c r="Q196" t="s">
        <v>1783</v>
      </c>
      <c r="R196" t="s">
        <v>1577</v>
      </c>
      <c r="S196" t="s">
        <v>93</v>
      </c>
      <c r="T196" t="s">
        <v>1578</v>
      </c>
      <c r="U196" t="s">
        <v>1438</v>
      </c>
      <c r="V196" t="s">
        <v>89</v>
      </c>
      <c r="W196" t="s">
        <v>1443</v>
      </c>
      <c r="X196" t="s">
        <v>1784</v>
      </c>
      <c r="Y196" t="s">
        <v>1785</v>
      </c>
      <c r="Z196" t="s">
        <v>1545</v>
      </c>
      <c r="AA196" t="s">
        <v>93</v>
      </c>
      <c r="AB196" t="s">
        <v>1311</v>
      </c>
      <c r="AC196" t="s">
        <v>1786</v>
      </c>
    </row>
    <row r="197" spans="1:29" hidden="1" x14ac:dyDescent="0.25">
      <c r="A197" t="s">
        <v>44</v>
      </c>
      <c r="B197" t="s">
        <v>273</v>
      </c>
      <c r="C197" t="s">
        <v>79</v>
      </c>
      <c r="D197" t="s">
        <v>274</v>
      </c>
      <c r="E197" t="s">
        <v>80</v>
      </c>
      <c r="F197" t="s">
        <v>47</v>
      </c>
      <c r="G197" t="s">
        <v>1787</v>
      </c>
      <c r="H197" t="s">
        <v>1788</v>
      </c>
      <c r="I197" t="s">
        <v>1435</v>
      </c>
      <c r="J197" t="s">
        <v>1519</v>
      </c>
      <c r="K197" t="s">
        <v>89</v>
      </c>
      <c r="L197" t="s">
        <v>1437</v>
      </c>
      <c r="M197" t="s">
        <v>1438</v>
      </c>
      <c r="N197" t="s">
        <v>89</v>
      </c>
      <c r="O197" t="s">
        <v>1439</v>
      </c>
      <c r="P197" t="s">
        <v>1789</v>
      </c>
      <c r="Q197" t="s">
        <v>1790</v>
      </c>
      <c r="R197" t="s">
        <v>1442</v>
      </c>
      <c r="S197" t="s">
        <v>93</v>
      </c>
      <c r="T197" t="s">
        <v>1255</v>
      </c>
      <c r="U197" t="s">
        <v>1438</v>
      </c>
      <c r="V197" t="s">
        <v>89</v>
      </c>
      <c r="W197" t="s">
        <v>1443</v>
      </c>
      <c r="X197" t="s">
        <v>1791</v>
      </c>
      <c r="Y197" t="s">
        <v>1792</v>
      </c>
      <c r="Z197" t="s">
        <v>1446</v>
      </c>
      <c r="AA197" t="s">
        <v>93</v>
      </c>
      <c r="AB197" t="s">
        <v>1247</v>
      </c>
      <c r="AC197" t="s">
        <v>1793</v>
      </c>
    </row>
    <row r="198" spans="1:29" hidden="1" x14ac:dyDescent="0.25">
      <c r="A198" t="s">
        <v>44</v>
      </c>
      <c r="B198" t="s">
        <v>273</v>
      </c>
      <c r="C198" t="s">
        <v>79</v>
      </c>
      <c r="D198" t="s">
        <v>274</v>
      </c>
      <c r="E198" t="s">
        <v>80</v>
      </c>
      <c r="F198" t="s">
        <v>48</v>
      </c>
      <c r="G198" t="s">
        <v>1794</v>
      </c>
      <c r="H198" t="s">
        <v>1795</v>
      </c>
      <c r="I198" t="s">
        <v>1435</v>
      </c>
      <c r="J198" t="s">
        <v>1450</v>
      </c>
      <c r="K198" t="s">
        <v>89</v>
      </c>
      <c r="L198" t="s">
        <v>1437</v>
      </c>
      <c r="M198" t="s">
        <v>1438</v>
      </c>
      <c r="N198" t="s">
        <v>89</v>
      </c>
      <c r="O198" t="s">
        <v>1443</v>
      </c>
      <c r="P198" t="s">
        <v>1796</v>
      </c>
      <c r="Q198" t="s">
        <v>1797</v>
      </c>
      <c r="R198" t="s">
        <v>1670</v>
      </c>
      <c r="S198" t="s">
        <v>93</v>
      </c>
      <c r="T198" t="s">
        <v>1671</v>
      </c>
      <c r="U198" t="s">
        <v>1438</v>
      </c>
      <c r="V198" t="s">
        <v>89</v>
      </c>
      <c r="W198" t="s">
        <v>1443</v>
      </c>
      <c r="X198" t="s">
        <v>1798</v>
      </c>
      <c r="Y198" t="s">
        <v>1799</v>
      </c>
      <c r="Z198" t="s">
        <v>1452</v>
      </c>
      <c r="AA198" t="s">
        <v>93</v>
      </c>
      <c r="AB198" t="s">
        <v>1453</v>
      </c>
      <c r="AC198" t="s">
        <v>1800</v>
      </c>
    </row>
    <row r="199" spans="1:29" hidden="1" x14ac:dyDescent="0.25">
      <c r="A199" t="s">
        <v>44</v>
      </c>
      <c r="B199" t="s">
        <v>273</v>
      </c>
      <c r="C199" t="s">
        <v>79</v>
      </c>
      <c r="D199" t="s">
        <v>274</v>
      </c>
      <c r="E199" t="s">
        <v>80</v>
      </c>
      <c r="F199" t="s">
        <v>49</v>
      </c>
      <c r="G199" t="s">
        <v>1470</v>
      </c>
      <c r="H199" t="s">
        <v>1801</v>
      </c>
      <c r="I199" t="s">
        <v>1435</v>
      </c>
      <c r="J199" t="s">
        <v>1450</v>
      </c>
      <c r="K199" t="s">
        <v>89</v>
      </c>
      <c r="L199" t="s">
        <v>1437</v>
      </c>
      <c r="M199" t="s">
        <v>1438</v>
      </c>
      <c r="N199" t="s">
        <v>89</v>
      </c>
      <c r="O199" t="s">
        <v>1443</v>
      </c>
      <c r="P199" t="s">
        <v>1802</v>
      </c>
      <c r="Q199" t="s">
        <v>1803</v>
      </c>
      <c r="R199" t="s">
        <v>1798</v>
      </c>
      <c r="S199" t="s">
        <v>93</v>
      </c>
      <c r="T199" t="s">
        <v>1804</v>
      </c>
      <c r="U199" t="s">
        <v>1438</v>
      </c>
      <c r="V199" t="s">
        <v>89</v>
      </c>
      <c r="W199" t="s">
        <v>1443</v>
      </c>
      <c r="X199" t="s">
        <v>1805</v>
      </c>
      <c r="Y199" t="s">
        <v>1806</v>
      </c>
      <c r="Z199" t="s">
        <v>305</v>
      </c>
      <c r="AA199" t="s">
        <v>93</v>
      </c>
      <c r="AB199" t="s">
        <v>1483</v>
      </c>
      <c r="AC199" t="s">
        <v>1807</v>
      </c>
    </row>
    <row r="200" spans="1:29" hidden="1" x14ac:dyDescent="0.25">
      <c r="A200" t="s">
        <v>44</v>
      </c>
      <c r="B200" t="s">
        <v>273</v>
      </c>
      <c r="C200" t="s">
        <v>79</v>
      </c>
      <c r="D200" t="s">
        <v>274</v>
      </c>
      <c r="E200" t="s">
        <v>80</v>
      </c>
      <c r="F200" t="s">
        <v>50</v>
      </c>
      <c r="G200" t="s">
        <v>1808</v>
      </c>
      <c r="H200" t="s">
        <v>1809</v>
      </c>
      <c r="I200" t="s">
        <v>1435</v>
      </c>
      <c r="J200" t="s">
        <v>1450</v>
      </c>
      <c r="K200" t="s">
        <v>89</v>
      </c>
      <c r="L200" t="s">
        <v>1437</v>
      </c>
      <c r="M200" t="s">
        <v>1438</v>
      </c>
      <c r="N200" t="s">
        <v>89</v>
      </c>
      <c r="O200" t="s">
        <v>1443</v>
      </c>
      <c r="P200" t="s">
        <v>1810</v>
      </c>
      <c r="Q200" t="s">
        <v>1811</v>
      </c>
      <c r="R200" t="s">
        <v>1812</v>
      </c>
      <c r="S200" t="s">
        <v>93</v>
      </c>
      <c r="T200" t="s">
        <v>626</v>
      </c>
      <c r="U200" t="s">
        <v>1438</v>
      </c>
      <c r="V200" t="s">
        <v>89</v>
      </c>
      <c r="W200" t="s">
        <v>1484</v>
      </c>
      <c r="X200" t="s">
        <v>1813</v>
      </c>
      <c r="Y200" t="s">
        <v>1814</v>
      </c>
      <c r="Z200" t="s">
        <v>1815</v>
      </c>
      <c r="AA200" t="s">
        <v>93</v>
      </c>
      <c r="AB200" t="s">
        <v>635</v>
      </c>
      <c r="AC200" t="s">
        <v>1816</v>
      </c>
    </row>
    <row r="201" spans="1:29" hidden="1" x14ac:dyDescent="0.25">
      <c r="A201" t="s">
        <v>44</v>
      </c>
      <c r="B201" t="s">
        <v>273</v>
      </c>
      <c r="C201" t="s">
        <v>79</v>
      </c>
      <c r="D201" t="s">
        <v>274</v>
      </c>
      <c r="E201" t="s">
        <v>80</v>
      </c>
      <c r="F201" t="s">
        <v>51</v>
      </c>
      <c r="G201" t="s">
        <v>1817</v>
      </c>
      <c r="H201" t="s">
        <v>1818</v>
      </c>
      <c r="I201" t="s">
        <v>1435</v>
      </c>
      <c r="J201" t="s">
        <v>1436</v>
      </c>
      <c r="K201" t="s">
        <v>89</v>
      </c>
      <c r="L201" t="s">
        <v>1437</v>
      </c>
      <c r="M201" t="s">
        <v>1438</v>
      </c>
      <c r="N201" t="s">
        <v>89</v>
      </c>
      <c r="O201" t="s">
        <v>1443</v>
      </c>
      <c r="P201" t="s">
        <v>1819</v>
      </c>
      <c r="Q201" t="s">
        <v>1820</v>
      </c>
      <c r="R201" t="s">
        <v>1515</v>
      </c>
      <c r="S201" t="s">
        <v>93</v>
      </c>
      <c r="T201" t="s">
        <v>1240</v>
      </c>
      <c r="U201" t="s">
        <v>1438</v>
      </c>
      <c r="V201" t="s">
        <v>89</v>
      </c>
      <c r="W201" t="s">
        <v>1443</v>
      </c>
      <c r="X201" t="s">
        <v>1586</v>
      </c>
      <c r="Y201" t="s">
        <v>1821</v>
      </c>
      <c r="Z201" t="s">
        <v>1634</v>
      </c>
      <c r="AA201" t="s">
        <v>93</v>
      </c>
      <c r="AB201" t="s">
        <v>1235</v>
      </c>
      <c r="AC201" t="s">
        <v>1822</v>
      </c>
    </row>
    <row r="202" spans="1:29" hidden="1" x14ac:dyDescent="0.25">
      <c r="A202" t="s">
        <v>44</v>
      </c>
      <c r="B202" t="s">
        <v>273</v>
      </c>
      <c r="C202" t="s">
        <v>79</v>
      </c>
      <c r="D202" t="s">
        <v>274</v>
      </c>
      <c r="E202" t="s">
        <v>80</v>
      </c>
      <c r="F202" t="s">
        <v>52</v>
      </c>
      <c r="G202" t="s">
        <v>1823</v>
      </c>
      <c r="H202" t="s">
        <v>1824</v>
      </c>
      <c r="I202" t="s">
        <v>1435</v>
      </c>
      <c r="J202" t="s">
        <v>1450</v>
      </c>
      <c r="K202" t="s">
        <v>89</v>
      </c>
      <c r="L202" t="s">
        <v>1437</v>
      </c>
      <c r="M202" t="s">
        <v>1438</v>
      </c>
      <c r="N202" t="s">
        <v>89</v>
      </c>
      <c r="O202" t="s">
        <v>1443</v>
      </c>
      <c r="P202" t="s">
        <v>1825</v>
      </c>
      <c r="Q202" t="s">
        <v>1826</v>
      </c>
      <c r="R202" t="s">
        <v>1497</v>
      </c>
      <c r="S202" t="s">
        <v>93</v>
      </c>
      <c r="T202" t="s">
        <v>1250</v>
      </c>
      <c r="U202" t="s">
        <v>1438</v>
      </c>
      <c r="V202" t="s">
        <v>89</v>
      </c>
      <c r="W202" t="s">
        <v>1443</v>
      </c>
      <c r="X202" t="s">
        <v>1827</v>
      </c>
      <c r="Y202" t="s">
        <v>1828</v>
      </c>
      <c r="Z202" t="s">
        <v>1529</v>
      </c>
      <c r="AA202" t="s">
        <v>93</v>
      </c>
      <c r="AB202" t="s">
        <v>1226</v>
      </c>
      <c r="AC202" t="s">
        <v>1829</v>
      </c>
    </row>
    <row r="203" spans="1:29" hidden="1" x14ac:dyDescent="0.25">
      <c r="A203" t="s">
        <v>44</v>
      </c>
      <c r="B203" t="s">
        <v>273</v>
      </c>
      <c r="C203" t="s">
        <v>79</v>
      </c>
      <c r="D203" t="s">
        <v>274</v>
      </c>
      <c r="E203" t="s">
        <v>80</v>
      </c>
      <c r="F203" t="s">
        <v>53</v>
      </c>
      <c r="G203" t="s">
        <v>1830</v>
      </c>
      <c r="H203" t="s">
        <v>1831</v>
      </c>
      <c r="I203" t="s">
        <v>1435</v>
      </c>
      <c r="J203" t="s">
        <v>1450</v>
      </c>
      <c r="K203" t="s">
        <v>89</v>
      </c>
      <c r="L203" t="s">
        <v>1437</v>
      </c>
      <c r="M203" t="s">
        <v>1438</v>
      </c>
      <c r="N203" t="s">
        <v>89</v>
      </c>
      <c r="O203" t="s">
        <v>1443</v>
      </c>
      <c r="P203" t="s">
        <v>1832</v>
      </c>
      <c r="Q203" t="s">
        <v>1833</v>
      </c>
      <c r="R203" t="s">
        <v>1507</v>
      </c>
      <c r="S203" t="s">
        <v>93</v>
      </c>
      <c r="T203" t="s">
        <v>1337</v>
      </c>
      <c r="U203" t="s">
        <v>1463</v>
      </c>
      <c r="V203" t="s">
        <v>89</v>
      </c>
      <c r="W203" t="s">
        <v>1443</v>
      </c>
      <c r="X203" t="s">
        <v>1834</v>
      </c>
      <c r="Y203" t="s">
        <v>1835</v>
      </c>
      <c r="Z203" t="s">
        <v>1442</v>
      </c>
      <c r="AA203" t="s">
        <v>93</v>
      </c>
      <c r="AB203" t="s">
        <v>1255</v>
      </c>
      <c r="AC203" t="s">
        <v>1836</v>
      </c>
    </row>
    <row r="204" spans="1:29" hidden="1" x14ac:dyDescent="0.25">
      <c r="A204" t="s">
        <v>44</v>
      </c>
      <c r="B204" t="s">
        <v>273</v>
      </c>
      <c r="C204" t="s">
        <v>79</v>
      </c>
      <c r="D204" t="s">
        <v>274</v>
      </c>
      <c r="E204" t="s">
        <v>80</v>
      </c>
      <c r="F204" t="s">
        <v>54</v>
      </c>
      <c r="G204" t="s">
        <v>1837</v>
      </c>
      <c r="H204" t="s">
        <v>1838</v>
      </c>
      <c r="I204" t="s">
        <v>1435</v>
      </c>
      <c r="J204" t="s">
        <v>1519</v>
      </c>
      <c r="K204" t="s">
        <v>89</v>
      </c>
      <c r="L204" t="s">
        <v>1491</v>
      </c>
      <c r="M204" t="s">
        <v>1438</v>
      </c>
      <c r="N204" t="s">
        <v>89</v>
      </c>
      <c r="O204" t="s">
        <v>1443</v>
      </c>
      <c r="P204" t="s">
        <v>1839</v>
      </c>
      <c r="Q204" t="s">
        <v>1840</v>
      </c>
      <c r="R204" t="s">
        <v>1494</v>
      </c>
      <c r="S204" t="s">
        <v>93</v>
      </c>
      <c r="T204" t="s">
        <v>1361</v>
      </c>
      <c r="U204" t="s">
        <v>1438</v>
      </c>
      <c r="V204" t="s">
        <v>89</v>
      </c>
      <c r="W204" t="s">
        <v>1443</v>
      </c>
      <c r="X204" t="s">
        <v>1635</v>
      </c>
      <c r="Y204" t="s">
        <v>1841</v>
      </c>
      <c r="Z204" t="s">
        <v>1497</v>
      </c>
      <c r="AA204" t="s">
        <v>93</v>
      </c>
      <c r="AB204" t="s">
        <v>1250</v>
      </c>
      <c r="AC204" t="s">
        <v>1842</v>
      </c>
    </row>
    <row r="205" spans="1:29" hidden="1" x14ac:dyDescent="0.25">
      <c r="A205" t="s">
        <v>44</v>
      </c>
      <c r="B205" t="s">
        <v>273</v>
      </c>
      <c r="C205" t="s">
        <v>79</v>
      </c>
      <c r="D205" t="s">
        <v>274</v>
      </c>
      <c r="E205" t="s">
        <v>80</v>
      </c>
      <c r="F205" t="s">
        <v>55</v>
      </c>
      <c r="G205" t="s">
        <v>1515</v>
      </c>
      <c r="H205" t="s">
        <v>1843</v>
      </c>
      <c r="I205" t="s">
        <v>1435</v>
      </c>
      <c r="J205" t="s">
        <v>1450</v>
      </c>
      <c r="K205" t="s">
        <v>89</v>
      </c>
      <c r="L205" t="s">
        <v>1437</v>
      </c>
      <c r="M205" t="s">
        <v>1438</v>
      </c>
      <c r="N205" t="s">
        <v>89</v>
      </c>
      <c r="O205" t="s">
        <v>1443</v>
      </c>
      <c r="P205" t="s">
        <v>1844</v>
      </c>
      <c r="Q205" t="s">
        <v>1845</v>
      </c>
      <c r="R205" t="s">
        <v>1512</v>
      </c>
      <c r="S205" t="s">
        <v>93</v>
      </c>
      <c r="T205" t="s">
        <v>1231</v>
      </c>
      <c r="U205" t="s">
        <v>1438</v>
      </c>
      <c r="V205" t="s">
        <v>89</v>
      </c>
      <c r="W205" t="s">
        <v>1443</v>
      </c>
      <c r="X205" t="s">
        <v>263</v>
      </c>
      <c r="Y205" t="s">
        <v>1846</v>
      </c>
      <c r="Z205" t="s">
        <v>1515</v>
      </c>
      <c r="AA205" t="s">
        <v>93</v>
      </c>
      <c r="AB205" t="s">
        <v>1240</v>
      </c>
      <c r="AC205" t="s">
        <v>1847</v>
      </c>
    </row>
    <row r="206" spans="1:29" hidden="1" x14ac:dyDescent="0.25">
      <c r="A206" t="s">
        <v>44</v>
      </c>
      <c r="B206" t="s">
        <v>273</v>
      </c>
      <c r="C206" t="s">
        <v>79</v>
      </c>
      <c r="D206" t="s">
        <v>274</v>
      </c>
      <c r="E206" t="s">
        <v>80</v>
      </c>
      <c r="F206" t="s">
        <v>56</v>
      </c>
      <c r="G206" t="s">
        <v>1848</v>
      </c>
      <c r="H206" t="s">
        <v>1849</v>
      </c>
      <c r="I206" t="s">
        <v>1435</v>
      </c>
      <c r="J206" t="s">
        <v>1436</v>
      </c>
      <c r="K206" t="s">
        <v>89</v>
      </c>
      <c r="L206" t="s">
        <v>1437</v>
      </c>
      <c r="M206" t="s">
        <v>1438</v>
      </c>
      <c r="N206" t="s">
        <v>89</v>
      </c>
      <c r="O206" t="s">
        <v>1443</v>
      </c>
      <c r="P206" t="s">
        <v>1454</v>
      </c>
      <c r="Q206" t="s">
        <v>1850</v>
      </c>
      <c r="R206" t="s">
        <v>1522</v>
      </c>
      <c r="S206" t="s">
        <v>93</v>
      </c>
      <c r="T206" t="s">
        <v>1412</v>
      </c>
      <c r="U206" t="s">
        <v>1438</v>
      </c>
      <c r="V206" t="s">
        <v>89</v>
      </c>
      <c r="W206" t="s">
        <v>1443</v>
      </c>
      <c r="X206" t="s">
        <v>1789</v>
      </c>
      <c r="Y206" t="s">
        <v>1851</v>
      </c>
      <c r="Z206" t="s">
        <v>1462</v>
      </c>
      <c r="AA206" t="s">
        <v>93</v>
      </c>
      <c r="AB206" t="s">
        <v>1303</v>
      </c>
      <c r="AC206" t="s">
        <v>1852</v>
      </c>
    </row>
    <row r="207" spans="1:29" hidden="1" x14ac:dyDescent="0.25">
      <c r="A207" t="s">
        <v>44</v>
      </c>
      <c r="B207" t="s">
        <v>78</v>
      </c>
      <c r="C207" t="s">
        <v>666</v>
      </c>
      <c r="D207" t="s">
        <v>274</v>
      </c>
      <c r="E207" t="s">
        <v>80</v>
      </c>
      <c r="F207" t="s">
        <v>45</v>
      </c>
      <c r="G207" t="s">
        <v>1853</v>
      </c>
      <c r="H207" t="s">
        <v>1854</v>
      </c>
      <c r="I207" t="s">
        <v>285</v>
      </c>
      <c r="J207" t="s">
        <v>1450</v>
      </c>
      <c r="K207" t="s">
        <v>89</v>
      </c>
      <c r="L207" t="s">
        <v>1491</v>
      </c>
      <c r="M207" t="s">
        <v>1438</v>
      </c>
      <c r="N207" t="s">
        <v>89</v>
      </c>
      <c r="O207" t="s">
        <v>1484</v>
      </c>
      <c r="P207" t="s">
        <v>89</v>
      </c>
      <c r="Q207" t="s">
        <v>1855</v>
      </c>
      <c r="R207" t="s">
        <v>1442</v>
      </c>
      <c r="S207" t="s">
        <v>93</v>
      </c>
      <c r="T207" t="s">
        <v>1255</v>
      </c>
      <c r="U207" t="s">
        <v>1438</v>
      </c>
      <c r="V207" t="s">
        <v>89</v>
      </c>
      <c r="W207" t="s">
        <v>1484</v>
      </c>
      <c r="X207" t="s">
        <v>89</v>
      </c>
      <c r="Y207" t="s">
        <v>1856</v>
      </c>
      <c r="Z207" t="s">
        <v>1446</v>
      </c>
      <c r="AA207" t="s">
        <v>93</v>
      </c>
      <c r="AB207" t="s">
        <v>1247</v>
      </c>
      <c r="AC207" t="s">
        <v>1857</v>
      </c>
    </row>
    <row r="208" spans="1:29" hidden="1" x14ac:dyDescent="0.25">
      <c r="A208" t="s">
        <v>44</v>
      </c>
      <c r="B208" t="s">
        <v>78</v>
      </c>
      <c r="C208" t="s">
        <v>666</v>
      </c>
      <c r="D208" t="s">
        <v>274</v>
      </c>
      <c r="E208" t="s">
        <v>80</v>
      </c>
      <c r="F208" t="s">
        <v>46</v>
      </c>
      <c r="G208" t="s">
        <v>1858</v>
      </c>
      <c r="H208" t="s">
        <v>1859</v>
      </c>
      <c r="I208" t="s">
        <v>1860</v>
      </c>
      <c r="J208" t="s">
        <v>1436</v>
      </c>
      <c r="K208" t="s">
        <v>89</v>
      </c>
      <c r="L208" t="s">
        <v>1491</v>
      </c>
      <c r="M208" t="s">
        <v>1438</v>
      </c>
      <c r="N208" t="s">
        <v>89</v>
      </c>
      <c r="O208" t="s">
        <v>1484</v>
      </c>
      <c r="P208" t="s">
        <v>89</v>
      </c>
      <c r="Q208" t="s">
        <v>1861</v>
      </c>
      <c r="R208" t="s">
        <v>1670</v>
      </c>
      <c r="S208" t="s">
        <v>93</v>
      </c>
      <c r="T208" t="s">
        <v>1671</v>
      </c>
      <c r="U208" t="s">
        <v>1438</v>
      </c>
      <c r="V208" t="s">
        <v>89</v>
      </c>
      <c r="W208" t="s">
        <v>1484</v>
      </c>
      <c r="X208" t="s">
        <v>89</v>
      </c>
      <c r="Y208" t="s">
        <v>1862</v>
      </c>
      <c r="Z208" t="s">
        <v>1452</v>
      </c>
      <c r="AA208" t="s">
        <v>93</v>
      </c>
      <c r="AB208" t="s">
        <v>1453</v>
      </c>
      <c r="AC208" t="s">
        <v>1863</v>
      </c>
    </row>
    <row r="209" spans="1:29" hidden="1" x14ac:dyDescent="0.25">
      <c r="A209" t="s">
        <v>44</v>
      </c>
      <c r="B209" t="s">
        <v>78</v>
      </c>
      <c r="C209" t="s">
        <v>666</v>
      </c>
      <c r="D209" t="s">
        <v>274</v>
      </c>
      <c r="E209" t="s">
        <v>80</v>
      </c>
      <c r="F209" t="s">
        <v>47</v>
      </c>
      <c r="G209" t="s">
        <v>1864</v>
      </c>
      <c r="H209" t="s">
        <v>1865</v>
      </c>
      <c r="I209" t="s">
        <v>98</v>
      </c>
      <c r="J209" t="s">
        <v>1519</v>
      </c>
      <c r="K209" t="s">
        <v>89</v>
      </c>
      <c r="L209" t="s">
        <v>1437</v>
      </c>
      <c r="M209" t="s">
        <v>1438</v>
      </c>
      <c r="N209" t="s">
        <v>89</v>
      </c>
      <c r="O209" t="s">
        <v>1484</v>
      </c>
      <c r="P209" t="s">
        <v>89</v>
      </c>
      <c r="Q209" t="s">
        <v>1866</v>
      </c>
      <c r="R209" t="s">
        <v>1522</v>
      </c>
      <c r="S209" t="s">
        <v>93</v>
      </c>
      <c r="T209" t="s">
        <v>1412</v>
      </c>
      <c r="U209" t="s">
        <v>1438</v>
      </c>
      <c r="V209" t="s">
        <v>89</v>
      </c>
      <c r="W209" t="s">
        <v>1484</v>
      </c>
      <c r="X209" t="s">
        <v>89</v>
      </c>
      <c r="Y209" t="s">
        <v>1867</v>
      </c>
      <c r="Z209" t="s">
        <v>1462</v>
      </c>
      <c r="AA209" t="s">
        <v>93</v>
      </c>
      <c r="AB209" t="s">
        <v>1303</v>
      </c>
      <c r="AC209" t="s">
        <v>1868</v>
      </c>
    </row>
    <row r="210" spans="1:29" hidden="1" x14ac:dyDescent="0.25">
      <c r="A210" t="s">
        <v>44</v>
      </c>
      <c r="B210" t="s">
        <v>78</v>
      </c>
      <c r="C210" t="s">
        <v>666</v>
      </c>
      <c r="D210" t="s">
        <v>274</v>
      </c>
      <c r="E210" t="s">
        <v>80</v>
      </c>
      <c r="F210" t="s">
        <v>48</v>
      </c>
      <c r="G210" t="s">
        <v>1869</v>
      </c>
      <c r="H210" t="s">
        <v>1870</v>
      </c>
      <c r="I210" t="s">
        <v>1473</v>
      </c>
      <c r="J210" t="s">
        <v>1450</v>
      </c>
      <c r="K210" t="s">
        <v>89</v>
      </c>
      <c r="L210" t="s">
        <v>89</v>
      </c>
      <c r="M210" t="s">
        <v>1438</v>
      </c>
      <c r="N210" t="s">
        <v>89</v>
      </c>
      <c r="O210" t="s">
        <v>1484</v>
      </c>
      <c r="P210" t="s">
        <v>89</v>
      </c>
      <c r="Q210" t="s">
        <v>1871</v>
      </c>
      <c r="R210" t="s">
        <v>1456</v>
      </c>
      <c r="S210" t="s">
        <v>93</v>
      </c>
      <c r="T210" t="s">
        <v>1320</v>
      </c>
      <c r="U210" t="s">
        <v>1438</v>
      </c>
      <c r="V210" t="s">
        <v>89</v>
      </c>
      <c r="W210" t="s">
        <v>1484</v>
      </c>
      <c r="X210" t="s">
        <v>89</v>
      </c>
      <c r="Y210" t="s">
        <v>1872</v>
      </c>
      <c r="Z210" t="s">
        <v>1472</v>
      </c>
      <c r="AA210" t="s">
        <v>93</v>
      </c>
      <c r="AB210" t="s">
        <v>1473</v>
      </c>
      <c r="AC210" t="s">
        <v>1873</v>
      </c>
    </row>
    <row r="211" spans="1:29" hidden="1" x14ac:dyDescent="0.25">
      <c r="A211" t="s">
        <v>44</v>
      </c>
      <c r="B211" t="s">
        <v>78</v>
      </c>
      <c r="C211" t="s">
        <v>666</v>
      </c>
      <c r="D211" t="s">
        <v>274</v>
      </c>
      <c r="E211" t="s">
        <v>80</v>
      </c>
      <c r="F211" t="s">
        <v>49</v>
      </c>
      <c r="G211" t="s">
        <v>1874</v>
      </c>
      <c r="H211" t="s">
        <v>1875</v>
      </c>
      <c r="I211" t="s">
        <v>328</v>
      </c>
      <c r="J211" t="s">
        <v>1436</v>
      </c>
      <c r="K211" t="s">
        <v>89</v>
      </c>
      <c r="L211" t="s">
        <v>1437</v>
      </c>
      <c r="M211" t="s">
        <v>1438</v>
      </c>
      <c r="N211" t="s">
        <v>89</v>
      </c>
      <c r="O211" t="s">
        <v>1484</v>
      </c>
      <c r="P211" t="s">
        <v>89</v>
      </c>
      <c r="Q211" t="s">
        <v>1876</v>
      </c>
      <c r="R211" t="s">
        <v>305</v>
      </c>
      <c r="S211" t="s">
        <v>93</v>
      </c>
      <c r="T211" t="s">
        <v>1483</v>
      </c>
      <c r="U211" t="s">
        <v>1438</v>
      </c>
      <c r="V211" t="s">
        <v>89</v>
      </c>
      <c r="W211" t="s">
        <v>1484</v>
      </c>
      <c r="X211" t="s">
        <v>89</v>
      </c>
      <c r="Y211" t="s">
        <v>1877</v>
      </c>
      <c r="Z211" t="s">
        <v>1487</v>
      </c>
      <c r="AA211" t="s">
        <v>93</v>
      </c>
      <c r="AB211" t="s">
        <v>645</v>
      </c>
      <c r="AC211" t="s">
        <v>1878</v>
      </c>
    </row>
    <row r="212" spans="1:29" hidden="1" x14ac:dyDescent="0.25">
      <c r="A212" t="s">
        <v>44</v>
      </c>
      <c r="B212" t="s">
        <v>78</v>
      </c>
      <c r="C212" t="s">
        <v>666</v>
      </c>
      <c r="D212" t="s">
        <v>274</v>
      </c>
      <c r="E212" t="s">
        <v>80</v>
      </c>
      <c r="F212" t="s">
        <v>50</v>
      </c>
      <c r="G212" t="s">
        <v>1879</v>
      </c>
      <c r="H212" t="s">
        <v>1880</v>
      </c>
      <c r="I212" t="s">
        <v>1881</v>
      </c>
      <c r="J212" t="s">
        <v>1882</v>
      </c>
      <c r="K212" t="s">
        <v>89</v>
      </c>
      <c r="L212" t="s">
        <v>1883</v>
      </c>
      <c r="M212" t="s">
        <v>1463</v>
      </c>
      <c r="N212" t="s">
        <v>89</v>
      </c>
      <c r="O212" t="s">
        <v>1484</v>
      </c>
      <c r="P212" t="s">
        <v>89</v>
      </c>
      <c r="Q212" t="s">
        <v>1884</v>
      </c>
      <c r="R212" t="s">
        <v>1815</v>
      </c>
      <c r="S212" t="s">
        <v>93</v>
      </c>
      <c r="T212" t="s">
        <v>635</v>
      </c>
      <c r="U212" t="s">
        <v>1438</v>
      </c>
      <c r="V212" t="s">
        <v>89</v>
      </c>
      <c r="W212" t="s">
        <v>1484</v>
      </c>
      <c r="X212" t="s">
        <v>89</v>
      </c>
      <c r="Y212" t="s">
        <v>1885</v>
      </c>
      <c r="Z212" t="s">
        <v>1494</v>
      </c>
      <c r="AA212" t="s">
        <v>93</v>
      </c>
      <c r="AB212" t="s">
        <v>1361</v>
      </c>
      <c r="AC212" t="s">
        <v>1886</v>
      </c>
    </row>
    <row r="213" spans="1:29" hidden="1" x14ac:dyDescent="0.25">
      <c r="A213" t="s">
        <v>44</v>
      </c>
      <c r="B213" t="s">
        <v>78</v>
      </c>
      <c r="C213" t="s">
        <v>666</v>
      </c>
      <c r="D213" t="s">
        <v>274</v>
      </c>
      <c r="E213" t="s">
        <v>80</v>
      </c>
      <c r="F213" t="s">
        <v>51</v>
      </c>
      <c r="G213" t="s">
        <v>1887</v>
      </c>
      <c r="H213" t="s">
        <v>1888</v>
      </c>
      <c r="I213" t="s">
        <v>1179</v>
      </c>
      <c r="J213" t="s">
        <v>1450</v>
      </c>
      <c r="K213" t="s">
        <v>89</v>
      </c>
      <c r="L213" t="s">
        <v>1889</v>
      </c>
      <c r="M213" t="s">
        <v>1438</v>
      </c>
      <c r="N213" t="s">
        <v>89</v>
      </c>
      <c r="O213" t="s">
        <v>1484</v>
      </c>
      <c r="P213" t="s">
        <v>89</v>
      </c>
      <c r="Q213" t="s">
        <v>1890</v>
      </c>
      <c r="R213" t="s">
        <v>1504</v>
      </c>
      <c r="S213" t="s">
        <v>93</v>
      </c>
      <c r="T213" t="s">
        <v>1400</v>
      </c>
      <c r="U213" t="s">
        <v>1438</v>
      </c>
      <c r="V213" t="s">
        <v>89</v>
      </c>
      <c r="W213" t="s">
        <v>1484</v>
      </c>
      <c r="X213" t="s">
        <v>89</v>
      </c>
      <c r="Y213" t="s">
        <v>1891</v>
      </c>
      <c r="Z213" t="s">
        <v>1507</v>
      </c>
      <c r="AA213" t="s">
        <v>93</v>
      </c>
      <c r="AB213" t="s">
        <v>1337</v>
      </c>
      <c r="AC213" t="s">
        <v>1892</v>
      </c>
    </row>
    <row r="214" spans="1:29" hidden="1" x14ac:dyDescent="0.25">
      <c r="A214" t="s">
        <v>44</v>
      </c>
      <c r="B214" t="s">
        <v>78</v>
      </c>
      <c r="C214" t="s">
        <v>666</v>
      </c>
      <c r="D214" t="s">
        <v>274</v>
      </c>
      <c r="E214" t="s">
        <v>80</v>
      </c>
      <c r="F214" t="s">
        <v>52</v>
      </c>
      <c r="G214" t="s">
        <v>1893</v>
      </c>
      <c r="H214" t="s">
        <v>1894</v>
      </c>
      <c r="I214" t="s">
        <v>1397</v>
      </c>
      <c r="J214" t="s">
        <v>1895</v>
      </c>
      <c r="K214" t="s">
        <v>89</v>
      </c>
      <c r="L214" t="s">
        <v>1896</v>
      </c>
      <c r="M214" t="s">
        <v>1463</v>
      </c>
      <c r="N214" t="s">
        <v>89</v>
      </c>
      <c r="O214" t="s">
        <v>1484</v>
      </c>
      <c r="P214" t="s">
        <v>89</v>
      </c>
      <c r="Q214" t="s">
        <v>1897</v>
      </c>
      <c r="R214" t="s">
        <v>1529</v>
      </c>
      <c r="S214" t="s">
        <v>93</v>
      </c>
      <c r="T214" t="s">
        <v>1226</v>
      </c>
      <c r="U214" t="s">
        <v>1438</v>
      </c>
      <c r="V214" t="s">
        <v>89</v>
      </c>
      <c r="W214" t="s">
        <v>1484</v>
      </c>
      <c r="X214" t="s">
        <v>89</v>
      </c>
      <c r="Y214" t="s">
        <v>1898</v>
      </c>
      <c r="Z214" t="s">
        <v>1512</v>
      </c>
      <c r="AA214" t="s">
        <v>93</v>
      </c>
      <c r="AB214" t="s">
        <v>1231</v>
      </c>
      <c r="AC214" t="s">
        <v>1899</v>
      </c>
    </row>
    <row r="215" spans="1:29" hidden="1" x14ac:dyDescent="0.25">
      <c r="A215" t="s">
        <v>44</v>
      </c>
      <c r="B215" t="s">
        <v>78</v>
      </c>
      <c r="C215" t="s">
        <v>666</v>
      </c>
      <c r="D215" t="s">
        <v>274</v>
      </c>
      <c r="E215" t="s">
        <v>80</v>
      </c>
      <c r="F215" t="s">
        <v>53</v>
      </c>
      <c r="G215" t="s">
        <v>1900</v>
      </c>
      <c r="H215" t="s">
        <v>1901</v>
      </c>
      <c r="I215" t="s">
        <v>1397</v>
      </c>
      <c r="J215" t="s">
        <v>1542</v>
      </c>
      <c r="K215" t="s">
        <v>89</v>
      </c>
      <c r="L215" t="s">
        <v>1889</v>
      </c>
      <c r="M215" t="s">
        <v>1438</v>
      </c>
      <c r="N215" t="s">
        <v>89</v>
      </c>
      <c r="O215" t="s">
        <v>1484</v>
      </c>
      <c r="P215" t="s">
        <v>89</v>
      </c>
      <c r="Q215" t="s">
        <v>1902</v>
      </c>
      <c r="R215" t="s">
        <v>1446</v>
      </c>
      <c r="S215" t="s">
        <v>93</v>
      </c>
      <c r="T215" t="s">
        <v>1247</v>
      </c>
      <c r="U215" t="s">
        <v>1438</v>
      </c>
      <c r="V215" t="s">
        <v>89</v>
      </c>
      <c r="W215" t="s">
        <v>1484</v>
      </c>
      <c r="X215" t="s">
        <v>89</v>
      </c>
      <c r="Y215" t="s">
        <v>1903</v>
      </c>
      <c r="Z215" t="s">
        <v>1522</v>
      </c>
      <c r="AA215" t="s">
        <v>93</v>
      </c>
      <c r="AB215" t="s">
        <v>1412</v>
      </c>
      <c r="AC215" t="s">
        <v>1904</v>
      </c>
    </row>
    <row r="216" spans="1:29" hidden="1" x14ac:dyDescent="0.25">
      <c r="A216" t="s">
        <v>44</v>
      </c>
      <c r="B216" t="s">
        <v>78</v>
      </c>
      <c r="C216" t="s">
        <v>666</v>
      </c>
      <c r="D216" t="s">
        <v>274</v>
      </c>
      <c r="E216" t="s">
        <v>80</v>
      </c>
      <c r="F216" t="s">
        <v>54</v>
      </c>
      <c r="G216" t="s">
        <v>1905</v>
      </c>
      <c r="H216" t="s">
        <v>1906</v>
      </c>
      <c r="I216" t="s">
        <v>1247</v>
      </c>
      <c r="J216" t="s">
        <v>1907</v>
      </c>
      <c r="K216" t="s">
        <v>89</v>
      </c>
      <c r="L216" t="s">
        <v>1883</v>
      </c>
      <c r="M216" t="s">
        <v>1438</v>
      </c>
      <c r="N216" t="s">
        <v>89</v>
      </c>
      <c r="O216" t="s">
        <v>1439</v>
      </c>
      <c r="P216" t="s">
        <v>89</v>
      </c>
      <c r="Q216" t="s">
        <v>1908</v>
      </c>
      <c r="R216" t="s">
        <v>1529</v>
      </c>
      <c r="S216" t="s">
        <v>93</v>
      </c>
      <c r="T216" t="s">
        <v>1226</v>
      </c>
      <c r="U216" t="s">
        <v>1463</v>
      </c>
      <c r="V216" t="s">
        <v>89</v>
      </c>
      <c r="W216" t="s">
        <v>1484</v>
      </c>
      <c r="X216" t="s">
        <v>89</v>
      </c>
      <c r="Y216" t="s">
        <v>1909</v>
      </c>
      <c r="Z216" t="s">
        <v>1512</v>
      </c>
      <c r="AA216" t="s">
        <v>93</v>
      </c>
      <c r="AB216" t="s">
        <v>1231</v>
      </c>
      <c r="AC216" t="s">
        <v>1910</v>
      </c>
    </row>
    <row r="217" spans="1:29" hidden="1" x14ac:dyDescent="0.25">
      <c r="A217" t="s">
        <v>44</v>
      </c>
      <c r="B217" t="s">
        <v>78</v>
      </c>
      <c r="C217" t="s">
        <v>666</v>
      </c>
      <c r="D217" t="s">
        <v>274</v>
      </c>
      <c r="E217" t="s">
        <v>80</v>
      </c>
      <c r="F217" t="s">
        <v>55</v>
      </c>
      <c r="G217" t="s">
        <v>1911</v>
      </c>
      <c r="H217" t="s">
        <v>1912</v>
      </c>
      <c r="I217" t="s">
        <v>160</v>
      </c>
      <c r="J217" t="s">
        <v>1501</v>
      </c>
      <c r="K217" t="s">
        <v>89</v>
      </c>
      <c r="L217" t="s">
        <v>1883</v>
      </c>
      <c r="M217" t="s">
        <v>1438</v>
      </c>
      <c r="N217" t="s">
        <v>89</v>
      </c>
      <c r="O217" t="s">
        <v>1484</v>
      </c>
      <c r="P217" t="s">
        <v>89</v>
      </c>
      <c r="Q217" t="s">
        <v>1913</v>
      </c>
      <c r="R217" t="s">
        <v>1634</v>
      </c>
      <c r="S217" t="s">
        <v>93</v>
      </c>
      <c r="T217" t="s">
        <v>1235</v>
      </c>
      <c r="U217" t="s">
        <v>1438</v>
      </c>
      <c r="V217" t="s">
        <v>89</v>
      </c>
      <c r="W217" t="s">
        <v>1484</v>
      </c>
      <c r="X217" t="s">
        <v>89</v>
      </c>
      <c r="Y217" t="s">
        <v>1914</v>
      </c>
      <c r="Z217" t="s">
        <v>1504</v>
      </c>
      <c r="AA217" t="s">
        <v>93</v>
      </c>
      <c r="AB217" t="s">
        <v>1400</v>
      </c>
      <c r="AC217" t="s">
        <v>1915</v>
      </c>
    </row>
    <row r="218" spans="1:29" hidden="1" x14ac:dyDescent="0.25">
      <c r="A218" t="s">
        <v>44</v>
      </c>
      <c r="B218" t="s">
        <v>78</v>
      </c>
      <c r="C218" t="s">
        <v>666</v>
      </c>
      <c r="D218" t="s">
        <v>274</v>
      </c>
      <c r="E218" t="s">
        <v>80</v>
      </c>
      <c r="F218" t="s">
        <v>56</v>
      </c>
      <c r="G218" t="s">
        <v>1916</v>
      </c>
      <c r="H218" t="s">
        <v>1917</v>
      </c>
      <c r="I218" t="s">
        <v>527</v>
      </c>
      <c r="J218" t="s">
        <v>1501</v>
      </c>
      <c r="K218" t="s">
        <v>89</v>
      </c>
      <c r="L218" t="s">
        <v>1889</v>
      </c>
      <c r="M218" t="s">
        <v>1438</v>
      </c>
      <c r="N218" t="s">
        <v>89</v>
      </c>
      <c r="O218" t="s">
        <v>1484</v>
      </c>
      <c r="P218" t="s">
        <v>89</v>
      </c>
      <c r="Q218" t="s">
        <v>1918</v>
      </c>
      <c r="R218" t="s">
        <v>1577</v>
      </c>
      <c r="S218" t="s">
        <v>93</v>
      </c>
      <c r="T218" t="s">
        <v>1578</v>
      </c>
      <c r="U218" t="s">
        <v>1438</v>
      </c>
      <c r="V218" t="s">
        <v>89</v>
      </c>
      <c r="W218" t="s">
        <v>1484</v>
      </c>
      <c r="X218" t="s">
        <v>89</v>
      </c>
      <c r="Y218" t="s">
        <v>1919</v>
      </c>
      <c r="Z218" t="s">
        <v>1545</v>
      </c>
      <c r="AA218" t="s">
        <v>93</v>
      </c>
      <c r="AB218" t="s">
        <v>1311</v>
      </c>
      <c r="AC218" t="s">
        <v>1920</v>
      </c>
    </row>
    <row r="219" spans="1:29" hidden="1" x14ac:dyDescent="0.25">
      <c r="A219" t="s">
        <v>44</v>
      </c>
      <c r="B219" t="s">
        <v>814</v>
      </c>
      <c r="C219" t="s">
        <v>666</v>
      </c>
      <c r="D219" t="s">
        <v>79</v>
      </c>
      <c r="E219" t="s">
        <v>80</v>
      </c>
      <c r="F219" t="s">
        <v>45</v>
      </c>
      <c r="G219" t="s">
        <v>1921</v>
      </c>
      <c r="H219" t="s">
        <v>1922</v>
      </c>
      <c r="I219" t="s">
        <v>1923</v>
      </c>
      <c r="J219" t="s">
        <v>1542</v>
      </c>
      <c r="K219" t="s">
        <v>89</v>
      </c>
      <c r="L219" t="s">
        <v>1437</v>
      </c>
      <c r="M219" t="s">
        <v>1438</v>
      </c>
      <c r="N219" t="s">
        <v>89</v>
      </c>
      <c r="O219" t="s">
        <v>1484</v>
      </c>
      <c r="P219" t="s">
        <v>89</v>
      </c>
      <c r="Q219" t="s">
        <v>1924</v>
      </c>
      <c r="R219" t="s">
        <v>1522</v>
      </c>
      <c r="S219" t="s">
        <v>93</v>
      </c>
      <c r="T219" t="s">
        <v>1412</v>
      </c>
      <c r="U219" t="s">
        <v>1438</v>
      </c>
      <c r="V219" t="s">
        <v>89</v>
      </c>
      <c r="W219" t="s">
        <v>1484</v>
      </c>
      <c r="X219" t="s">
        <v>89</v>
      </c>
      <c r="Y219" t="s">
        <v>1925</v>
      </c>
      <c r="Z219" t="s">
        <v>1462</v>
      </c>
      <c r="AA219" t="s">
        <v>93</v>
      </c>
      <c r="AB219" t="s">
        <v>1303</v>
      </c>
      <c r="AC219" t="s">
        <v>1926</v>
      </c>
    </row>
    <row r="220" spans="1:29" hidden="1" x14ac:dyDescent="0.25">
      <c r="A220" t="s">
        <v>44</v>
      </c>
      <c r="B220" t="s">
        <v>814</v>
      </c>
      <c r="C220" t="s">
        <v>666</v>
      </c>
      <c r="D220" t="s">
        <v>79</v>
      </c>
      <c r="E220" t="s">
        <v>80</v>
      </c>
      <c r="F220" t="s">
        <v>46</v>
      </c>
      <c r="G220" t="s">
        <v>1927</v>
      </c>
      <c r="H220" t="s">
        <v>1928</v>
      </c>
      <c r="I220" t="s">
        <v>1929</v>
      </c>
      <c r="J220" t="s">
        <v>1542</v>
      </c>
      <c r="K220" t="s">
        <v>89</v>
      </c>
      <c r="L220" t="s">
        <v>1889</v>
      </c>
      <c r="M220" t="s">
        <v>1438</v>
      </c>
      <c r="N220" t="s">
        <v>89</v>
      </c>
      <c r="O220" t="s">
        <v>1484</v>
      </c>
      <c r="P220" t="s">
        <v>89</v>
      </c>
      <c r="Q220" t="s">
        <v>1930</v>
      </c>
      <c r="R220" t="s">
        <v>1472</v>
      </c>
      <c r="S220" t="s">
        <v>93</v>
      </c>
      <c r="T220" t="s">
        <v>1473</v>
      </c>
      <c r="U220" t="s">
        <v>1438</v>
      </c>
      <c r="V220" t="s">
        <v>89</v>
      </c>
      <c r="W220" t="s">
        <v>1484</v>
      </c>
      <c r="X220" t="s">
        <v>89</v>
      </c>
      <c r="Y220" t="s">
        <v>1931</v>
      </c>
      <c r="Z220" t="s">
        <v>1477</v>
      </c>
      <c r="AA220" t="s">
        <v>93</v>
      </c>
      <c r="AB220" t="s">
        <v>1309</v>
      </c>
      <c r="AC220" t="s">
        <v>1932</v>
      </c>
    </row>
    <row r="221" spans="1:29" hidden="1" x14ac:dyDescent="0.25">
      <c r="A221" t="s">
        <v>44</v>
      </c>
      <c r="B221" t="s">
        <v>814</v>
      </c>
      <c r="C221" t="s">
        <v>666</v>
      </c>
      <c r="D221" t="s">
        <v>79</v>
      </c>
      <c r="E221" t="s">
        <v>80</v>
      </c>
      <c r="F221" t="s">
        <v>47</v>
      </c>
      <c r="G221" t="s">
        <v>1933</v>
      </c>
      <c r="H221" t="s">
        <v>1934</v>
      </c>
      <c r="I221" t="s">
        <v>1935</v>
      </c>
      <c r="J221" t="s">
        <v>1936</v>
      </c>
      <c r="K221" t="s">
        <v>89</v>
      </c>
      <c r="L221" t="s">
        <v>1889</v>
      </c>
      <c r="M221" t="s">
        <v>1438</v>
      </c>
      <c r="N221" t="s">
        <v>89</v>
      </c>
      <c r="O221" t="s">
        <v>1484</v>
      </c>
      <c r="P221" t="s">
        <v>89</v>
      </c>
      <c r="Q221" t="s">
        <v>1937</v>
      </c>
      <c r="R221" t="s">
        <v>1466</v>
      </c>
      <c r="S221" t="s">
        <v>93</v>
      </c>
      <c r="T221" t="s">
        <v>1222</v>
      </c>
      <c r="U221" t="s">
        <v>1438</v>
      </c>
      <c r="V221" t="s">
        <v>89</v>
      </c>
      <c r="W221" t="s">
        <v>1484</v>
      </c>
      <c r="X221" t="s">
        <v>89</v>
      </c>
      <c r="Y221" t="s">
        <v>1938</v>
      </c>
      <c r="Z221" t="s">
        <v>1577</v>
      </c>
      <c r="AA221" t="s">
        <v>93</v>
      </c>
      <c r="AB221" t="s">
        <v>1578</v>
      </c>
      <c r="AC221" t="s">
        <v>1939</v>
      </c>
    </row>
    <row r="222" spans="1:29" hidden="1" x14ac:dyDescent="0.25">
      <c r="A222" t="s">
        <v>44</v>
      </c>
      <c r="B222" t="s">
        <v>814</v>
      </c>
      <c r="C222" t="s">
        <v>666</v>
      </c>
      <c r="D222" t="s">
        <v>79</v>
      </c>
      <c r="E222" t="s">
        <v>80</v>
      </c>
      <c r="F222" t="s">
        <v>48</v>
      </c>
      <c r="G222" t="s">
        <v>1940</v>
      </c>
      <c r="H222" t="s">
        <v>1941</v>
      </c>
      <c r="I222" t="s">
        <v>1942</v>
      </c>
      <c r="J222" t="s">
        <v>1501</v>
      </c>
      <c r="K222" t="s">
        <v>89</v>
      </c>
      <c r="L222" t="s">
        <v>1889</v>
      </c>
      <c r="M222" t="s">
        <v>1438</v>
      </c>
      <c r="N222" t="s">
        <v>89</v>
      </c>
      <c r="O222" t="s">
        <v>1484</v>
      </c>
      <c r="P222" t="s">
        <v>89</v>
      </c>
      <c r="Q222" t="s">
        <v>1943</v>
      </c>
      <c r="R222" t="s">
        <v>1944</v>
      </c>
      <c r="S222" t="s">
        <v>93</v>
      </c>
      <c r="T222" t="s">
        <v>1945</v>
      </c>
      <c r="U222" t="s">
        <v>1438</v>
      </c>
      <c r="V222" t="s">
        <v>89</v>
      </c>
      <c r="W222" t="s">
        <v>1439</v>
      </c>
      <c r="X222" t="s">
        <v>89</v>
      </c>
      <c r="Y222" t="s">
        <v>1946</v>
      </c>
      <c r="Z222" t="s">
        <v>1588</v>
      </c>
      <c r="AA222" t="s">
        <v>93</v>
      </c>
      <c r="AB222" t="s">
        <v>1301</v>
      </c>
      <c r="AC222" t="s">
        <v>1947</v>
      </c>
    </row>
    <row r="223" spans="1:29" hidden="1" x14ac:dyDescent="0.25">
      <c r="A223" t="s">
        <v>44</v>
      </c>
      <c r="B223" t="s">
        <v>814</v>
      </c>
      <c r="C223" t="s">
        <v>666</v>
      </c>
      <c r="D223" t="s">
        <v>79</v>
      </c>
      <c r="E223" t="s">
        <v>80</v>
      </c>
      <c r="F223" t="s">
        <v>49</v>
      </c>
      <c r="G223" t="s">
        <v>1948</v>
      </c>
      <c r="H223" t="s">
        <v>1949</v>
      </c>
      <c r="I223" t="s">
        <v>1950</v>
      </c>
      <c r="J223" t="s">
        <v>1436</v>
      </c>
      <c r="K223" t="s">
        <v>89</v>
      </c>
      <c r="L223" t="s">
        <v>89</v>
      </c>
      <c r="M223" t="s">
        <v>1438</v>
      </c>
      <c r="N223" t="s">
        <v>89</v>
      </c>
      <c r="O223" t="s">
        <v>1484</v>
      </c>
      <c r="P223" t="s">
        <v>89</v>
      </c>
      <c r="Q223" t="s">
        <v>1951</v>
      </c>
      <c r="R223" t="s">
        <v>1487</v>
      </c>
      <c r="S223" t="s">
        <v>93</v>
      </c>
      <c r="T223" t="s">
        <v>645</v>
      </c>
      <c r="U223" t="s">
        <v>1463</v>
      </c>
      <c r="V223" t="s">
        <v>89</v>
      </c>
      <c r="W223" t="s">
        <v>1484</v>
      </c>
      <c r="X223" t="s">
        <v>89</v>
      </c>
      <c r="Y223" t="s">
        <v>1952</v>
      </c>
      <c r="Z223" t="s">
        <v>1604</v>
      </c>
      <c r="AA223" t="s">
        <v>93</v>
      </c>
      <c r="AB223" t="s">
        <v>657</v>
      </c>
      <c r="AC223" t="s">
        <v>1953</v>
      </c>
    </row>
    <row r="224" spans="1:29" hidden="1" x14ac:dyDescent="0.25">
      <c r="A224" t="s">
        <v>44</v>
      </c>
      <c r="B224" t="s">
        <v>814</v>
      </c>
      <c r="C224" t="s">
        <v>666</v>
      </c>
      <c r="D224" t="s">
        <v>79</v>
      </c>
      <c r="E224" t="s">
        <v>80</v>
      </c>
      <c r="F224" t="s">
        <v>50</v>
      </c>
      <c r="G224" t="s">
        <v>1954</v>
      </c>
      <c r="H224" t="s">
        <v>1955</v>
      </c>
      <c r="I224" t="s">
        <v>1956</v>
      </c>
      <c r="J224" t="s">
        <v>1957</v>
      </c>
      <c r="K224" t="s">
        <v>89</v>
      </c>
      <c r="L224" t="s">
        <v>1889</v>
      </c>
      <c r="M224" t="s">
        <v>1438</v>
      </c>
      <c r="N224" t="s">
        <v>89</v>
      </c>
      <c r="O224" t="s">
        <v>1484</v>
      </c>
      <c r="P224" t="s">
        <v>89</v>
      </c>
      <c r="Q224" t="s">
        <v>1958</v>
      </c>
      <c r="R224" t="s">
        <v>1497</v>
      </c>
      <c r="S224" t="s">
        <v>93</v>
      </c>
      <c r="T224" t="s">
        <v>1250</v>
      </c>
      <c r="U224" t="s">
        <v>1438</v>
      </c>
      <c r="V224" t="s">
        <v>89</v>
      </c>
      <c r="W224" t="s">
        <v>1484</v>
      </c>
      <c r="X224" t="s">
        <v>89</v>
      </c>
      <c r="Y224" t="s">
        <v>1959</v>
      </c>
      <c r="Z224" t="s">
        <v>1529</v>
      </c>
      <c r="AA224" t="s">
        <v>93</v>
      </c>
      <c r="AB224" t="s">
        <v>1226</v>
      </c>
      <c r="AC224" t="s">
        <v>1960</v>
      </c>
    </row>
    <row r="225" spans="1:29" hidden="1" x14ac:dyDescent="0.25">
      <c r="A225" t="s">
        <v>44</v>
      </c>
      <c r="B225" t="s">
        <v>814</v>
      </c>
      <c r="C225" t="s">
        <v>666</v>
      </c>
      <c r="D225" t="s">
        <v>79</v>
      </c>
      <c r="E225" t="s">
        <v>80</v>
      </c>
      <c r="F225" t="s">
        <v>51</v>
      </c>
      <c r="G225" t="s">
        <v>1961</v>
      </c>
      <c r="H225" t="s">
        <v>1962</v>
      </c>
      <c r="I225" t="s">
        <v>1963</v>
      </c>
      <c r="J225" t="s">
        <v>1769</v>
      </c>
      <c r="K225" t="s">
        <v>1598</v>
      </c>
      <c r="L225" t="s">
        <v>1599</v>
      </c>
      <c r="M225" t="s">
        <v>1438</v>
      </c>
      <c r="N225" t="s">
        <v>89</v>
      </c>
      <c r="O225" t="s">
        <v>1484</v>
      </c>
      <c r="P225" t="s">
        <v>89</v>
      </c>
      <c r="Q225" t="s">
        <v>1964</v>
      </c>
      <c r="R225" t="s">
        <v>1442</v>
      </c>
      <c r="S225" t="s">
        <v>93</v>
      </c>
      <c r="T225" t="s">
        <v>1255</v>
      </c>
      <c r="U225" t="s">
        <v>1438</v>
      </c>
      <c r="V225" t="s">
        <v>89</v>
      </c>
      <c r="W225" t="s">
        <v>1484</v>
      </c>
      <c r="X225" t="s">
        <v>89</v>
      </c>
      <c r="Y225" t="s">
        <v>1965</v>
      </c>
      <c r="Z225" t="s">
        <v>1446</v>
      </c>
      <c r="AA225" t="s">
        <v>93</v>
      </c>
      <c r="AB225" t="s">
        <v>1247</v>
      </c>
      <c r="AC225" t="s">
        <v>1966</v>
      </c>
    </row>
    <row r="226" spans="1:29" hidden="1" x14ac:dyDescent="0.25">
      <c r="A226" t="s">
        <v>44</v>
      </c>
      <c r="B226" t="s">
        <v>814</v>
      </c>
      <c r="C226" t="s">
        <v>666</v>
      </c>
      <c r="D226" t="s">
        <v>79</v>
      </c>
      <c r="E226" t="s">
        <v>80</v>
      </c>
      <c r="F226" t="s">
        <v>52</v>
      </c>
      <c r="G226" t="s">
        <v>1967</v>
      </c>
      <c r="H226" t="s">
        <v>1968</v>
      </c>
      <c r="I226" t="s">
        <v>1969</v>
      </c>
      <c r="J226" t="s">
        <v>1436</v>
      </c>
      <c r="K226" t="s">
        <v>89</v>
      </c>
      <c r="L226" t="s">
        <v>1491</v>
      </c>
      <c r="M226" t="s">
        <v>1438</v>
      </c>
      <c r="N226" t="s">
        <v>89</v>
      </c>
      <c r="O226" t="s">
        <v>1484</v>
      </c>
      <c r="P226" t="s">
        <v>89</v>
      </c>
      <c r="Q226" t="s">
        <v>1970</v>
      </c>
      <c r="R226" t="s">
        <v>1515</v>
      </c>
      <c r="S226" t="s">
        <v>93</v>
      </c>
      <c r="T226" t="s">
        <v>1240</v>
      </c>
      <c r="U226" t="s">
        <v>1438</v>
      </c>
      <c r="V226" t="s">
        <v>89</v>
      </c>
      <c r="W226" t="s">
        <v>1484</v>
      </c>
      <c r="X226" t="s">
        <v>89</v>
      </c>
      <c r="Y226" t="s">
        <v>1971</v>
      </c>
      <c r="Z226" t="s">
        <v>1634</v>
      </c>
      <c r="AA226" t="s">
        <v>93</v>
      </c>
      <c r="AB226" t="s">
        <v>1235</v>
      </c>
      <c r="AC226" t="s">
        <v>1972</v>
      </c>
    </row>
    <row r="227" spans="1:29" hidden="1" x14ac:dyDescent="0.25">
      <c r="A227" t="s">
        <v>44</v>
      </c>
      <c r="B227" t="s">
        <v>814</v>
      </c>
      <c r="C227" t="s">
        <v>666</v>
      </c>
      <c r="D227" t="s">
        <v>79</v>
      </c>
      <c r="E227" t="s">
        <v>80</v>
      </c>
      <c r="F227" t="s">
        <v>53</v>
      </c>
      <c r="G227" t="s">
        <v>1973</v>
      </c>
      <c r="H227" t="s">
        <v>1974</v>
      </c>
      <c r="I227" t="s">
        <v>1646</v>
      </c>
      <c r="J227" t="s">
        <v>1436</v>
      </c>
      <c r="K227" t="s">
        <v>89</v>
      </c>
      <c r="L227" t="s">
        <v>1889</v>
      </c>
      <c r="M227" t="s">
        <v>1438</v>
      </c>
      <c r="N227" t="s">
        <v>89</v>
      </c>
      <c r="O227" t="s">
        <v>1484</v>
      </c>
      <c r="P227" t="s">
        <v>89</v>
      </c>
      <c r="Q227" t="s">
        <v>1975</v>
      </c>
      <c r="R227" t="s">
        <v>1466</v>
      </c>
      <c r="S227" t="s">
        <v>93</v>
      </c>
      <c r="T227" t="s">
        <v>1222</v>
      </c>
      <c r="U227" t="s">
        <v>1438</v>
      </c>
      <c r="V227" t="s">
        <v>89</v>
      </c>
      <c r="W227" t="s">
        <v>1484</v>
      </c>
      <c r="X227" t="s">
        <v>89</v>
      </c>
      <c r="Y227" t="s">
        <v>1976</v>
      </c>
      <c r="Z227" t="s">
        <v>1577</v>
      </c>
      <c r="AA227" t="s">
        <v>93</v>
      </c>
      <c r="AB227" t="s">
        <v>1578</v>
      </c>
      <c r="AC227" t="s">
        <v>1977</v>
      </c>
    </row>
    <row r="228" spans="1:29" hidden="1" x14ac:dyDescent="0.25">
      <c r="A228" t="s">
        <v>44</v>
      </c>
      <c r="B228" t="s">
        <v>814</v>
      </c>
      <c r="C228" t="s">
        <v>666</v>
      </c>
      <c r="D228" t="s">
        <v>79</v>
      </c>
      <c r="E228" t="s">
        <v>80</v>
      </c>
      <c r="F228" t="s">
        <v>54</v>
      </c>
      <c r="G228" t="s">
        <v>1978</v>
      </c>
      <c r="H228" t="s">
        <v>1979</v>
      </c>
      <c r="I228" t="s">
        <v>1361</v>
      </c>
      <c r="J228" t="s">
        <v>1895</v>
      </c>
      <c r="K228" t="s">
        <v>89</v>
      </c>
      <c r="L228" t="s">
        <v>1491</v>
      </c>
      <c r="M228" t="s">
        <v>1438</v>
      </c>
      <c r="N228" t="s">
        <v>89</v>
      </c>
      <c r="O228" t="s">
        <v>1484</v>
      </c>
      <c r="P228" t="s">
        <v>89</v>
      </c>
      <c r="Q228" t="s">
        <v>1980</v>
      </c>
      <c r="R228" t="s">
        <v>1515</v>
      </c>
      <c r="S228" t="s">
        <v>93</v>
      </c>
      <c r="T228" t="s">
        <v>1240</v>
      </c>
      <c r="U228" t="s">
        <v>1438</v>
      </c>
      <c r="V228" t="s">
        <v>89</v>
      </c>
      <c r="W228" t="s">
        <v>1484</v>
      </c>
      <c r="X228" t="s">
        <v>89</v>
      </c>
      <c r="Y228" t="s">
        <v>1981</v>
      </c>
      <c r="Z228" t="s">
        <v>1634</v>
      </c>
      <c r="AA228" t="s">
        <v>93</v>
      </c>
      <c r="AB228" t="s">
        <v>1235</v>
      </c>
      <c r="AC228" t="s">
        <v>1982</v>
      </c>
    </row>
    <row r="229" spans="1:29" hidden="1" x14ac:dyDescent="0.25">
      <c r="A229" t="s">
        <v>44</v>
      </c>
      <c r="B229" t="s">
        <v>814</v>
      </c>
      <c r="C229" t="s">
        <v>666</v>
      </c>
      <c r="D229" t="s">
        <v>79</v>
      </c>
      <c r="E229" t="s">
        <v>80</v>
      </c>
      <c r="F229" t="s">
        <v>55</v>
      </c>
      <c r="G229" t="s">
        <v>1830</v>
      </c>
      <c r="H229" t="s">
        <v>1983</v>
      </c>
      <c r="I229" t="s">
        <v>1984</v>
      </c>
      <c r="J229" t="s">
        <v>1450</v>
      </c>
      <c r="K229" t="s">
        <v>89</v>
      </c>
      <c r="L229" t="s">
        <v>1889</v>
      </c>
      <c r="M229" t="s">
        <v>1438</v>
      </c>
      <c r="N229" t="s">
        <v>89</v>
      </c>
      <c r="O229" t="s">
        <v>1484</v>
      </c>
      <c r="P229" t="s">
        <v>89</v>
      </c>
      <c r="Q229" t="s">
        <v>1985</v>
      </c>
      <c r="R229" t="s">
        <v>1507</v>
      </c>
      <c r="S229" t="s">
        <v>93</v>
      </c>
      <c r="T229" t="s">
        <v>1337</v>
      </c>
      <c r="U229" t="s">
        <v>1438</v>
      </c>
      <c r="V229" t="s">
        <v>89</v>
      </c>
      <c r="W229" t="s">
        <v>1484</v>
      </c>
      <c r="X229" t="s">
        <v>89</v>
      </c>
      <c r="Y229" t="s">
        <v>1986</v>
      </c>
      <c r="Z229" t="s">
        <v>1442</v>
      </c>
      <c r="AA229" t="s">
        <v>93</v>
      </c>
      <c r="AB229" t="s">
        <v>1255</v>
      </c>
      <c r="AC229" t="s">
        <v>1987</v>
      </c>
    </row>
    <row r="230" spans="1:29" hidden="1" x14ac:dyDescent="0.25">
      <c r="A230" t="s">
        <v>44</v>
      </c>
      <c r="B230" t="s">
        <v>814</v>
      </c>
      <c r="C230" t="s">
        <v>666</v>
      </c>
      <c r="D230" t="s">
        <v>79</v>
      </c>
      <c r="E230" t="s">
        <v>80</v>
      </c>
      <c r="F230" t="s">
        <v>56</v>
      </c>
      <c r="G230" t="s">
        <v>1988</v>
      </c>
      <c r="H230" t="s">
        <v>1989</v>
      </c>
      <c r="I230" t="s">
        <v>1990</v>
      </c>
      <c r="J230" t="s">
        <v>1436</v>
      </c>
      <c r="K230" t="s">
        <v>89</v>
      </c>
      <c r="L230" t="s">
        <v>1491</v>
      </c>
      <c r="M230" t="s">
        <v>1438</v>
      </c>
      <c r="N230" t="s">
        <v>89</v>
      </c>
      <c r="O230" t="s">
        <v>1484</v>
      </c>
      <c r="P230" t="s">
        <v>89</v>
      </c>
      <c r="Q230" t="s">
        <v>1991</v>
      </c>
      <c r="R230" t="s">
        <v>1670</v>
      </c>
      <c r="S230" t="s">
        <v>93</v>
      </c>
      <c r="T230" t="s">
        <v>1671</v>
      </c>
      <c r="U230" t="s">
        <v>1438</v>
      </c>
      <c r="V230" t="s">
        <v>89</v>
      </c>
      <c r="W230" t="s">
        <v>1484</v>
      </c>
      <c r="X230" t="s">
        <v>89</v>
      </c>
      <c r="Y230" t="s">
        <v>1992</v>
      </c>
      <c r="Z230" t="s">
        <v>1452</v>
      </c>
      <c r="AA230" t="s">
        <v>93</v>
      </c>
      <c r="AB230" t="s">
        <v>1453</v>
      </c>
      <c r="AC230" t="s">
        <v>1993</v>
      </c>
    </row>
    <row r="231" spans="1:29" hidden="1" x14ac:dyDescent="0.25">
      <c r="A231" t="s">
        <v>44</v>
      </c>
      <c r="B231" t="s">
        <v>897</v>
      </c>
      <c r="C231" t="s">
        <v>666</v>
      </c>
      <c r="D231" t="s">
        <v>898</v>
      </c>
      <c r="E231" t="s">
        <v>80</v>
      </c>
      <c r="F231" t="s">
        <v>45</v>
      </c>
      <c r="G231" t="s">
        <v>1994</v>
      </c>
      <c r="H231" t="s">
        <v>1995</v>
      </c>
      <c r="I231" t="s">
        <v>1996</v>
      </c>
      <c r="J231" t="s">
        <v>1997</v>
      </c>
      <c r="K231" t="s">
        <v>1554</v>
      </c>
      <c r="L231" t="s">
        <v>1998</v>
      </c>
      <c r="M231" t="s">
        <v>1438</v>
      </c>
      <c r="N231" t="s">
        <v>89</v>
      </c>
      <c r="O231" t="s">
        <v>1484</v>
      </c>
      <c r="P231" t="s">
        <v>89</v>
      </c>
      <c r="Q231" t="s">
        <v>1999</v>
      </c>
      <c r="R231" t="s">
        <v>1466</v>
      </c>
      <c r="S231" t="s">
        <v>93</v>
      </c>
      <c r="T231" t="s">
        <v>1222</v>
      </c>
      <c r="U231" t="s">
        <v>1438</v>
      </c>
      <c r="V231" t="s">
        <v>89</v>
      </c>
      <c r="W231" t="s">
        <v>1484</v>
      </c>
      <c r="X231" t="s">
        <v>89</v>
      </c>
      <c r="Y231" t="s">
        <v>2000</v>
      </c>
      <c r="Z231" t="s">
        <v>1577</v>
      </c>
      <c r="AA231" t="s">
        <v>93</v>
      </c>
      <c r="AB231" t="s">
        <v>1578</v>
      </c>
      <c r="AC231" t="s">
        <v>2001</v>
      </c>
    </row>
    <row r="232" spans="1:29" hidden="1" x14ac:dyDescent="0.25">
      <c r="A232" t="s">
        <v>44</v>
      </c>
      <c r="B232" t="s">
        <v>897</v>
      </c>
      <c r="C232" t="s">
        <v>666</v>
      </c>
      <c r="D232" t="s">
        <v>898</v>
      </c>
      <c r="E232" t="s">
        <v>80</v>
      </c>
      <c r="F232" t="s">
        <v>46</v>
      </c>
      <c r="G232" t="s">
        <v>2002</v>
      </c>
      <c r="H232" t="s">
        <v>2003</v>
      </c>
      <c r="I232" t="s">
        <v>2004</v>
      </c>
      <c r="J232" t="s">
        <v>2005</v>
      </c>
      <c r="K232" t="s">
        <v>1678</v>
      </c>
      <c r="L232" t="s">
        <v>1658</v>
      </c>
      <c r="M232" t="s">
        <v>1438</v>
      </c>
      <c r="N232" t="s">
        <v>89</v>
      </c>
      <c r="O232" t="s">
        <v>1484</v>
      </c>
      <c r="P232" t="s">
        <v>89</v>
      </c>
      <c r="Q232" t="s">
        <v>2006</v>
      </c>
      <c r="R232" t="s">
        <v>1944</v>
      </c>
      <c r="S232" t="s">
        <v>93</v>
      </c>
      <c r="T232" t="s">
        <v>1945</v>
      </c>
      <c r="U232" t="s">
        <v>1438</v>
      </c>
      <c r="V232" t="s">
        <v>89</v>
      </c>
      <c r="W232" t="s">
        <v>1439</v>
      </c>
      <c r="X232" t="s">
        <v>89</v>
      </c>
      <c r="Y232" t="s">
        <v>2007</v>
      </c>
      <c r="Z232" t="s">
        <v>1588</v>
      </c>
      <c r="AA232" t="s">
        <v>93</v>
      </c>
      <c r="AB232" t="s">
        <v>1301</v>
      </c>
      <c r="AC232" t="s">
        <v>2008</v>
      </c>
    </row>
    <row r="233" spans="1:29" hidden="1" x14ac:dyDescent="0.25">
      <c r="A233" t="s">
        <v>44</v>
      </c>
      <c r="B233" t="s">
        <v>897</v>
      </c>
      <c r="C233" t="s">
        <v>666</v>
      </c>
      <c r="D233" t="s">
        <v>898</v>
      </c>
      <c r="E233" t="s">
        <v>80</v>
      </c>
      <c r="F233" t="s">
        <v>47</v>
      </c>
      <c r="G233" t="s">
        <v>2009</v>
      </c>
      <c r="H233" t="s">
        <v>2010</v>
      </c>
      <c r="I233" t="s">
        <v>2011</v>
      </c>
      <c r="J233" t="s">
        <v>1553</v>
      </c>
      <c r="K233" t="s">
        <v>1574</v>
      </c>
      <c r="L233" t="s">
        <v>2012</v>
      </c>
      <c r="M233" t="s">
        <v>1438</v>
      </c>
      <c r="N233" t="s">
        <v>89</v>
      </c>
      <c r="O233" t="s">
        <v>1484</v>
      </c>
      <c r="P233" t="s">
        <v>89</v>
      </c>
      <c r="Q233" t="s">
        <v>2013</v>
      </c>
      <c r="R233" t="s">
        <v>1548</v>
      </c>
      <c r="S233" t="s">
        <v>93</v>
      </c>
      <c r="T233" t="s">
        <v>1397</v>
      </c>
      <c r="U233" t="s">
        <v>1438</v>
      </c>
      <c r="V233" t="s">
        <v>89</v>
      </c>
      <c r="W233" t="s">
        <v>1484</v>
      </c>
      <c r="X233" t="s">
        <v>89</v>
      </c>
      <c r="Y233" t="s">
        <v>2014</v>
      </c>
      <c r="Z233" t="s">
        <v>1670</v>
      </c>
      <c r="AA233" t="s">
        <v>93</v>
      </c>
      <c r="AB233" t="s">
        <v>1671</v>
      </c>
      <c r="AC233" t="s">
        <v>2015</v>
      </c>
    </row>
    <row r="234" spans="1:29" hidden="1" x14ac:dyDescent="0.25">
      <c r="A234" t="s">
        <v>44</v>
      </c>
      <c r="B234" t="s">
        <v>897</v>
      </c>
      <c r="C234" t="s">
        <v>666</v>
      </c>
      <c r="D234" t="s">
        <v>898</v>
      </c>
      <c r="E234" t="s">
        <v>80</v>
      </c>
      <c r="F234" t="s">
        <v>48</v>
      </c>
      <c r="G234" t="s">
        <v>2016</v>
      </c>
      <c r="H234" t="s">
        <v>2017</v>
      </c>
      <c r="I234" t="s">
        <v>2018</v>
      </c>
      <c r="J234" t="s">
        <v>1710</v>
      </c>
      <c r="K234" t="s">
        <v>89</v>
      </c>
      <c r="L234" t="s">
        <v>1896</v>
      </c>
      <c r="M234" t="s">
        <v>1438</v>
      </c>
      <c r="N234" t="s">
        <v>89</v>
      </c>
      <c r="O234" t="s">
        <v>1439</v>
      </c>
      <c r="P234" t="s">
        <v>89</v>
      </c>
      <c r="Q234" t="s">
        <v>2019</v>
      </c>
      <c r="R234" t="s">
        <v>2020</v>
      </c>
      <c r="S234" t="s">
        <v>93</v>
      </c>
      <c r="T234" t="s">
        <v>2021</v>
      </c>
      <c r="U234" t="s">
        <v>1438</v>
      </c>
      <c r="V234" t="s">
        <v>89</v>
      </c>
      <c r="W234" t="s">
        <v>1484</v>
      </c>
      <c r="X234" t="s">
        <v>89</v>
      </c>
      <c r="Y234" t="s">
        <v>2022</v>
      </c>
      <c r="Z234" t="s">
        <v>1701</v>
      </c>
      <c r="AA234" t="s">
        <v>93</v>
      </c>
      <c r="AB234" t="s">
        <v>1702</v>
      </c>
      <c r="AC234" t="s">
        <v>2023</v>
      </c>
    </row>
    <row r="235" spans="1:29" hidden="1" x14ac:dyDescent="0.25">
      <c r="A235" t="s">
        <v>44</v>
      </c>
      <c r="B235" t="s">
        <v>897</v>
      </c>
      <c r="C235" t="s">
        <v>666</v>
      </c>
      <c r="D235" t="s">
        <v>898</v>
      </c>
      <c r="E235" t="s">
        <v>80</v>
      </c>
      <c r="F235" t="s">
        <v>49</v>
      </c>
      <c r="G235" t="s">
        <v>2024</v>
      </c>
      <c r="H235" t="s">
        <v>2025</v>
      </c>
      <c r="I235" t="s">
        <v>2026</v>
      </c>
      <c r="J235" t="s">
        <v>2027</v>
      </c>
      <c r="K235" t="s">
        <v>89</v>
      </c>
      <c r="L235" t="s">
        <v>1491</v>
      </c>
      <c r="M235" t="s">
        <v>1438</v>
      </c>
      <c r="N235" t="s">
        <v>89</v>
      </c>
      <c r="O235" t="s">
        <v>1439</v>
      </c>
      <c r="P235" t="s">
        <v>89</v>
      </c>
      <c r="Q235" t="s">
        <v>2028</v>
      </c>
      <c r="R235" t="s">
        <v>1604</v>
      </c>
      <c r="S235" t="s">
        <v>93</v>
      </c>
      <c r="T235" t="s">
        <v>657</v>
      </c>
      <c r="U235" t="s">
        <v>1438</v>
      </c>
      <c r="V235" t="s">
        <v>89</v>
      </c>
      <c r="W235" t="s">
        <v>1484</v>
      </c>
      <c r="X235" t="s">
        <v>89</v>
      </c>
      <c r="Y235" t="s">
        <v>2029</v>
      </c>
      <c r="Z235" t="s">
        <v>1717</v>
      </c>
      <c r="AA235" t="s">
        <v>93</v>
      </c>
      <c r="AB235" t="s">
        <v>621</v>
      </c>
      <c r="AC235" t="s">
        <v>2030</v>
      </c>
    </row>
    <row r="236" spans="1:29" hidden="1" x14ac:dyDescent="0.25">
      <c r="A236" t="s">
        <v>44</v>
      </c>
      <c r="B236" t="s">
        <v>897</v>
      </c>
      <c r="C236" t="s">
        <v>666</v>
      </c>
      <c r="D236" t="s">
        <v>898</v>
      </c>
      <c r="E236" t="s">
        <v>80</v>
      </c>
      <c r="F236" t="s">
        <v>50</v>
      </c>
      <c r="G236" t="s">
        <v>2031</v>
      </c>
      <c r="H236" t="s">
        <v>2032</v>
      </c>
      <c r="I236" t="s">
        <v>2033</v>
      </c>
      <c r="J236" t="s">
        <v>1769</v>
      </c>
      <c r="K236" t="s">
        <v>1574</v>
      </c>
      <c r="L236" t="s">
        <v>1599</v>
      </c>
      <c r="M236" t="s">
        <v>1438</v>
      </c>
      <c r="N236" t="s">
        <v>89</v>
      </c>
      <c r="O236" t="s">
        <v>1484</v>
      </c>
      <c r="P236" t="s">
        <v>89</v>
      </c>
      <c r="Q236" t="s">
        <v>2034</v>
      </c>
      <c r="R236" t="s">
        <v>1512</v>
      </c>
      <c r="S236" t="s">
        <v>93</v>
      </c>
      <c r="T236" t="s">
        <v>1231</v>
      </c>
      <c r="U236" t="s">
        <v>1438</v>
      </c>
      <c r="V236" t="s">
        <v>89</v>
      </c>
      <c r="W236" t="s">
        <v>1484</v>
      </c>
      <c r="X236" t="s">
        <v>89</v>
      </c>
      <c r="Y236" t="s">
        <v>2035</v>
      </c>
      <c r="Z236" t="s">
        <v>1515</v>
      </c>
      <c r="AA236" t="s">
        <v>93</v>
      </c>
      <c r="AB236" t="s">
        <v>1240</v>
      </c>
      <c r="AC236" t="s">
        <v>2036</v>
      </c>
    </row>
    <row r="237" spans="1:29" hidden="1" x14ac:dyDescent="0.25">
      <c r="A237" t="s">
        <v>44</v>
      </c>
      <c r="B237" t="s">
        <v>897</v>
      </c>
      <c r="C237" t="s">
        <v>666</v>
      </c>
      <c r="D237" t="s">
        <v>898</v>
      </c>
      <c r="E237" t="s">
        <v>80</v>
      </c>
      <c r="F237" t="s">
        <v>51</v>
      </c>
      <c r="G237" t="s">
        <v>2037</v>
      </c>
      <c r="H237" t="s">
        <v>2038</v>
      </c>
      <c r="I237" t="s">
        <v>2039</v>
      </c>
      <c r="J237" t="s">
        <v>2040</v>
      </c>
      <c r="K237" t="s">
        <v>1642</v>
      </c>
      <c r="L237" t="s">
        <v>1610</v>
      </c>
      <c r="M237" t="s">
        <v>1438</v>
      </c>
      <c r="N237" t="s">
        <v>89</v>
      </c>
      <c r="O237" t="s">
        <v>1484</v>
      </c>
      <c r="P237" t="s">
        <v>89</v>
      </c>
      <c r="Q237" t="s">
        <v>2041</v>
      </c>
      <c r="R237" t="s">
        <v>1522</v>
      </c>
      <c r="S237" t="s">
        <v>93</v>
      </c>
      <c r="T237" t="s">
        <v>1412</v>
      </c>
      <c r="U237" t="s">
        <v>1438</v>
      </c>
      <c r="V237" t="s">
        <v>89</v>
      </c>
      <c r="W237" t="s">
        <v>1484</v>
      </c>
      <c r="X237" t="s">
        <v>89</v>
      </c>
      <c r="Y237" t="s">
        <v>2042</v>
      </c>
      <c r="Z237" t="s">
        <v>1462</v>
      </c>
      <c r="AA237" t="s">
        <v>93</v>
      </c>
      <c r="AB237" t="s">
        <v>1303</v>
      </c>
      <c r="AC237" t="s">
        <v>2043</v>
      </c>
    </row>
    <row r="238" spans="1:29" hidden="1" x14ac:dyDescent="0.25">
      <c r="A238" t="s">
        <v>44</v>
      </c>
      <c r="B238" t="s">
        <v>897</v>
      </c>
      <c r="C238" t="s">
        <v>666</v>
      </c>
      <c r="D238" t="s">
        <v>898</v>
      </c>
      <c r="E238" t="s">
        <v>80</v>
      </c>
      <c r="F238" t="s">
        <v>52</v>
      </c>
      <c r="G238" t="s">
        <v>2044</v>
      </c>
      <c r="H238" t="s">
        <v>2045</v>
      </c>
      <c r="I238" t="s">
        <v>2046</v>
      </c>
      <c r="J238" t="s">
        <v>1584</v>
      </c>
      <c r="K238" t="s">
        <v>1620</v>
      </c>
      <c r="L238" t="s">
        <v>1585</v>
      </c>
      <c r="M238" t="s">
        <v>1438</v>
      </c>
      <c r="N238" t="s">
        <v>89</v>
      </c>
      <c r="O238" t="s">
        <v>1484</v>
      </c>
      <c r="P238" t="s">
        <v>89</v>
      </c>
      <c r="Q238" t="s">
        <v>2047</v>
      </c>
      <c r="R238" t="s">
        <v>1504</v>
      </c>
      <c r="S238" t="s">
        <v>93</v>
      </c>
      <c r="T238" t="s">
        <v>1400</v>
      </c>
      <c r="U238" t="s">
        <v>1438</v>
      </c>
      <c r="V238" t="s">
        <v>89</v>
      </c>
      <c r="W238" t="s">
        <v>1484</v>
      </c>
      <c r="X238" t="s">
        <v>89</v>
      </c>
      <c r="Y238" t="s">
        <v>2048</v>
      </c>
      <c r="Z238" t="s">
        <v>1507</v>
      </c>
      <c r="AA238" t="s">
        <v>93</v>
      </c>
      <c r="AB238" t="s">
        <v>1337</v>
      </c>
      <c r="AC238" t="s">
        <v>2049</v>
      </c>
    </row>
    <row r="239" spans="1:29" hidden="1" x14ac:dyDescent="0.25">
      <c r="A239" t="s">
        <v>44</v>
      </c>
      <c r="B239" t="s">
        <v>897</v>
      </c>
      <c r="C239" t="s">
        <v>666</v>
      </c>
      <c r="D239" t="s">
        <v>898</v>
      </c>
      <c r="E239" t="s">
        <v>80</v>
      </c>
      <c r="F239" t="s">
        <v>53</v>
      </c>
      <c r="G239" t="s">
        <v>2050</v>
      </c>
      <c r="H239" t="s">
        <v>2051</v>
      </c>
      <c r="I239" t="s">
        <v>2052</v>
      </c>
      <c r="J239" t="s">
        <v>1769</v>
      </c>
      <c r="K239" t="s">
        <v>1598</v>
      </c>
      <c r="L239" t="s">
        <v>1610</v>
      </c>
      <c r="M239" t="s">
        <v>1438</v>
      </c>
      <c r="N239" t="s">
        <v>89</v>
      </c>
      <c r="O239" t="s">
        <v>1484</v>
      </c>
      <c r="P239" t="s">
        <v>89</v>
      </c>
      <c r="Q239" t="s">
        <v>2053</v>
      </c>
      <c r="R239" t="s">
        <v>1545</v>
      </c>
      <c r="S239" t="s">
        <v>93</v>
      </c>
      <c r="T239" t="s">
        <v>1311</v>
      </c>
      <c r="U239" t="s">
        <v>1438</v>
      </c>
      <c r="V239" t="s">
        <v>89</v>
      </c>
      <c r="W239" t="s">
        <v>1484</v>
      </c>
      <c r="X239" t="s">
        <v>89</v>
      </c>
      <c r="Y239" t="s">
        <v>2054</v>
      </c>
      <c r="Z239" t="s">
        <v>1548</v>
      </c>
      <c r="AA239" t="s">
        <v>93</v>
      </c>
      <c r="AB239" t="s">
        <v>1397</v>
      </c>
      <c r="AC239" t="s">
        <v>2055</v>
      </c>
    </row>
    <row r="240" spans="1:29" hidden="1" x14ac:dyDescent="0.25">
      <c r="A240" t="s">
        <v>44</v>
      </c>
      <c r="B240" t="s">
        <v>897</v>
      </c>
      <c r="C240" t="s">
        <v>666</v>
      </c>
      <c r="D240" t="s">
        <v>898</v>
      </c>
      <c r="E240" t="s">
        <v>80</v>
      </c>
      <c r="F240" t="s">
        <v>54</v>
      </c>
      <c r="G240" t="s">
        <v>2056</v>
      </c>
      <c r="H240" t="s">
        <v>2057</v>
      </c>
      <c r="I240" t="s">
        <v>2058</v>
      </c>
      <c r="J240" t="s">
        <v>1882</v>
      </c>
      <c r="K240" t="s">
        <v>89</v>
      </c>
      <c r="L240" t="s">
        <v>1491</v>
      </c>
      <c r="M240" t="s">
        <v>1438</v>
      </c>
      <c r="N240" t="s">
        <v>89</v>
      </c>
      <c r="O240" t="s">
        <v>1484</v>
      </c>
      <c r="P240" t="s">
        <v>89</v>
      </c>
      <c r="Q240" t="s">
        <v>2059</v>
      </c>
      <c r="R240" t="s">
        <v>1634</v>
      </c>
      <c r="S240" t="s">
        <v>93</v>
      </c>
      <c r="T240" t="s">
        <v>1235</v>
      </c>
      <c r="U240" t="s">
        <v>1438</v>
      </c>
      <c r="V240" t="s">
        <v>89</v>
      </c>
      <c r="W240" t="s">
        <v>1484</v>
      </c>
      <c r="X240" t="s">
        <v>89</v>
      </c>
      <c r="Y240" t="s">
        <v>2060</v>
      </c>
      <c r="Z240" t="s">
        <v>1504</v>
      </c>
      <c r="AA240" t="s">
        <v>93</v>
      </c>
      <c r="AB240" t="s">
        <v>1400</v>
      </c>
      <c r="AC240" t="s">
        <v>2061</v>
      </c>
    </row>
    <row r="241" spans="1:29" hidden="1" x14ac:dyDescent="0.25">
      <c r="A241" t="s">
        <v>44</v>
      </c>
      <c r="B241" t="s">
        <v>897</v>
      </c>
      <c r="C241" t="s">
        <v>666</v>
      </c>
      <c r="D241" t="s">
        <v>898</v>
      </c>
      <c r="E241" t="s">
        <v>80</v>
      </c>
      <c r="F241" t="s">
        <v>55</v>
      </c>
      <c r="G241" t="s">
        <v>2062</v>
      </c>
      <c r="H241" t="s">
        <v>2063</v>
      </c>
      <c r="I241" t="s">
        <v>2064</v>
      </c>
      <c r="J241" t="s">
        <v>1997</v>
      </c>
      <c r="K241" t="s">
        <v>1554</v>
      </c>
      <c r="L241" t="s">
        <v>1575</v>
      </c>
      <c r="M241" t="s">
        <v>1438</v>
      </c>
      <c r="N241" t="s">
        <v>89</v>
      </c>
      <c r="O241" t="s">
        <v>1484</v>
      </c>
      <c r="P241" t="s">
        <v>89</v>
      </c>
      <c r="Q241" t="s">
        <v>2065</v>
      </c>
      <c r="R241" t="s">
        <v>1446</v>
      </c>
      <c r="S241" t="s">
        <v>93</v>
      </c>
      <c r="T241" t="s">
        <v>1247</v>
      </c>
      <c r="U241" t="s">
        <v>1438</v>
      </c>
      <c r="V241" t="s">
        <v>89</v>
      </c>
      <c r="W241" t="s">
        <v>1484</v>
      </c>
      <c r="X241" t="s">
        <v>89</v>
      </c>
      <c r="Y241" t="s">
        <v>2066</v>
      </c>
      <c r="Z241" t="s">
        <v>1522</v>
      </c>
      <c r="AA241" t="s">
        <v>93</v>
      </c>
      <c r="AB241" t="s">
        <v>1412</v>
      </c>
      <c r="AC241" t="s">
        <v>2067</v>
      </c>
    </row>
    <row r="242" spans="1:29" hidden="1" x14ac:dyDescent="0.25">
      <c r="A242" t="s">
        <v>44</v>
      </c>
      <c r="B242" t="s">
        <v>897</v>
      </c>
      <c r="C242" t="s">
        <v>666</v>
      </c>
      <c r="D242" t="s">
        <v>898</v>
      </c>
      <c r="E242" t="s">
        <v>80</v>
      </c>
      <c r="F242" t="s">
        <v>56</v>
      </c>
      <c r="G242" t="s">
        <v>2068</v>
      </c>
      <c r="H242" t="s">
        <v>2069</v>
      </c>
      <c r="I242" t="s">
        <v>2070</v>
      </c>
      <c r="J242" t="s">
        <v>2071</v>
      </c>
      <c r="K242" t="s">
        <v>1620</v>
      </c>
      <c r="L242" t="s">
        <v>2072</v>
      </c>
      <c r="M242" t="s">
        <v>1438</v>
      </c>
      <c r="N242" t="s">
        <v>89</v>
      </c>
      <c r="O242" t="s">
        <v>1484</v>
      </c>
      <c r="P242" t="s">
        <v>89</v>
      </c>
      <c r="Q242" t="s">
        <v>2073</v>
      </c>
      <c r="R242" t="s">
        <v>1456</v>
      </c>
      <c r="S242" t="s">
        <v>93</v>
      </c>
      <c r="T242" t="s">
        <v>1320</v>
      </c>
      <c r="U242" t="s">
        <v>1438</v>
      </c>
      <c r="V242" t="s">
        <v>89</v>
      </c>
      <c r="W242" t="s">
        <v>1484</v>
      </c>
      <c r="X242" t="s">
        <v>89</v>
      </c>
      <c r="Y242" t="s">
        <v>2074</v>
      </c>
      <c r="Z242" t="s">
        <v>1472</v>
      </c>
      <c r="AA242" t="s">
        <v>93</v>
      </c>
      <c r="AB242" t="s">
        <v>1473</v>
      </c>
      <c r="AC242" t="s">
        <v>2075</v>
      </c>
    </row>
    <row r="243" spans="1:29" hidden="1" x14ac:dyDescent="0.25">
      <c r="A243" t="s">
        <v>44</v>
      </c>
      <c r="B243" t="s">
        <v>959</v>
      </c>
      <c r="C243" t="s">
        <v>666</v>
      </c>
      <c r="D243" t="s">
        <v>666</v>
      </c>
      <c r="E243" t="s">
        <v>80</v>
      </c>
      <c r="F243" t="s">
        <v>45</v>
      </c>
      <c r="G243" t="s">
        <v>2076</v>
      </c>
      <c r="H243" t="s">
        <v>2077</v>
      </c>
      <c r="I243" t="s">
        <v>2078</v>
      </c>
      <c r="J243" t="s">
        <v>1761</v>
      </c>
      <c r="K243" t="s">
        <v>1574</v>
      </c>
      <c r="L243" t="s">
        <v>1643</v>
      </c>
      <c r="M243" t="s">
        <v>89</v>
      </c>
      <c r="N243" t="s">
        <v>89</v>
      </c>
      <c r="O243" t="s">
        <v>89</v>
      </c>
      <c r="P243" t="s">
        <v>2079</v>
      </c>
      <c r="Q243" t="s">
        <v>2080</v>
      </c>
      <c r="R243" t="s">
        <v>1545</v>
      </c>
      <c r="S243" t="s">
        <v>93</v>
      </c>
      <c r="T243" t="s">
        <v>1311</v>
      </c>
      <c r="U243" t="s">
        <v>89</v>
      </c>
      <c r="V243" t="s">
        <v>89</v>
      </c>
      <c r="W243" t="s">
        <v>1484</v>
      </c>
      <c r="X243" t="s">
        <v>2081</v>
      </c>
      <c r="Y243" t="s">
        <v>2082</v>
      </c>
      <c r="Z243" t="s">
        <v>1548</v>
      </c>
      <c r="AA243" t="s">
        <v>93</v>
      </c>
      <c r="AB243" t="s">
        <v>1397</v>
      </c>
      <c r="AC243" t="s">
        <v>2083</v>
      </c>
    </row>
    <row r="244" spans="1:29" hidden="1" x14ac:dyDescent="0.25">
      <c r="A244" t="s">
        <v>44</v>
      </c>
      <c r="B244" t="s">
        <v>959</v>
      </c>
      <c r="C244" t="s">
        <v>666</v>
      </c>
      <c r="D244" t="s">
        <v>666</v>
      </c>
      <c r="E244" t="s">
        <v>80</v>
      </c>
      <c r="F244" t="s">
        <v>46</v>
      </c>
      <c r="G244" t="s">
        <v>2084</v>
      </c>
      <c r="H244" t="s">
        <v>2085</v>
      </c>
      <c r="I244" t="s">
        <v>2086</v>
      </c>
      <c r="J244" t="s">
        <v>2087</v>
      </c>
      <c r="K244" t="s">
        <v>1598</v>
      </c>
      <c r="L244" t="s">
        <v>1599</v>
      </c>
      <c r="M244" t="s">
        <v>89</v>
      </c>
      <c r="N244" t="s">
        <v>89</v>
      </c>
      <c r="O244" t="s">
        <v>89</v>
      </c>
      <c r="P244" t="s">
        <v>98</v>
      </c>
      <c r="Q244" t="s">
        <v>2088</v>
      </c>
      <c r="R244" t="s">
        <v>2020</v>
      </c>
      <c r="S244" t="s">
        <v>93</v>
      </c>
      <c r="T244" t="s">
        <v>2021</v>
      </c>
      <c r="U244" t="s">
        <v>89</v>
      </c>
      <c r="V244" t="s">
        <v>89</v>
      </c>
      <c r="W244" t="s">
        <v>1484</v>
      </c>
      <c r="X244" t="s">
        <v>2089</v>
      </c>
      <c r="Y244" t="s">
        <v>2090</v>
      </c>
      <c r="Z244" t="s">
        <v>1701</v>
      </c>
      <c r="AA244" t="s">
        <v>93</v>
      </c>
      <c r="AB244" t="s">
        <v>1702</v>
      </c>
      <c r="AC244" t="s">
        <v>2091</v>
      </c>
    </row>
    <row r="245" spans="1:29" hidden="1" x14ac:dyDescent="0.25">
      <c r="A245" t="s">
        <v>44</v>
      </c>
      <c r="B245" t="s">
        <v>959</v>
      </c>
      <c r="C245" t="s">
        <v>666</v>
      </c>
      <c r="D245" t="s">
        <v>666</v>
      </c>
      <c r="E245" t="s">
        <v>80</v>
      </c>
      <c r="F245" t="s">
        <v>47</v>
      </c>
      <c r="G245" t="s">
        <v>2092</v>
      </c>
      <c r="H245" t="s">
        <v>2093</v>
      </c>
      <c r="I245" t="s">
        <v>2094</v>
      </c>
      <c r="J245" t="s">
        <v>2095</v>
      </c>
      <c r="K245" t="s">
        <v>1642</v>
      </c>
      <c r="L245" t="s">
        <v>2096</v>
      </c>
      <c r="M245" t="s">
        <v>89</v>
      </c>
      <c r="N245" t="s">
        <v>89</v>
      </c>
      <c r="O245" t="s">
        <v>1484</v>
      </c>
      <c r="P245" t="s">
        <v>1400</v>
      </c>
      <c r="Q245" t="s">
        <v>2097</v>
      </c>
      <c r="R245" t="s">
        <v>1452</v>
      </c>
      <c r="S245" t="s">
        <v>93</v>
      </c>
      <c r="T245" t="s">
        <v>1453</v>
      </c>
      <c r="U245" t="s">
        <v>89</v>
      </c>
      <c r="V245" t="s">
        <v>89</v>
      </c>
      <c r="W245" t="s">
        <v>1484</v>
      </c>
      <c r="X245" t="s">
        <v>2098</v>
      </c>
      <c r="Y245" t="s">
        <v>2099</v>
      </c>
      <c r="Z245" t="s">
        <v>1456</v>
      </c>
      <c r="AA245" t="s">
        <v>93</v>
      </c>
      <c r="AB245" t="s">
        <v>1320</v>
      </c>
      <c r="AC245" t="s">
        <v>2100</v>
      </c>
    </row>
    <row r="246" spans="1:29" hidden="1" x14ac:dyDescent="0.25">
      <c r="A246" t="s">
        <v>44</v>
      </c>
      <c r="B246" t="s">
        <v>959</v>
      </c>
      <c r="C246" t="s">
        <v>666</v>
      </c>
      <c r="D246" t="s">
        <v>666</v>
      </c>
      <c r="E246" t="s">
        <v>80</v>
      </c>
      <c r="F246" t="s">
        <v>48</v>
      </c>
      <c r="G246" t="s">
        <v>2101</v>
      </c>
      <c r="H246" t="s">
        <v>2102</v>
      </c>
      <c r="I246" t="s">
        <v>2103</v>
      </c>
      <c r="J246" t="s">
        <v>1667</v>
      </c>
      <c r="K246" t="s">
        <v>1598</v>
      </c>
      <c r="L246" t="s">
        <v>2012</v>
      </c>
      <c r="M246" t="s">
        <v>89</v>
      </c>
      <c r="N246" t="s">
        <v>89</v>
      </c>
      <c r="O246" t="s">
        <v>1484</v>
      </c>
      <c r="P246" t="s">
        <v>1397</v>
      </c>
      <c r="Q246" t="s">
        <v>2104</v>
      </c>
      <c r="R246" t="s">
        <v>2105</v>
      </c>
      <c r="S246" t="s">
        <v>93</v>
      </c>
      <c r="T246" t="s">
        <v>2089</v>
      </c>
      <c r="U246" t="s">
        <v>89</v>
      </c>
      <c r="V246" t="s">
        <v>89</v>
      </c>
      <c r="W246" t="s">
        <v>89</v>
      </c>
      <c r="X246" t="s">
        <v>968</v>
      </c>
      <c r="Y246" t="s">
        <v>2106</v>
      </c>
      <c r="Z246" t="s">
        <v>2107</v>
      </c>
      <c r="AA246" t="s">
        <v>93</v>
      </c>
      <c r="AB246" t="s">
        <v>2108</v>
      </c>
      <c r="AC246" t="s">
        <v>2109</v>
      </c>
    </row>
    <row r="247" spans="1:29" hidden="1" x14ac:dyDescent="0.25">
      <c r="A247" t="s">
        <v>44</v>
      </c>
      <c r="B247" t="s">
        <v>959</v>
      </c>
      <c r="C247" t="s">
        <v>666</v>
      </c>
      <c r="D247" t="s">
        <v>666</v>
      </c>
      <c r="E247" t="s">
        <v>80</v>
      </c>
      <c r="F247" t="s">
        <v>49</v>
      </c>
      <c r="G247" t="s">
        <v>2110</v>
      </c>
      <c r="H247" t="s">
        <v>2111</v>
      </c>
      <c r="I247" t="s">
        <v>2112</v>
      </c>
      <c r="J247" t="s">
        <v>2113</v>
      </c>
      <c r="K247" t="s">
        <v>89</v>
      </c>
      <c r="L247" t="s">
        <v>1643</v>
      </c>
      <c r="M247" t="s">
        <v>1438</v>
      </c>
      <c r="N247" t="s">
        <v>89</v>
      </c>
      <c r="O247" t="s">
        <v>1484</v>
      </c>
      <c r="P247" t="s">
        <v>89</v>
      </c>
      <c r="Q247" t="s">
        <v>2114</v>
      </c>
      <c r="R247" t="s">
        <v>1717</v>
      </c>
      <c r="S247" t="s">
        <v>93</v>
      </c>
      <c r="T247" t="s">
        <v>621</v>
      </c>
      <c r="U247" t="s">
        <v>1438</v>
      </c>
      <c r="V247" t="s">
        <v>89</v>
      </c>
      <c r="W247" t="s">
        <v>1484</v>
      </c>
      <c r="X247" t="s">
        <v>89</v>
      </c>
      <c r="Y247" t="s">
        <v>2115</v>
      </c>
      <c r="Z247" t="s">
        <v>1812</v>
      </c>
      <c r="AA247" t="s">
        <v>93</v>
      </c>
      <c r="AB247" t="s">
        <v>626</v>
      </c>
      <c r="AC247" t="s">
        <v>2116</v>
      </c>
    </row>
    <row r="248" spans="1:29" hidden="1" x14ac:dyDescent="0.25">
      <c r="A248" t="s">
        <v>44</v>
      </c>
      <c r="B248" t="s">
        <v>959</v>
      </c>
      <c r="C248" t="s">
        <v>666</v>
      </c>
      <c r="D248" t="s">
        <v>666</v>
      </c>
      <c r="E248" t="s">
        <v>80</v>
      </c>
      <c r="F248" t="s">
        <v>50</v>
      </c>
      <c r="G248" t="s">
        <v>2117</v>
      </c>
      <c r="H248" t="s">
        <v>2118</v>
      </c>
      <c r="I248" t="s">
        <v>2112</v>
      </c>
      <c r="J248" t="s">
        <v>2119</v>
      </c>
      <c r="K248" t="s">
        <v>89</v>
      </c>
      <c r="L248" t="s">
        <v>2120</v>
      </c>
      <c r="M248" t="s">
        <v>1438</v>
      </c>
      <c r="N248" t="s">
        <v>89</v>
      </c>
      <c r="O248" t="s">
        <v>1484</v>
      </c>
      <c r="P248" t="s">
        <v>89</v>
      </c>
      <c r="Q248" t="s">
        <v>2121</v>
      </c>
      <c r="R248" t="s">
        <v>1515</v>
      </c>
      <c r="S248" t="s">
        <v>93</v>
      </c>
      <c r="T248" t="s">
        <v>1240</v>
      </c>
      <c r="U248" t="s">
        <v>1438</v>
      </c>
      <c r="V248" t="s">
        <v>89</v>
      </c>
      <c r="W248" t="s">
        <v>1484</v>
      </c>
      <c r="X248" t="s">
        <v>89</v>
      </c>
      <c r="Y248" t="s">
        <v>2122</v>
      </c>
      <c r="Z248" t="s">
        <v>1634</v>
      </c>
      <c r="AA248" t="s">
        <v>93</v>
      </c>
      <c r="AB248" t="s">
        <v>1235</v>
      </c>
      <c r="AC248" t="s">
        <v>2123</v>
      </c>
    </row>
    <row r="249" spans="1:29" hidden="1" x14ac:dyDescent="0.25">
      <c r="A249" t="s">
        <v>44</v>
      </c>
      <c r="B249" t="s">
        <v>959</v>
      </c>
      <c r="C249" t="s">
        <v>666</v>
      </c>
      <c r="D249" t="s">
        <v>666</v>
      </c>
      <c r="E249" t="s">
        <v>80</v>
      </c>
      <c r="F249" t="s">
        <v>51</v>
      </c>
      <c r="G249" t="s">
        <v>2124</v>
      </c>
      <c r="H249" t="s">
        <v>2125</v>
      </c>
      <c r="I249" t="s">
        <v>2126</v>
      </c>
      <c r="J249" t="s">
        <v>1609</v>
      </c>
      <c r="K249" t="s">
        <v>1598</v>
      </c>
      <c r="L249" t="s">
        <v>2072</v>
      </c>
      <c r="M249" t="s">
        <v>89</v>
      </c>
      <c r="N249" t="s">
        <v>89</v>
      </c>
      <c r="O249" t="s">
        <v>1484</v>
      </c>
      <c r="P249" t="s">
        <v>1320</v>
      </c>
      <c r="Q249" t="s">
        <v>2127</v>
      </c>
      <c r="R249" t="s">
        <v>1466</v>
      </c>
      <c r="S249" t="s">
        <v>93</v>
      </c>
      <c r="T249" t="s">
        <v>1222</v>
      </c>
      <c r="U249" t="s">
        <v>89</v>
      </c>
      <c r="V249" t="s">
        <v>89</v>
      </c>
      <c r="W249" t="s">
        <v>1484</v>
      </c>
      <c r="X249" t="s">
        <v>2128</v>
      </c>
      <c r="Y249" t="s">
        <v>2129</v>
      </c>
      <c r="Z249" t="s">
        <v>1577</v>
      </c>
      <c r="AA249" t="s">
        <v>93</v>
      </c>
      <c r="AB249" t="s">
        <v>1578</v>
      </c>
      <c r="AC249" t="s">
        <v>2130</v>
      </c>
    </row>
    <row r="250" spans="1:29" hidden="1" x14ac:dyDescent="0.25">
      <c r="A250" t="s">
        <v>44</v>
      </c>
      <c r="B250" t="s">
        <v>959</v>
      </c>
      <c r="C250" t="s">
        <v>666</v>
      </c>
      <c r="D250" t="s">
        <v>666</v>
      </c>
      <c r="E250" t="s">
        <v>80</v>
      </c>
      <c r="F250" t="s">
        <v>52</v>
      </c>
      <c r="G250" t="s">
        <v>2131</v>
      </c>
      <c r="H250" t="s">
        <v>2132</v>
      </c>
      <c r="I250" t="s">
        <v>2133</v>
      </c>
      <c r="J250" t="s">
        <v>1609</v>
      </c>
      <c r="K250" t="s">
        <v>1642</v>
      </c>
      <c r="L250" t="s">
        <v>1599</v>
      </c>
      <c r="M250" t="s">
        <v>89</v>
      </c>
      <c r="N250" t="s">
        <v>89</v>
      </c>
      <c r="O250" t="s">
        <v>1484</v>
      </c>
      <c r="P250" t="s">
        <v>228</v>
      </c>
      <c r="Q250" t="s">
        <v>2134</v>
      </c>
      <c r="R250" t="s">
        <v>1442</v>
      </c>
      <c r="S250" t="s">
        <v>93</v>
      </c>
      <c r="T250" t="s">
        <v>1255</v>
      </c>
      <c r="U250" t="s">
        <v>89</v>
      </c>
      <c r="V250" t="s">
        <v>89</v>
      </c>
      <c r="W250" t="s">
        <v>1484</v>
      </c>
      <c r="X250" t="s">
        <v>1056</v>
      </c>
      <c r="Y250" t="s">
        <v>2135</v>
      </c>
      <c r="Z250" t="s">
        <v>1446</v>
      </c>
      <c r="AA250" t="s">
        <v>93</v>
      </c>
      <c r="AB250" t="s">
        <v>1247</v>
      </c>
      <c r="AC250" t="s">
        <v>2136</v>
      </c>
    </row>
    <row r="251" spans="1:29" hidden="1" x14ac:dyDescent="0.25">
      <c r="A251" t="s">
        <v>44</v>
      </c>
      <c r="B251" t="s">
        <v>959</v>
      </c>
      <c r="C251" t="s">
        <v>666</v>
      </c>
      <c r="D251" t="s">
        <v>666</v>
      </c>
      <c r="E251" t="s">
        <v>80</v>
      </c>
      <c r="F251" t="s">
        <v>53</v>
      </c>
      <c r="G251" t="s">
        <v>2137</v>
      </c>
      <c r="H251" t="s">
        <v>2138</v>
      </c>
      <c r="I251" t="s">
        <v>2139</v>
      </c>
      <c r="J251" t="s">
        <v>1997</v>
      </c>
      <c r="K251" t="s">
        <v>1598</v>
      </c>
      <c r="L251" t="s">
        <v>1762</v>
      </c>
      <c r="M251" t="s">
        <v>89</v>
      </c>
      <c r="N251" t="s">
        <v>89</v>
      </c>
      <c r="O251" t="s">
        <v>1484</v>
      </c>
      <c r="P251" t="s">
        <v>2140</v>
      </c>
      <c r="Q251" t="s">
        <v>2141</v>
      </c>
      <c r="R251" t="s">
        <v>1452</v>
      </c>
      <c r="S251" t="s">
        <v>93</v>
      </c>
      <c r="T251" t="s">
        <v>1453</v>
      </c>
      <c r="U251" t="s">
        <v>89</v>
      </c>
      <c r="V251" t="s">
        <v>89</v>
      </c>
      <c r="W251" t="s">
        <v>1484</v>
      </c>
      <c r="X251" t="s">
        <v>626</v>
      </c>
      <c r="Y251" t="s">
        <v>2142</v>
      </c>
      <c r="Z251" t="s">
        <v>1456</v>
      </c>
      <c r="AA251" t="s">
        <v>93</v>
      </c>
      <c r="AB251" t="s">
        <v>1320</v>
      </c>
      <c r="AC251" t="s">
        <v>2143</v>
      </c>
    </row>
    <row r="252" spans="1:29" hidden="1" x14ac:dyDescent="0.25">
      <c r="A252" t="s">
        <v>44</v>
      </c>
      <c r="B252" t="s">
        <v>959</v>
      </c>
      <c r="C252" t="s">
        <v>666</v>
      </c>
      <c r="D252" t="s">
        <v>666</v>
      </c>
      <c r="E252" t="s">
        <v>80</v>
      </c>
      <c r="F252" t="s">
        <v>54</v>
      </c>
      <c r="G252" t="s">
        <v>2144</v>
      </c>
      <c r="H252" t="s">
        <v>2145</v>
      </c>
      <c r="I252" t="s">
        <v>2146</v>
      </c>
      <c r="J252" t="s">
        <v>1761</v>
      </c>
      <c r="K252" t="s">
        <v>1554</v>
      </c>
      <c r="L252" t="s">
        <v>2147</v>
      </c>
      <c r="M252" t="s">
        <v>1438</v>
      </c>
      <c r="N252" t="s">
        <v>89</v>
      </c>
      <c r="O252" t="s">
        <v>1484</v>
      </c>
      <c r="P252" t="s">
        <v>89</v>
      </c>
      <c r="Q252" t="s">
        <v>2148</v>
      </c>
      <c r="R252" t="s">
        <v>1507</v>
      </c>
      <c r="S252" t="s">
        <v>93</v>
      </c>
      <c r="T252" t="s">
        <v>1337</v>
      </c>
      <c r="U252" t="s">
        <v>1438</v>
      </c>
      <c r="V252" t="s">
        <v>89</v>
      </c>
      <c r="W252" t="s">
        <v>1484</v>
      </c>
      <c r="X252" t="s">
        <v>89</v>
      </c>
      <c r="Y252" t="s">
        <v>2149</v>
      </c>
      <c r="Z252" t="s">
        <v>1442</v>
      </c>
      <c r="AA252" t="s">
        <v>93</v>
      </c>
      <c r="AB252" t="s">
        <v>1255</v>
      </c>
      <c r="AC252" t="s">
        <v>2150</v>
      </c>
    </row>
    <row r="253" spans="1:29" hidden="1" x14ac:dyDescent="0.25">
      <c r="A253" t="s">
        <v>44</v>
      </c>
      <c r="B253" t="s">
        <v>959</v>
      </c>
      <c r="C253" t="s">
        <v>666</v>
      </c>
      <c r="D253" t="s">
        <v>666</v>
      </c>
      <c r="E253" t="s">
        <v>80</v>
      </c>
      <c r="F253" t="s">
        <v>55</v>
      </c>
      <c r="G253" t="s">
        <v>2151</v>
      </c>
      <c r="H253" t="s">
        <v>2152</v>
      </c>
      <c r="I253" t="s">
        <v>2153</v>
      </c>
      <c r="J253" t="s">
        <v>2087</v>
      </c>
      <c r="K253" t="s">
        <v>1554</v>
      </c>
      <c r="L253" t="s">
        <v>1599</v>
      </c>
      <c r="M253" t="s">
        <v>89</v>
      </c>
      <c r="N253" t="s">
        <v>89</v>
      </c>
      <c r="O253" t="s">
        <v>1484</v>
      </c>
      <c r="P253" t="s">
        <v>317</v>
      </c>
      <c r="Q253" t="s">
        <v>2154</v>
      </c>
      <c r="R253" t="s">
        <v>1462</v>
      </c>
      <c r="S253" t="s">
        <v>93</v>
      </c>
      <c r="T253" t="s">
        <v>1303</v>
      </c>
      <c r="U253" t="s">
        <v>89</v>
      </c>
      <c r="V253" t="s">
        <v>89</v>
      </c>
      <c r="W253" t="s">
        <v>1484</v>
      </c>
      <c r="X253" t="s">
        <v>857</v>
      </c>
      <c r="Y253" t="s">
        <v>2155</v>
      </c>
      <c r="Z253" t="s">
        <v>1466</v>
      </c>
      <c r="AA253" t="s">
        <v>93</v>
      </c>
      <c r="AB253" t="s">
        <v>1222</v>
      </c>
      <c r="AC253" t="s">
        <v>2156</v>
      </c>
    </row>
    <row r="254" spans="1:29" hidden="1" x14ac:dyDescent="0.25">
      <c r="A254" t="s">
        <v>44</v>
      </c>
      <c r="B254" t="s">
        <v>959</v>
      </c>
      <c r="C254" t="s">
        <v>666</v>
      </c>
      <c r="D254" t="s">
        <v>666</v>
      </c>
      <c r="E254" t="s">
        <v>80</v>
      </c>
      <c r="F254" t="s">
        <v>56</v>
      </c>
      <c r="G254" t="s">
        <v>2157</v>
      </c>
      <c r="H254" t="s">
        <v>2158</v>
      </c>
      <c r="I254" t="s">
        <v>2159</v>
      </c>
      <c r="J254" t="s">
        <v>1542</v>
      </c>
      <c r="K254" t="s">
        <v>89</v>
      </c>
      <c r="L254" t="s">
        <v>1883</v>
      </c>
      <c r="M254" t="s">
        <v>89</v>
      </c>
      <c r="N254" t="s">
        <v>89</v>
      </c>
      <c r="O254" t="s">
        <v>1484</v>
      </c>
      <c r="P254" t="s">
        <v>1235</v>
      </c>
      <c r="Q254" t="s">
        <v>2160</v>
      </c>
      <c r="R254" t="s">
        <v>1567</v>
      </c>
      <c r="S254" t="s">
        <v>93</v>
      </c>
      <c r="T254" t="s">
        <v>1568</v>
      </c>
      <c r="U254" t="s">
        <v>89</v>
      </c>
      <c r="V254" t="s">
        <v>89</v>
      </c>
      <c r="W254" t="s">
        <v>1484</v>
      </c>
      <c r="X254" t="s">
        <v>657</v>
      </c>
      <c r="Y254" t="s">
        <v>2161</v>
      </c>
      <c r="Z254" t="s">
        <v>1944</v>
      </c>
      <c r="AA254" t="s">
        <v>93</v>
      </c>
      <c r="AB254" t="s">
        <v>1945</v>
      </c>
      <c r="AC254" t="s">
        <v>2162</v>
      </c>
    </row>
    <row r="255" spans="1:29" hidden="1" x14ac:dyDescent="0.25">
      <c r="A255" t="s">
        <v>44</v>
      </c>
      <c r="B255" t="s">
        <v>897</v>
      </c>
      <c r="C255" t="s">
        <v>1026</v>
      </c>
      <c r="D255" t="s">
        <v>274</v>
      </c>
      <c r="E255" t="s">
        <v>80</v>
      </c>
      <c r="F255" t="s">
        <v>45</v>
      </c>
      <c r="G255" t="s">
        <v>1550</v>
      </c>
      <c r="H255" t="s">
        <v>2163</v>
      </c>
      <c r="I255" t="s">
        <v>1705</v>
      </c>
      <c r="J255" t="s">
        <v>2164</v>
      </c>
      <c r="K255" t="s">
        <v>89</v>
      </c>
      <c r="L255" t="s">
        <v>1889</v>
      </c>
      <c r="M255" t="s">
        <v>1463</v>
      </c>
      <c r="N255" t="s">
        <v>89</v>
      </c>
      <c r="O255" t="s">
        <v>1484</v>
      </c>
      <c r="P255" t="s">
        <v>89</v>
      </c>
      <c r="Q255" t="s">
        <v>2165</v>
      </c>
      <c r="R255" t="s">
        <v>1462</v>
      </c>
      <c r="S255" t="s">
        <v>93</v>
      </c>
      <c r="T255" t="s">
        <v>1303</v>
      </c>
      <c r="U255" t="s">
        <v>1463</v>
      </c>
      <c r="V255" t="s">
        <v>89</v>
      </c>
      <c r="W255" t="s">
        <v>1484</v>
      </c>
      <c r="X255" t="s">
        <v>89</v>
      </c>
      <c r="Y255" t="s">
        <v>2166</v>
      </c>
      <c r="Z255" t="s">
        <v>1466</v>
      </c>
      <c r="AA255" t="s">
        <v>93</v>
      </c>
      <c r="AB255" t="s">
        <v>1222</v>
      </c>
      <c r="AC255" t="s">
        <v>2167</v>
      </c>
    </row>
    <row r="256" spans="1:29" hidden="1" x14ac:dyDescent="0.25">
      <c r="A256" t="s">
        <v>44</v>
      </c>
      <c r="B256" t="s">
        <v>897</v>
      </c>
      <c r="C256" t="s">
        <v>1026</v>
      </c>
      <c r="D256" t="s">
        <v>274</v>
      </c>
      <c r="E256" t="s">
        <v>80</v>
      </c>
      <c r="F256" t="s">
        <v>46</v>
      </c>
      <c r="G256" t="s">
        <v>1560</v>
      </c>
      <c r="H256" t="s">
        <v>2168</v>
      </c>
      <c r="I256" t="s">
        <v>1945</v>
      </c>
      <c r="J256" t="s">
        <v>1501</v>
      </c>
      <c r="K256" t="s">
        <v>89</v>
      </c>
      <c r="L256" t="s">
        <v>1491</v>
      </c>
      <c r="M256" t="s">
        <v>1463</v>
      </c>
      <c r="N256" t="s">
        <v>89</v>
      </c>
      <c r="O256" t="s">
        <v>1484</v>
      </c>
      <c r="P256" t="s">
        <v>89</v>
      </c>
      <c r="Q256" t="s">
        <v>2169</v>
      </c>
      <c r="R256" t="s">
        <v>1477</v>
      </c>
      <c r="S256" t="s">
        <v>93</v>
      </c>
      <c r="T256" t="s">
        <v>1309</v>
      </c>
      <c r="U256" t="s">
        <v>1463</v>
      </c>
      <c r="V256" t="s">
        <v>89</v>
      </c>
      <c r="W256" t="s">
        <v>1439</v>
      </c>
      <c r="X256" t="s">
        <v>89</v>
      </c>
      <c r="Y256" t="s">
        <v>2170</v>
      </c>
      <c r="Z256" t="s">
        <v>1567</v>
      </c>
      <c r="AA256" t="s">
        <v>93</v>
      </c>
      <c r="AB256" t="s">
        <v>1568</v>
      </c>
      <c r="AC256" t="s">
        <v>2171</v>
      </c>
    </row>
    <row r="257" spans="1:29" hidden="1" x14ac:dyDescent="0.25">
      <c r="A257" t="s">
        <v>44</v>
      </c>
      <c r="B257" t="s">
        <v>897</v>
      </c>
      <c r="C257" t="s">
        <v>1026</v>
      </c>
      <c r="D257" t="s">
        <v>274</v>
      </c>
      <c r="E257" t="s">
        <v>80</v>
      </c>
      <c r="F257" t="s">
        <v>47</v>
      </c>
      <c r="G257" t="s">
        <v>1570</v>
      </c>
      <c r="H257" t="s">
        <v>2172</v>
      </c>
      <c r="I257" t="s">
        <v>2173</v>
      </c>
      <c r="J257" t="s">
        <v>1450</v>
      </c>
      <c r="K257" t="s">
        <v>89</v>
      </c>
      <c r="L257" t="s">
        <v>1491</v>
      </c>
      <c r="M257" t="s">
        <v>1463</v>
      </c>
      <c r="N257" t="s">
        <v>89</v>
      </c>
      <c r="O257" t="s">
        <v>1439</v>
      </c>
      <c r="P257" t="s">
        <v>89</v>
      </c>
      <c r="Q257" t="s">
        <v>2174</v>
      </c>
      <c r="R257" t="s">
        <v>1577</v>
      </c>
      <c r="S257" t="s">
        <v>93</v>
      </c>
      <c r="T257" t="s">
        <v>1578</v>
      </c>
      <c r="U257" t="s">
        <v>1463</v>
      </c>
      <c r="V257" t="s">
        <v>89</v>
      </c>
      <c r="W257" t="s">
        <v>1439</v>
      </c>
      <c r="X257" t="s">
        <v>89</v>
      </c>
      <c r="Y257" t="s">
        <v>2175</v>
      </c>
      <c r="Z257" t="s">
        <v>1545</v>
      </c>
      <c r="AA257" t="s">
        <v>93</v>
      </c>
      <c r="AB257" t="s">
        <v>1311</v>
      </c>
      <c r="AC257" t="s">
        <v>2176</v>
      </c>
    </row>
    <row r="258" spans="1:29" hidden="1" x14ac:dyDescent="0.25">
      <c r="A258" t="s">
        <v>44</v>
      </c>
      <c r="B258" t="s">
        <v>897</v>
      </c>
      <c r="C258" t="s">
        <v>1026</v>
      </c>
      <c r="D258" t="s">
        <v>274</v>
      </c>
      <c r="E258" t="s">
        <v>80</v>
      </c>
      <c r="F258" t="s">
        <v>48</v>
      </c>
      <c r="G258" t="s">
        <v>1581</v>
      </c>
      <c r="H258" t="s">
        <v>2177</v>
      </c>
      <c r="I258" t="s">
        <v>285</v>
      </c>
      <c r="J258" t="s">
        <v>1519</v>
      </c>
      <c r="K258" t="s">
        <v>89</v>
      </c>
      <c r="L258" t="s">
        <v>1889</v>
      </c>
      <c r="M258" t="s">
        <v>2178</v>
      </c>
      <c r="N258" t="s">
        <v>89</v>
      </c>
      <c r="O258" t="s">
        <v>1439</v>
      </c>
      <c r="P258" t="s">
        <v>89</v>
      </c>
      <c r="Q258" t="s">
        <v>2179</v>
      </c>
      <c r="R258" t="s">
        <v>1588</v>
      </c>
      <c r="S258" t="s">
        <v>93</v>
      </c>
      <c r="T258" t="s">
        <v>1301</v>
      </c>
      <c r="U258" t="s">
        <v>2178</v>
      </c>
      <c r="V258" t="s">
        <v>89</v>
      </c>
      <c r="W258" t="s">
        <v>1439</v>
      </c>
      <c r="X258" t="s">
        <v>89</v>
      </c>
      <c r="Y258" t="s">
        <v>2180</v>
      </c>
      <c r="Z258" t="s">
        <v>1591</v>
      </c>
      <c r="AA258" t="s">
        <v>93</v>
      </c>
      <c r="AB258" t="s">
        <v>1592</v>
      </c>
      <c r="AC258" t="s">
        <v>2181</v>
      </c>
    </row>
    <row r="259" spans="1:29" hidden="1" x14ac:dyDescent="0.25">
      <c r="A259" t="s">
        <v>44</v>
      </c>
      <c r="B259" t="s">
        <v>897</v>
      </c>
      <c r="C259" t="s">
        <v>1026</v>
      </c>
      <c r="D259" t="s">
        <v>274</v>
      </c>
      <c r="E259" t="s">
        <v>80</v>
      </c>
      <c r="F259" t="s">
        <v>49</v>
      </c>
      <c r="G259" t="s">
        <v>1594</v>
      </c>
      <c r="H259" t="s">
        <v>2182</v>
      </c>
      <c r="I259" t="s">
        <v>328</v>
      </c>
      <c r="J259" t="s">
        <v>1936</v>
      </c>
      <c r="K259" t="s">
        <v>89</v>
      </c>
      <c r="L259" t="s">
        <v>1437</v>
      </c>
      <c r="M259" t="s">
        <v>89</v>
      </c>
      <c r="N259" t="s">
        <v>89</v>
      </c>
      <c r="O259" t="s">
        <v>1443</v>
      </c>
      <c r="P259" t="s">
        <v>1578</v>
      </c>
      <c r="Q259" t="s">
        <v>2183</v>
      </c>
      <c r="R259" t="s">
        <v>1487</v>
      </c>
      <c r="S259" t="s">
        <v>93</v>
      </c>
      <c r="T259" t="s">
        <v>645</v>
      </c>
      <c r="U259" t="s">
        <v>89</v>
      </c>
      <c r="V259" t="s">
        <v>89</v>
      </c>
      <c r="W259" t="s">
        <v>1439</v>
      </c>
      <c r="X259" t="s">
        <v>1309</v>
      </c>
      <c r="Y259" t="s">
        <v>2184</v>
      </c>
      <c r="Z259" t="s">
        <v>1604</v>
      </c>
      <c r="AA259" t="s">
        <v>93</v>
      </c>
      <c r="AB259" t="s">
        <v>657</v>
      </c>
      <c r="AC259" t="s">
        <v>2185</v>
      </c>
    </row>
    <row r="260" spans="1:29" hidden="1" x14ac:dyDescent="0.25">
      <c r="A260" t="s">
        <v>44</v>
      </c>
      <c r="B260" t="s">
        <v>897</v>
      </c>
      <c r="C260" t="s">
        <v>1026</v>
      </c>
      <c r="D260" t="s">
        <v>274</v>
      </c>
      <c r="E260" t="s">
        <v>80</v>
      </c>
      <c r="F260" t="s">
        <v>50</v>
      </c>
      <c r="G260" t="s">
        <v>1606</v>
      </c>
      <c r="H260" t="s">
        <v>2186</v>
      </c>
      <c r="I260" t="s">
        <v>1263</v>
      </c>
      <c r="J260" t="s">
        <v>2164</v>
      </c>
      <c r="K260" t="s">
        <v>89</v>
      </c>
      <c r="L260" t="s">
        <v>1889</v>
      </c>
      <c r="M260" t="s">
        <v>89</v>
      </c>
      <c r="N260" t="s">
        <v>89</v>
      </c>
      <c r="O260" t="s">
        <v>1484</v>
      </c>
      <c r="P260" t="s">
        <v>2187</v>
      </c>
      <c r="Q260" t="s">
        <v>2188</v>
      </c>
      <c r="R260" t="s">
        <v>1529</v>
      </c>
      <c r="S260" t="s">
        <v>93</v>
      </c>
      <c r="T260" t="s">
        <v>1226</v>
      </c>
      <c r="U260" t="s">
        <v>89</v>
      </c>
      <c r="V260" t="s">
        <v>89</v>
      </c>
      <c r="W260" t="s">
        <v>1484</v>
      </c>
      <c r="X260" t="s">
        <v>94</v>
      </c>
      <c r="Y260" t="s">
        <v>2189</v>
      </c>
      <c r="Z260" t="s">
        <v>1512</v>
      </c>
      <c r="AA260" t="s">
        <v>93</v>
      </c>
      <c r="AB260" t="s">
        <v>1231</v>
      </c>
      <c r="AC260" t="s">
        <v>2190</v>
      </c>
    </row>
    <row r="261" spans="1:29" hidden="1" x14ac:dyDescent="0.25">
      <c r="A261" t="s">
        <v>44</v>
      </c>
      <c r="B261" t="s">
        <v>897</v>
      </c>
      <c r="C261" t="s">
        <v>1026</v>
      </c>
      <c r="D261" t="s">
        <v>274</v>
      </c>
      <c r="E261" t="s">
        <v>80</v>
      </c>
      <c r="F261" t="s">
        <v>51</v>
      </c>
      <c r="G261" t="s">
        <v>1616</v>
      </c>
      <c r="H261" t="s">
        <v>2191</v>
      </c>
      <c r="I261" t="s">
        <v>1412</v>
      </c>
      <c r="J261" t="s">
        <v>1936</v>
      </c>
      <c r="K261" t="s">
        <v>89</v>
      </c>
      <c r="L261" t="s">
        <v>1437</v>
      </c>
      <c r="M261" t="s">
        <v>89</v>
      </c>
      <c r="N261" t="s">
        <v>89</v>
      </c>
      <c r="O261" t="s">
        <v>1484</v>
      </c>
      <c r="P261" t="s">
        <v>2128</v>
      </c>
      <c r="Q261" t="s">
        <v>2192</v>
      </c>
      <c r="R261" t="s">
        <v>1446</v>
      </c>
      <c r="S261" t="s">
        <v>93</v>
      </c>
      <c r="T261" t="s">
        <v>1247</v>
      </c>
      <c r="U261" t="s">
        <v>89</v>
      </c>
      <c r="V261" t="s">
        <v>89</v>
      </c>
      <c r="W261" t="s">
        <v>1443</v>
      </c>
      <c r="X261" t="s">
        <v>1950</v>
      </c>
      <c r="Y261" t="s">
        <v>2193</v>
      </c>
      <c r="Z261" t="s">
        <v>1522</v>
      </c>
      <c r="AA261" t="s">
        <v>93</v>
      </c>
      <c r="AB261" t="s">
        <v>1412</v>
      </c>
      <c r="AC261" t="s">
        <v>2194</v>
      </c>
    </row>
    <row r="262" spans="1:29" hidden="1" x14ac:dyDescent="0.25">
      <c r="A262" t="s">
        <v>44</v>
      </c>
      <c r="B262" t="s">
        <v>897</v>
      </c>
      <c r="C262" t="s">
        <v>1026</v>
      </c>
      <c r="D262" t="s">
        <v>274</v>
      </c>
      <c r="E262" t="s">
        <v>80</v>
      </c>
      <c r="F262" t="s">
        <v>52</v>
      </c>
      <c r="G262" t="s">
        <v>1627</v>
      </c>
      <c r="H262" t="s">
        <v>2195</v>
      </c>
      <c r="I262" t="s">
        <v>2196</v>
      </c>
      <c r="J262" t="s">
        <v>1542</v>
      </c>
      <c r="K262" t="s">
        <v>89</v>
      </c>
      <c r="L262" t="s">
        <v>89</v>
      </c>
      <c r="M262" t="s">
        <v>89</v>
      </c>
      <c r="N262" t="s">
        <v>89</v>
      </c>
      <c r="O262" t="s">
        <v>1484</v>
      </c>
      <c r="P262" t="s">
        <v>1397</v>
      </c>
      <c r="Q262" t="s">
        <v>2197</v>
      </c>
      <c r="R262" t="s">
        <v>1634</v>
      </c>
      <c r="S262" t="s">
        <v>93</v>
      </c>
      <c r="T262" t="s">
        <v>1235</v>
      </c>
      <c r="U262" t="s">
        <v>89</v>
      </c>
      <c r="V262" t="s">
        <v>89</v>
      </c>
      <c r="W262" t="s">
        <v>1484</v>
      </c>
      <c r="X262" t="s">
        <v>2198</v>
      </c>
      <c r="Y262" t="s">
        <v>2199</v>
      </c>
      <c r="Z262" t="s">
        <v>1504</v>
      </c>
      <c r="AA262" t="s">
        <v>93</v>
      </c>
      <c r="AB262" t="s">
        <v>1400</v>
      </c>
      <c r="AC262" t="s">
        <v>2200</v>
      </c>
    </row>
    <row r="263" spans="1:29" hidden="1" x14ac:dyDescent="0.25">
      <c r="A263" t="s">
        <v>44</v>
      </c>
      <c r="B263" t="s">
        <v>897</v>
      </c>
      <c r="C263" t="s">
        <v>1026</v>
      </c>
      <c r="D263" t="s">
        <v>274</v>
      </c>
      <c r="E263" t="s">
        <v>80</v>
      </c>
      <c r="F263" t="s">
        <v>53</v>
      </c>
      <c r="G263" t="s">
        <v>1638</v>
      </c>
      <c r="H263" t="s">
        <v>2201</v>
      </c>
      <c r="I263" t="s">
        <v>2202</v>
      </c>
      <c r="J263" t="s">
        <v>89</v>
      </c>
      <c r="K263" t="s">
        <v>89</v>
      </c>
      <c r="L263" t="s">
        <v>1437</v>
      </c>
      <c r="M263" t="s">
        <v>89</v>
      </c>
      <c r="N263" t="s">
        <v>89</v>
      </c>
      <c r="O263" t="s">
        <v>89</v>
      </c>
      <c r="P263" t="s">
        <v>305</v>
      </c>
      <c r="Q263" t="s">
        <v>2203</v>
      </c>
      <c r="R263" t="s">
        <v>1577</v>
      </c>
      <c r="S263" t="s">
        <v>93</v>
      </c>
      <c r="T263" t="s">
        <v>1578</v>
      </c>
      <c r="U263" t="s">
        <v>89</v>
      </c>
      <c r="V263" t="s">
        <v>89</v>
      </c>
      <c r="W263" t="s">
        <v>1612</v>
      </c>
      <c r="X263" t="s">
        <v>98</v>
      </c>
      <c r="Y263" t="s">
        <v>2204</v>
      </c>
      <c r="Z263" t="s">
        <v>1545</v>
      </c>
      <c r="AA263" t="s">
        <v>93</v>
      </c>
      <c r="AB263" t="s">
        <v>1311</v>
      </c>
      <c r="AC263" t="s">
        <v>2205</v>
      </c>
    </row>
    <row r="264" spans="1:29" hidden="1" x14ac:dyDescent="0.25">
      <c r="A264" t="s">
        <v>44</v>
      </c>
      <c r="B264" t="s">
        <v>897</v>
      </c>
      <c r="C264" t="s">
        <v>1026</v>
      </c>
      <c r="D264" t="s">
        <v>274</v>
      </c>
      <c r="E264" t="s">
        <v>80</v>
      </c>
      <c r="F264" t="s">
        <v>54</v>
      </c>
      <c r="G264" t="s">
        <v>1649</v>
      </c>
      <c r="H264" t="s">
        <v>2206</v>
      </c>
      <c r="I264" t="s">
        <v>2089</v>
      </c>
      <c r="J264" t="s">
        <v>1501</v>
      </c>
      <c r="K264" t="s">
        <v>89</v>
      </c>
      <c r="L264" t="s">
        <v>89</v>
      </c>
      <c r="M264" t="s">
        <v>89</v>
      </c>
      <c r="N264" t="s">
        <v>89</v>
      </c>
      <c r="O264" t="s">
        <v>1443</v>
      </c>
      <c r="P264" t="s">
        <v>89</v>
      </c>
      <c r="Q264" t="s">
        <v>2207</v>
      </c>
      <c r="R264" t="s">
        <v>1515</v>
      </c>
      <c r="S264" t="s">
        <v>93</v>
      </c>
      <c r="T264" t="s">
        <v>1240</v>
      </c>
      <c r="U264" t="s">
        <v>89</v>
      </c>
      <c r="V264" t="s">
        <v>89</v>
      </c>
      <c r="W264" t="s">
        <v>1439</v>
      </c>
      <c r="X264" t="s">
        <v>160</v>
      </c>
      <c r="Y264" t="s">
        <v>2208</v>
      </c>
      <c r="Z264" t="s">
        <v>1634</v>
      </c>
      <c r="AA264" t="s">
        <v>93</v>
      </c>
      <c r="AB264" t="s">
        <v>1235</v>
      </c>
      <c r="AC264" t="s">
        <v>2209</v>
      </c>
    </row>
    <row r="265" spans="1:29" hidden="1" x14ac:dyDescent="0.25">
      <c r="A265" t="s">
        <v>44</v>
      </c>
      <c r="B265" t="s">
        <v>897</v>
      </c>
      <c r="C265" t="s">
        <v>1026</v>
      </c>
      <c r="D265" t="s">
        <v>274</v>
      </c>
      <c r="E265" t="s">
        <v>80</v>
      </c>
      <c r="F265" t="s">
        <v>55</v>
      </c>
      <c r="G265" t="s">
        <v>1655</v>
      </c>
      <c r="H265" t="s">
        <v>2210</v>
      </c>
      <c r="I265" t="s">
        <v>2211</v>
      </c>
      <c r="J265" t="s">
        <v>89</v>
      </c>
      <c r="K265" t="s">
        <v>1598</v>
      </c>
      <c r="L265" t="s">
        <v>1883</v>
      </c>
      <c r="M265" t="s">
        <v>1463</v>
      </c>
      <c r="N265" t="s">
        <v>89</v>
      </c>
      <c r="O265" t="s">
        <v>89</v>
      </c>
      <c r="P265" t="s">
        <v>2212</v>
      </c>
      <c r="Q265" t="s">
        <v>2213</v>
      </c>
      <c r="R265" t="s">
        <v>1442</v>
      </c>
      <c r="S265" t="s">
        <v>93</v>
      </c>
      <c r="T265" t="s">
        <v>1255</v>
      </c>
      <c r="U265" t="s">
        <v>1438</v>
      </c>
      <c r="V265" t="s">
        <v>89</v>
      </c>
      <c r="W265" t="s">
        <v>89</v>
      </c>
      <c r="X265" t="s">
        <v>2214</v>
      </c>
      <c r="Y265" t="s">
        <v>2215</v>
      </c>
      <c r="Z265" t="s">
        <v>1446</v>
      </c>
      <c r="AA265" t="s">
        <v>93</v>
      </c>
      <c r="AB265" t="s">
        <v>1247</v>
      </c>
      <c r="AC265" t="s">
        <v>2216</v>
      </c>
    </row>
    <row r="266" spans="1:29" hidden="1" x14ac:dyDescent="0.25">
      <c r="A266" t="s">
        <v>44</v>
      </c>
      <c r="B266" t="s">
        <v>897</v>
      </c>
      <c r="C266" t="s">
        <v>1026</v>
      </c>
      <c r="D266" t="s">
        <v>274</v>
      </c>
      <c r="E266" t="s">
        <v>80</v>
      </c>
      <c r="F266" t="s">
        <v>56</v>
      </c>
      <c r="G266" t="s">
        <v>1664</v>
      </c>
      <c r="H266" t="s">
        <v>2217</v>
      </c>
      <c r="I266" t="s">
        <v>341</v>
      </c>
      <c r="J266" t="s">
        <v>89</v>
      </c>
      <c r="K266" t="s">
        <v>89</v>
      </c>
      <c r="L266" t="s">
        <v>1889</v>
      </c>
      <c r="M266" t="s">
        <v>1463</v>
      </c>
      <c r="N266" t="s">
        <v>89</v>
      </c>
      <c r="O266" t="s">
        <v>89</v>
      </c>
      <c r="P266" t="s">
        <v>305</v>
      </c>
      <c r="Q266" t="s">
        <v>2218</v>
      </c>
      <c r="R266" t="s">
        <v>1670</v>
      </c>
      <c r="S266" t="s">
        <v>93</v>
      </c>
      <c r="T266" t="s">
        <v>1671</v>
      </c>
      <c r="U266" t="s">
        <v>1438</v>
      </c>
      <c r="V266" t="s">
        <v>89</v>
      </c>
      <c r="W266" t="s">
        <v>89</v>
      </c>
      <c r="X266" t="s">
        <v>98</v>
      </c>
      <c r="Y266" t="s">
        <v>2219</v>
      </c>
      <c r="Z266" t="s">
        <v>1452</v>
      </c>
      <c r="AA266" t="s">
        <v>93</v>
      </c>
      <c r="AB266" t="s">
        <v>1453</v>
      </c>
      <c r="AC266" t="s">
        <v>2220</v>
      </c>
    </row>
    <row r="267" spans="1:29" hidden="1" x14ac:dyDescent="0.25">
      <c r="A267" t="s">
        <v>44</v>
      </c>
      <c r="B267" t="s">
        <v>959</v>
      </c>
      <c r="C267" t="s">
        <v>1026</v>
      </c>
      <c r="D267" t="s">
        <v>79</v>
      </c>
      <c r="E267" t="s">
        <v>80</v>
      </c>
      <c r="F267" t="s">
        <v>45</v>
      </c>
      <c r="G267" t="s">
        <v>1674</v>
      </c>
      <c r="H267" t="s">
        <v>2221</v>
      </c>
      <c r="I267" t="s">
        <v>1456</v>
      </c>
      <c r="J267" t="s">
        <v>1630</v>
      </c>
      <c r="K267" t="s">
        <v>89</v>
      </c>
      <c r="L267" t="s">
        <v>1631</v>
      </c>
      <c r="M267" t="s">
        <v>2178</v>
      </c>
      <c r="N267" t="s">
        <v>89</v>
      </c>
      <c r="O267" t="s">
        <v>1439</v>
      </c>
      <c r="P267" t="s">
        <v>89</v>
      </c>
      <c r="Q267" t="s">
        <v>2222</v>
      </c>
      <c r="R267" t="s">
        <v>1577</v>
      </c>
      <c r="S267" t="s">
        <v>93</v>
      </c>
      <c r="T267" t="s">
        <v>1578</v>
      </c>
      <c r="U267" t="s">
        <v>1463</v>
      </c>
      <c r="V267" t="s">
        <v>89</v>
      </c>
      <c r="W267" t="s">
        <v>1439</v>
      </c>
      <c r="X267" t="s">
        <v>89</v>
      </c>
      <c r="Y267" t="s">
        <v>2223</v>
      </c>
      <c r="Z267" t="s">
        <v>1545</v>
      </c>
      <c r="AA267" t="s">
        <v>93</v>
      </c>
      <c r="AB267" t="s">
        <v>1311</v>
      </c>
      <c r="AC267" t="s">
        <v>2224</v>
      </c>
    </row>
    <row r="268" spans="1:29" hidden="1" x14ac:dyDescent="0.25">
      <c r="A268" t="s">
        <v>44</v>
      </c>
      <c r="B268" t="s">
        <v>959</v>
      </c>
      <c r="C268" t="s">
        <v>1026</v>
      </c>
      <c r="D268" t="s">
        <v>79</v>
      </c>
      <c r="E268" t="s">
        <v>80</v>
      </c>
      <c r="F268" t="s">
        <v>46</v>
      </c>
      <c r="G268" t="s">
        <v>1683</v>
      </c>
      <c r="H268" t="s">
        <v>2225</v>
      </c>
      <c r="I268" t="s">
        <v>317</v>
      </c>
      <c r="J268" t="s">
        <v>1501</v>
      </c>
      <c r="K268" t="s">
        <v>89</v>
      </c>
      <c r="L268" t="s">
        <v>1889</v>
      </c>
      <c r="M268" t="s">
        <v>2178</v>
      </c>
      <c r="N268" t="s">
        <v>89</v>
      </c>
      <c r="O268" t="s">
        <v>1439</v>
      </c>
      <c r="P268" t="s">
        <v>89</v>
      </c>
      <c r="Q268" t="s">
        <v>2226</v>
      </c>
      <c r="R268" t="s">
        <v>1588</v>
      </c>
      <c r="S268" t="s">
        <v>93</v>
      </c>
      <c r="T268" t="s">
        <v>1301</v>
      </c>
      <c r="U268" t="s">
        <v>1463</v>
      </c>
      <c r="V268" t="s">
        <v>89</v>
      </c>
      <c r="W268" t="s">
        <v>1439</v>
      </c>
      <c r="X268" t="s">
        <v>89</v>
      </c>
      <c r="Y268" t="s">
        <v>2227</v>
      </c>
      <c r="Z268" t="s">
        <v>1591</v>
      </c>
      <c r="AA268" t="s">
        <v>93</v>
      </c>
      <c r="AB268" t="s">
        <v>1592</v>
      </c>
      <c r="AC268" t="s">
        <v>2228</v>
      </c>
    </row>
    <row r="269" spans="1:29" hidden="1" x14ac:dyDescent="0.25">
      <c r="A269" t="s">
        <v>44</v>
      </c>
      <c r="B269" t="s">
        <v>959</v>
      </c>
      <c r="C269" t="s">
        <v>1026</v>
      </c>
      <c r="D269" t="s">
        <v>79</v>
      </c>
      <c r="E269" t="s">
        <v>80</v>
      </c>
      <c r="F269" t="s">
        <v>47</v>
      </c>
      <c r="G269" t="s">
        <v>1690</v>
      </c>
      <c r="H269" t="s">
        <v>2229</v>
      </c>
      <c r="I269" t="s">
        <v>2230</v>
      </c>
      <c r="J269" t="s">
        <v>1450</v>
      </c>
      <c r="K269" t="s">
        <v>89</v>
      </c>
      <c r="L269" t="s">
        <v>1889</v>
      </c>
      <c r="M269" t="s">
        <v>1463</v>
      </c>
      <c r="N269" t="s">
        <v>89</v>
      </c>
      <c r="O269" t="s">
        <v>1439</v>
      </c>
      <c r="P269" t="s">
        <v>89</v>
      </c>
      <c r="Q269" t="s">
        <v>2231</v>
      </c>
      <c r="R269" t="s">
        <v>1670</v>
      </c>
      <c r="S269" t="s">
        <v>93</v>
      </c>
      <c r="T269" t="s">
        <v>1671</v>
      </c>
      <c r="U269" t="s">
        <v>2178</v>
      </c>
      <c r="V269" t="s">
        <v>89</v>
      </c>
      <c r="W269" t="s">
        <v>1439</v>
      </c>
      <c r="X269" t="s">
        <v>89</v>
      </c>
      <c r="Y269" t="s">
        <v>2232</v>
      </c>
      <c r="Z269" t="s">
        <v>1452</v>
      </c>
      <c r="AA269" t="s">
        <v>93</v>
      </c>
      <c r="AB269" t="s">
        <v>1453</v>
      </c>
      <c r="AC269" t="s">
        <v>2233</v>
      </c>
    </row>
    <row r="270" spans="1:29" hidden="1" x14ac:dyDescent="0.25">
      <c r="A270" t="s">
        <v>44</v>
      </c>
      <c r="B270" t="s">
        <v>959</v>
      </c>
      <c r="C270" t="s">
        <v>1026</v>
      </c>
      <c r="D270" t="s">
        <v>79</v>
      </c>
      <c r="E270" t="s">
        <v>80</v>
      </c>
      <c r="F270" t="s">
        <v>48</v>
      </c>
      <c r="G270" t="s">
        <v>1696</v>
      </c>
      <c r="H270" t="s">
        <v>2234</v>
      </c>
      <c r="I270" t="s">
        <v>1485</v>
      </c>
      <c r="J270" t="s">
        <v>1936</v>
      </c>
      <c r="K270" t="s">
        <v>89</v>
      </c>
      <c r="L270" t="s">
        <v>1889</v>
      </c>
      <c r="M270" t="s">
        <v>2178</v>
      </c>
      <c r="N270" t="s">
        <v>89</v>
      </c>
      <c r="O270" t="s">
        <v>1439</v>
      </c>
      <c r="P270" t="s">
        <v>89</v>
      </c>
      <c r="Q270" t="s">
        <v>2235</v>
      </c>
      <c r="R270" t="s">
        <v>1701</v>
      </c>
      <c r="S270" t="s">
        <v>93</v>
      </c>
      <c r="T270" t="s">
        <v>1702</v>
      </c>
      <c r="U270" t="s">
        <v>2178</v>
      </c>
      <c r="V270" t="s">
        <v>89</v>
      </c>
      <c r="W270" t="s">
        <v>1439</v>
      </c>
      <c r="X270" t="s">
        <v>89</v>
      </c>
      <c r="Y270" t="s">
        <v>2236</v>
      </c>
      <c r="Z270" t="s">
        <v>1704</v>
      </c>
      <c r="AA270" t="s">
        <v>93</v>
      </c>
      <c r="AB270" t="s">
        <v>1705</v>
      </c>
      <c r="AC270" t="s">
        <v>2237</v>
      </c>
    </row>
    <row r="271" spans="1:29" hidden="1" x14ac:dyDescent="0.25">
      <c r="A271" t="s">
        <v>44</v>
      </c>
      <c r="B271" t="s">
        <v>959</v>
      </c>
      <c r="C271" t="s">
        <v>1026</v>
      </c>
      <c r="D271" t="s">
        <v>79</v>
      </c>
      <c r="E271" t="s">
        <v>80</v>
      </c>
      <c r="F271" t="s">
        <v>49</v>
      </c>
      <c r="G271" t="s">
        <v>1707</v>
      </c>
      <c r="H271" t="s">
        <v>2238</v>
      </c>
      <c r="I271" t="s">
        <v>657</v>
      </c>
      <c r="J271" t="s">
        <v>2239</v>
      </c>
      <c r="K271" t="s">
        <v>89</v>
      </c>
      <c r="L271" t="s">
        <v>1564</v>
      </c>
      <c r="M271" t="s">
        <v>1463</v>
      </c>
      <c r="N271" t="s">
        <v>89</v>
      </c>
      <c r="O271" t="s">
        <v>1612</v>
      </c>
      <c r="P271" t="s">
        <v>89</v>
      </c>
      <c r="Q271" t="s">
        <v>2240</v>
      </c>
      <c r="R271" t="s">
        <v>1604</v>
      </c>
      <c r="S271" t="s">
        <v>93</v>
      </c>
      <c r="T271" t="s">
        <v>657</v>
      </c>
      <c r="U271" t="s">
        <v>1463</v>
      </c>
      <c r="V271" t="s">
        <v>89</v>
      </c>
      <c r="W271" t="s">
        <v>1439</v>
      </c>
      <c r="X271" t="s">
        <v>89</v>
      </c>
      <c r="Y271" t="s">
        <v>2241</v>
      </c>
      <c r="Z271" t="s">
        <v>1717</v>
      </c>
      <c r="AA271" t="s">
        <v>93</v>
      </c>
      <c r="AB271" t="s">
        <v>621</v>
      </c>
      <c r="AC271" t="s">
        <v>2242</v>
      </c>
    </row>
    <row r="272" spans="1:29" hidden="1" x14ac:dyDescent="0.25">
      <c r="A272" t="s">
        <v>44</v>
      </c>
      <c r="B272" t="s">
        <v>959</v>
      </c>
      <c r="C272" t="s">
        <v>1026</v>
      </c>
      <c r="D272" t="s">
        <v>79</v>
      </c>
      <c r="E272" t="s">
        <v>80</v>
      </c>
      <c r="F272" t="s">
        <v>50</v>
      </c>
      <c r="G272" t="s">
        <v>1719</v>
      </c>
      <c r="H272" t="s">
        <v>2243</v>
      </c>
      <c r="I272" t="s">
        <v>2244</v>
      </c>
      <c r="J272" t="s">
        <v>1895</v>
      </c>
      <c r="K272" t="s">
        <v>89</v>
      </c>
      <c r="L272" t="s">
        <v>1883</v>
      </c>
      <c r="M272" t="s">
        <v>1463</v>
      </c>
      <c r="N272" t="s">
        <v>89</v>
      </c>
      <c r="O272" t="s">
        <v>1484</v>
      </c>
      <c r="P272" t="s">
        <v>89</v>
      </c>
      <c r="Q272" t="s">
        <v>2245</v>
      </c>
      <c r="R272" t="s">
        <v>1512</v>
      </c>
      <c r="S272" t="s">
        <v>93</v>
      </c>
      <c r="T272" t="s">
        <v>1231</v>
      </c>
      <c r="U272" t="s">
        <v>1463</v>
      </c>
      <c r="V272" t="s">
        <v>89</v>
      </c>
      <c r="W272" t="s">
        <v>1484</v>
      </c>
      <c r="X272" t="s">
        <v>89</v>
      </c>
      <c r="Y272" t="s">
        <v>2246</v>
      </c>
      <c r="Z272" t="s">
        <v>1515</v>
      </c>
      <c r="AA272" t="s">
        <v>93</v>
      </c>
      <c r="AB272" t="s">
        <v>1240</v>
      </c>
      <c r="AC272" t="s">
        <v>2247</v>
      </c>
    </row>
    <row r="273" spans="1:29" hidden="1" x14ac:dyDescent="0.25">
      <c r="A273" t="s">
        <v>44</v>
      </c>
      <c r="B273" t="s">
        <v>959</v>
      </c>
      <c r="C273" t="s">
        <v>1026</v>
      </c>
      <c r="D273" t="s">
        <v>79</v>
      </c>
      <c r="E273" t="s">
        <v>80</v>
      </c>
      <c r="F273" t="s">
        <v>51</v>
      </c>
      <c r="G273" t="s">
        <v>1728</v>
      </c>
      <c r="H273" t="s">
        <v>2248</v>
      </c>
      <c r="I273" t="s">
        <v>1860</v>
      </c>
      <c r="J273" t="s">
        <v>2164</v>
      </c>
      <c r="K273" t="s">
        <v>89</v>
      </c>
      <c r="L273" t="s">
        <v>1491</v>
      </c>
      <c r="M273" t="s">
        <v>1463</v>
      </c>
      <c r="N273" t="s">
        <v>89</v>
      </c>
      <c r="O273" t="s">
        <v>1484</v>
      </c>
      <c r="P273" t="s">
        <v>89</v>
      </c>
      <c r="Q273" t="s">
        <v>2249</v>
      </c>
      <c r="R273" t="s">
        <v>1462</v>
      </c>
      <c r="S273" t="s">
        <v>93</v>
      </c>
      <c r="T273" t="s">
        <v>1303</v>
      </c>
      <c r="U273" t="s">
        <v>1463</v>
      </c>
      <c r="V273" t="s">
        <v>89</v>
      </c>
      <c r="W273" t="s">
        <v>1484</v>
      </c>
      <c r="X273" t="s">
        <v>89</v>
      </c>
      <c r="Y273" t="s">
        <v>2250</v>
      </c>
      <c r="Z273" t="s">
        <v>1466</v>
      </c>
      <c r="AA273" t="s">
        <v>93</v>
      </c>
      <c r="AB273" t="s">
        <v>1222</v>
      </c>
      <c r="AC273" t="s">
        <v>2251</v>
      </c>
    </row>
    <row r="274" spans="1:29" hidden="1" x14ac:dyDescent="0.25">
      <c r="A274" t="s">
        <v>44</v>
      </c>
      <c r="B274" t="s">
        <v>959</v>
      </c>
      <c r="C274" t="s">
        <v>1026</v>
      </c>
      <c r="D274" t="s">
        <v>79</v>
      </c>
      <c r="E274" t="s">
        <v>80</v>
      </c>
      <c r="F274" t="s">
        <v>52</v>
      </c>
      <c r="G274" t="s">
        <v>1737</v>
      </c>
      <c r="H274" t="s">
        <v>2252</v>
      </c>
      <c r="I274" t="s">
        <v>98</v>
      </c>
      <c r="J274" t="s">
        <v>1501</v>
      </c>
      <c r="K274" t="s">
        <v>89</v>
      </c>
      <c r="L274" t="s">
        <v>1889</v>
      </c>
      <c r="M274" t="s">
        <v>1463</v>
      </c>
      <c r="N274" t="s">
        <v>89</v>
      </c>
      <c r="O274" t="s">
        <v>1484</v>
      </c>
      <c r="P274" t="s">
        <v>89</v>
      </c>
      <c r="Q274" t="s">
        <v>2253</v>
      </c>
      <c r="R274" t="s">
        <v>1507</v>
      </c>
      <c r="S274" t="s">
        <v>93</v>
      </c>
      <c r="T274" t="s">
        <v>1337</v>
      </c>
      <c r="U274" t="s">
        <v>1463</v>
      </c>
      <c r="V274" t="s">
        <v>89</v>
      </c>
      <c r="W274" t="s">
        <v>1484</v>
      </c>
      <c r="X274" t="s">
        <v>89</v>
      </c>
      <c r="Y274" t="s">
        <v>2254</v>
      </c>
      <c r="Z274" t="s">
        <v>1442</v>
      </c>
      <c r="AA274" t="s">
        <v>93</v>
      </c>
      <c r="AB274" t="s">
        <v>1255</v>
      </c>
      <c r="AC274" t="s">
        <v>2255</v>
      </c>
    </row>
    <row r="275" spans="1:29" hidden="1" x14ac:dyDescent="0.25">
      <c r="A275" t="s">
        <v>44</v>
      </c>
      <c r="B275" t="s">
        <v>959</v>
      </c>
      <c r="C275" t="s">
        <v>1026</v>
      </c>
      <c r="D275" t="s">
        <v>79</v>
      </c>
      <c r="E275" t="s">
        <v>80</v>
      </c>
      <c r="F275" t="s">
        <v>53</v>
      </c>
      <c r="G275" t="s">
        <v>1744</v>
      </c>
      <c r="H275" t="s">
        <v>2256</v>
      </c>
      <c r="I275" t="s">
        <v>2257</v>
      </c>
      <c r="J275" t="s">
        <v>1450</v>
      </c>
      <c r="K275" t="s">
        <v>89</v>
      </c>
      <c r="L275" t="s">
        <v>1889</v>
      </c>
      <c r="M275" t="s">
        <v>1463</v>
      </c>
      <c r="N275" t="s">
        <v>89</v>
      </c>
      <c r="O275" t="s">
        <v>1484</v>
      </c>
      <c r="P275" t="s">
        <v>89</v>
      </c>
      <c r="Q275" t="s">
        <v>2258</v>
      </c>
      <c r="R275" t="s">
        <v>1548</v>
      </c>
      <c r="S275" t="s">
        <v>93</v>
      </c>
      <c r="T275" t="s">
        <v>1397</v>
      </c>
      <c r="U275" t="s">
        <v>1463</v>
      </c>
      <c r="V275" t="s">
        <v>89</v>
      </c>
      <c r="W275" t="s">
        <v>1439</v>
      </c>
      <c r="X275" t="s">
        <v>89</v>
      </c>
      <c r="Y275" t="s">
        <v>2259</v>
      </c>
      <c r="Z275" t="s">
        <v>1670</v>
      </c>
      <c r="AA275" t="s">
        <v>93</v>
      </c>
      <c r="AB275" t="s">
        <v>1671</v>
      </c>
      <c r="AC275" t="s">
        <v>2260</v>
      </c>
    </row>
    <row r="276" spans="1:29" hidden="1" x14ac:dyDescent="0.25">
      <c r="A276" t="s">
        <v>44</v>
      </c>
      <c r="B276" t="s">
        <v>959</v>
      </c>
      <c r="C276" t="s">
        <v>1026</v>
      </c>
      <c r="D276" t="s">
        <v>79</v>
      </c>
      <c r="E276" t="s">
        <v>80</v>
      </c>
      <c r="F276" t="s">
        <v>54</v>
      </c>
      <c r="G276" t="s">
        <v>1750</v>
      </c>
      <c r="H276" t="s">
        <v>2261</v>
      </c>
      <c r="I276" t="s">
        <v>2128</v>
      </c>
      <c r="J276" t="s">
        <v>2027</v>
      </c>
      <c r="K276" t="s">
        <v>89</v>
      </c>
      <c r="L276" t="s">
        <v>1883</v>
      </c>
      <c r="M276" t="s">
        <v>1463</v>
      </c>
      <c r="N276" t="s">
        <v>89</v>
      </c>
      <c r="O276" t="s">
        <v>1439</v>
      </c>
      <c r="P276" t="s">
        <v>89</v>
      </c>
      <c r="Q276" t="s">
        <v>2262</v>
      </c>
      <c r="R276" t="s">
        <v>1504</v>
      </c>
      <c r="S276" t="s">
        <v>93</v>
      </c>
      <c r="T276" t="s">
        <v>1400</v>
      </c>
      <c r="U276" t="s">
        <v>1463</v>
      </c>
      <c r="V276" t="s">
        <v>89</v>
      </c>
      <c r="W276" t="s">
        <v>1439</v>
      </c>
      <c r="X276" t="s">
        <v>89</v>
      </c>
      <c r="Y276" t="s">
        <v>2263</v>
      </c>
      <c r="Z276" t="s">
        <v>1507</v>
      </c>
      <c r="AA276" t="s">
        <v>93</v>
      </c>
      <c r="AB276" t="s">
        <v>1337</v>
      </c>
      <c r="AC276" t="s">
        <v>2264</v>
      </c>
    </row>
    <row r="277" spans="1:29" hidden="1" x14ac:dyDescent="0.25">
      <c r="A277" t="s">
        <v>44</v>
      </c>
      <c r="B277" t="s">
        <v>959</v>
      </c>
      <c r="C277" t="s">
        <v>1026</v>
      </c>
      <c r="D277" t="s">
        <v>79</v>
      </c>
      <c r="E277" t="s">
        <v>80</v>
      </c>
      <c r="F277" t="s">
        <v>55</v>
      </c>
      <c r="G277" t="s">
        <v>1758</v>
      </c>
      <c r="H277" t="s">
        <v>2265</v>
      </c>
      <c r="I277" t="s">
        <v>2266</v>
      </c>
      <c r="J277" t="s">
        <v>89</v>
      </c>
      <c r="K277" t="s">
        <v>89</v>
      </c>
      <c r="L277" t="s">
        <v>1883</v>
      </c>
      <c r="M277" t="s">
        <v>1463</v>
      </c>
      <c r="N277" t="s">
        <v>89</v>
      </c>
      <c r="O277" t="s">
        <v>1484</v>
      </c>
      <c r="P277" t="s">
        <v>89</v>
      </c>
      <c r="Q277" t="s">
        <v>2267</v>
      </c>
      <c r="R277" t="s">
        <v>1522</v>
      </c>
      <c r="S277" t="s">
        <v>93</v>
      </c>
      <c r="T277" t="s">
        <v>1412</v>
      </c>
      <c r="U277" t="s">
        <v>1463</v>
      </c>
      <c r="V277" t="s">
        <v>89</v>
      </c>
      <c r="W277" t="s">
        <v>1439</v>
      </c>
      <c r="X277" t="s">
        <v>89</v>
      </c>
      <c r="Y277" t="s">
        <v>2268</v>
      </c>
      <c r="Z277" t="s">
        <v>1462</v>
      </c>
      <c r="AA277" t="s">
        <v>93</v>
      </c>
      <c r="AB277" t="s">
        <v>1303</v>
      </c>
      <c r="AC277" t="s">
        <v>2269</v>
      </c>
    </row>
    <row r="278" spans="1:29" hidden="1" x14ac:dyDescent="0.25">
      <c r="A278" t="s">
        <v>44</v>
      </c>
      <c r="B278" t="s">
        <v>959</v>
      </c>
      <c r="C278" t="s">
        <v>1026</v>
      </c>
      <c r="D278" t="s">
        <v>79</v>
      </c>
      <c r="E278" t="s">
        <v>80</v>
      </c>
      <c r="F278" t="s">
        <v>56</v>
      </c>
      <c r="G278" t="s">
        <v>1766</v>
      </c>
      <c r="H278" t="s">
        <v>2270</v>
      </c>
      <c r="I278" t="s">
        <v>1056</v>
      </c>
      <c r="J278" t="s">
        <v>1436</v>
      </c>
      <c r="K278" t="s">
        <v>89</v>
      </c>
      <c r="L278" t="s">
        <v>1491</v>
      </c>
      <c r="M278" t="s">
        <v>1463</v>
      </c>
      <c r="N278" t="s">
        <v>89</v>
      </c>
      <c r="O278" t="s">
        <v>1439</v>
      </c>
      <c r="P278" t="s">
        <v>89</v>
      </c>
      <c r="Q278" t="s">
        <v>2271</v>
      </c>
      <c r="R278" t="s">
        <v>1472</v>
      </c>
      <c r="S278" t="s">
        <v>93</v>
      </c>
      <c r="T278" t="s">
        <v>1473</v>
      </c>
      <c r="U278" t="s">
        <v>1463</v>
      </c>
      <c r="V278" t="s">
        <v>89</v>
      </c>
      <c r="W278" t="s">
        <v>1439</v>
      </c>
      <c r="X278" t="s">
        <v>89</v>
      </c>
      <c r="Y278" t="s">
        <v>2272</v>
      </c>
      <c r="Z278" t="s">
        <v>1477</v>
      </c>
      <c r="AA278" t="s">
        <v>93</v>
      </c>
      <c r="AB278" t="s">
        <v>1309</v>
      </c>
      <c r="AC278" t="s">
        <v>2273</v>
      </c>
    </row>
    <row r="279" spans="1:29" hidden="1" x14ac:dyDescent="0.25">
      <c r="A279" t="s">
        <v>44</v>
      </c>
      <c r="B279" t="s">
        <v>1297</v>
      </c>
      <c r="C279" t="s">
        <v>1026</v>
      </c>
      <c r="D279" t="s">
        <v>898</v>
      </c>
      <c r="E279" t="s">
        <v>80</v>
      </c>
      <c r="F279" t="s">
        <v>45</v>
      </c>
      <c r="G279" t="s">
        <v>2274</v>
      </c>
      <c r="H279" t="s">
        <v>2275</v>
      </c>
      <c r="I279" t="s">
        <v>2276</v>
      </c>
      <c r="J279" t="s">
        <v>1997</v>
      </c>
      <c r="K279" t="s">
        <v>1620</v>
      </c>
      <c r="L279" t="s">
        <v>1575</v>
      </c>
      <c r="M279" t="s">
        <v>2178</v>
      </c>
      <c r="N279" t="s">
        <v>89</v>
      </c>
      <c r="O279" t="s">
        <v>1439</v>
      </c>
      <c r="P279" t="s">
        <v>89</v>
      </c>
      <c r="Q279" t="s">
        <v>2277</v>
      </c>
      <c r="R279" t="s">
        <v>1548</v>
      </c>
      <c r="S279" t="s">
        <v>93</v>
      </c>
      <c r="T279" t="s">
        <v>1397</v>
      </c>
      <c r="U279" t="s">
        <v>1463</v>
      </c>
      <c r="V279" t="s">
        <v>89</v>
      </c>
      <c r="W279" t="s">
        <v>1439</v>
      </c>
      <c r="X279" t="s">
        <v>89</v>
      </c>
      <c r="Y279" t="s">
        <v>2278</v>
      </c>
      <c r="Z279" t="s">
        <v>1670</v>
      </c>
      <c r="AA279" t="s">
        <v>93</v>
      </c>
      <c r="AB279" t="s">
        <v>1671</v>
      </c>
      <c r="AC279" t="s">
        <v>2279</v>
      </c>
    </row>
    <row r="280" spans="1:29" hidden="1" x14ac:dyDescent="0.25">
      <c r="A280" t="s">
        <v>44</v>
      </c>
      <c r="B280" t="s">
        <v>1297</v>
      </c>
      <c r="C280" t="s">
        <v>1026</v>
      </c>
      <c r="D280" t="s">
        <v>898</v>
      </c>
      <c r="E280" t="s">
        <v>80</v>
      </c>
      <c r="F280" t="s">
        <v>46</v>
      </c>
      <c r="G280" t="s">
        <v>2280</v>
      </c>
      <c r="H280" t="s">
        <v>2281</v>
      </c>
      <c r="I280" t="s">
        <v>2282</v>
      </c>
      <c r="J280" t="s">
        <v>1584</v>
      </c>
      <c r="K280" t="s">
        <v>1642</v>
      </c>
      <c r="L280" t="s">
        <v>1762</v>
      </c>
      <c r="M280" t="s">
        <v>2178</v>
      </c>
      <c r="N280" t="s">
        <v>89</v>
      </c>
      <c r="O280" t="s">
        <v>1439</v>
      </c>
      <c r="P280" t="s">
        <v>89</v>
      </c>
      <c r="Q280" t="s">
        <v>2283</v>
      </c>
      <c r="R280" t="s">
        <v>2020</v>
      </c>
      <c r="S280" t="s">
        <v>93</v>
      </c>
      <c r="T280" t="s">
        <v>2021</v>
      </c>
      <c r="U280" t="s">
        <v>2178</v>
      </c>
      <c r="V280" t="s">
        <v>89</v>
      </c>
      <c r="W280" t="s">
        <v>1439</v>
      </c>
      <c r="X280" t="s">
        <v>89</v>
      </c>
      <c r="Y280" t="s">
        <v>2284</v>
      </c>
      <c r="Z280" t="s">
        <v>1701</v>
      </c>
      <c r="AA280" t="s">
        <v>93</v>
      </c>
      <c r="AB280" t="s">
        <v>1702</v>
      </c>
      <c r="AC280" t="s">
        <v>2285</v>
      </c>
    </row>
    <row r="281" spans="1:29" hidden="1" x14ac:dyDescent="0.25">
      <c r="A281" t="s">
        <v>44</v>
      </c>
      <c r="B281" t="s">
        <v>1297</v>
      </c>
      <c r="C281" t="s">
        <v>1026</v>
      </c>
      <c r="D281" t="s">
        <v>898</v>
      </c>
      <c r="E281" t="s">
        <v>80</v>
      </c>
      <c r="F281" t="s">
        <v>47</v>
      </c>
      <c r="G281" t="s">
        <v>2286</v>
      </c>
      <c r="H281" t="s">
        <v>2287</v>
      </c>
      <c r="I281" t="s">
        <v>2288</v>
      </c>
      <c r="J281" t="s">
        <v>2005</v>
      </c>
      <c r="K281" t="s">
        <v>1554</v>
      </c>
      <c r="L281" t="s">
        <v>2289</v>
      </c>
      <c r="M281" t="s">
        <v>2178</v>
      </c>
      <c r="N281" t="s">
        <v>89</v>
      </c>
      <c r="O281" t="s">
        <v>1439</v>
      </c>
      <c r="P281" t="s">
        <v>89</v>
      </c>
      <c r="Q281" t="s">
        <v>2290</v>
      </c>
      <c r="R281" t="s">
        <v>1456</v>
      </c>
      <c r="S281" t="s">
        <v>93</v>
      </c>
      <c r="T281" t="s">
        <v>1320</v>
      </c>
      <c r="U281" t="s">
        <v>1463</v>
      </c>
      <c r="V281" t="s">
        <v>89</v>
      </c>
      <c r="W281" t="s">
        <v>1439</v>
      </c>
      <c r="X281" t="s">
        <v>89</v>
      </c>
      <c r="Y281" t="s">
        <v>2291</v>
      </c>
      <c r="Z281" t="s">
        <v>1472</v>
      </c>
      <c r="AA281" t="s">
        <v>93</v>
      </c>
      <c r="AB281" t="s">
        <v>1473</v>
      </c>
      <c r="AC281" t="s">
        <v>2292</v>
      </c>
    </row>
    <row r="282" spans="1:29" hidden="1" x14ac:dyDescent="0.25">
      <c r="A282" t="s">
        <v>44</v>
      </c>
      <c r="B282" t="s">
        <v>1297</v>
      </c>
      <c r="C282" t="s">
        <v>1026</v>
      </c>
      <c r="D282" t="s">
        <v>898</v>
      </c>
      <c r="E282" t="s">
        <v>80</v>
      </c>
      <c r="F282" t="s">
        <v>48</v>
      </c>
      <c r="G282" t="s">
        <v>2293</v>
      </c>
      <c r="H282" t="s">
        <v>2294</v>
      </c>
      <c r="I282" t="s">
        <v>2295</v>
      </c>
      <c r="J282" t="s">
        <v>1667</v>
      </c>
      <c r="K282" t="s">
        <v>1554</v>
      </c>
      <c r="L282" t="s">
        <v>2012</v>
      </c>
      <c r="M282" t="s">
        <v>2178</v>
      </c>
      <c r="N282" t="s">
        <v>89</v>
      </c>
      <c r="O282" t="s">
        <v>1439</v>
      </c>
      <c r="P282" t="s">
        <v>89</v>
      </c>
      <c r="Q282" t="s">
        <v>2296</v>
      </c>
      <c r="R282" t="s">
        <v>2107</v>
      </c>
      <c r="S282" t="s">
        <v>93</v>
      </c>
      <c r="T282" t="s">
        <v>2108</v>
      </c>
      <c r="U282" t="s">
        <v>2178</v>
      </c>
      <c r="V282" t="s">
        <v>89</v>
      </c>
      <c r="W282" t="s">
        <v>1439</v>
      </c>
      <c r="X282" t="s">
        <v>89</v>
      </c>
      <c r="Y282" t="s">
        <v>2297</v>
      </c>
      <c r="Z282" t="s">
        <v>2298</v>
      </c>
      <c r="AA282" t="s">
        <v>93</v>
      </c>
      <c r="AB282" t="s">
        <v>2299</v>
      </c>
      <c r="AC282" t="s">
        <v>2300</v>
      </c>
    </row>
    <row r="283" spans="1:29" hidden="1" x14ac:dyDescent="0.25">
      <c r="A283" t="s">
        <v>44</v>
      </c>
      <c r="B283" t="s">
        <v>1297</v>
      </c>
      <c r="C283" t="s">
        <v>1026</v>
      </c>
      <c r="D283" t="s">
        <v>898</v>
      </c>
      <c r="E283" t="s">
        <v>80</v>
      </c>
      <c r="F283" t="s">
        <v>49</v>
      </c>
      <c r="G283" t="s">
        <v>2301</v>
      </c>
      <c r="H283" t="s">
        <v>2302</v>
      </c>
      <c r="I283" t="s">
        <v>2303</v>
      </c>
      <c r="J283" t="s">
        <v>1630</v>
      </c>
      <c r="K283" t="s">
        <v>89</v>
      </c>
      <c r="L283" t="s">
        <v>1631</v>
      </c>
      <c r="M283" t="s">
        <v>1463</v>
      </c>
      <c r="N283" t="s">
        <v>89</v>
      </c>
      <c r="O283" t="s">
        <v>1612</v>
      </c>
      <c r="P283" t="s">
        <v>89</v>
      </c>
      <c r="Q283" t="s">
        <v>2304</v>
      </c>
      <c r="R283" t="s">
        <v>1717</v>
      </c>
      <c r="S283" t="s">
        <v>93</v>
      </c>
      <c r="T283" t="s">
        <v>621</v>
      </c>
      <c r="U283" t="s">
        <v>1463</v>
      </c>
      <c r="V283" t="s">
        <v>89</v>
      </c>
      <c r="W283" t="s">
        <v>1484</v>
      </c>
      <c r="X283" t="s">
        <v>89</v>
      </c>
      <c r="Y283" t="s">
        <v>2305</v>
      </c>
      <c r="Z283" t="s">
        <v>1812</v>
      </c>
      <c r="AA283" t="s">
        <v>93</v>
      </c>
      <c r="AB283" t="s">
        <v>626</v>
      </c>
      <c r="AC283" t="s">
        <v>2306</v>
      </c>
    </row>
    <row r="284" spans="1:29" hidden="1" x14ac:dyDescent="0.25">
      <c r="A284" t="s">
        <v>44</v>
      </c>
      <c r="B284" t="s">
        <v>1297</v>
      </c>
      <c r="C284" t="s">
        <v>1026</v>
      </c>
      <c r="D284" t="s">
        <v>898</v>
      </c>
      <c r="E284" t="s">
        <v>80</v>
      </c>
      <c r="F284" t="s">
        <v>50</v>
      </c>
      <c r="G284" t="s">
        <v>2307</v>
      </c>
      <c r="H284" t="s">
        <v>2308</v>
      </c>
      <c r="I284" t="s">
        <v>1016</v>
      </c>
      <c r="J284" t="s">
        <v>2309</v>
      </c>
      <c r="K284" t="s">
        <v>1642</v>
      </c>
      <c r="L284" t="s">
        <v>1585</v>
      </c>
      <c r="M284" t="s">
        <v>1463</v>
      </c>
      <c r="N284" t="s">
        <v>89</v>
      </c>
      <c r="O284" t="s">
        <v>1484</v>
      </c>
      <c r="P284" t="s">
        <v>89</v>
      </c>
      <c r="Q284" t="s">
        <v>2310</v>
      </c>
      <c r="R284" t="s">
        <v>1634</v>
      </c>
      <c r="S284" t="s">
        <v>93</v>
      </c>
      <c r="T284" t="s">
        <v>1235</v>
      </c>
      <c r="U284" t="s">
        <v>1463</v>
      </c>
      <c r="V284" t="s">
        <v>89</v>
      </c>
      <c r="W284" t="s">
        <v>1484</v>
      </c>
      <c r="X284" t="s">
        <v>89</v>
      </c>
      <c r="Y284" t="s">
        <v>2311</v>
      </c>
      <c r="Z284" t="s">
        <v>1504</v>
      </c>
      <c r="AA284" t="s">
        <v>93</v>
      </c>
      <c r="AB284" t="s">
        <v>1400</v>
      </c>
      <c r="AC284" t="s">
        <v>2312</v>
      </c>
    </row>
    <row r="285" spans="1:29" hidden="1" x14ac:dyDescent="0.25">
      <c r="A285" t="s">
        <v>44</v>
      </c>
      <c r="B285" t="s">
        <v>1297</v>
      </c>
      <c r="C285" t="s">
        <v>1026</v>
      </c>
      <c r="D285" t="s">
        <v>898</v>
      </c>
      <c r="E285" t="s">
        <v>80</v>
      </c>
      <c r="F285" t="s">
        <v>51</v>
      </c>
      <c r="G285" t="s">
        <v>2313</v>
      </c>
      <c r="H285" t="s">
        <v>2314</v>
      </c>
      <c r="I285" t="s">
        <v>2315</v>
      </c>
      <c r="J285" t="s">
        <v>1619</v>
      </c>
      <c r="K285" t="s">
        <v>1554</v>
      </c>
      <c r="L285" t="s">
        <v>1575</v>
      </c>
      <c r="M285" t="s">
        <v>1463</v>
      </c>
      <c r="N285" t="s">
        <v>89</v>
      </c>
      <c r="O285" t="s">
        <v>1439</v>
      </c>
      <c r="P285" t="s">
        <v>89</v>
      </c>
      <c r="Q285" t="s">
        <v>2316</v>
      </c>
      <c r="R285" t="s">
        <v>1577</v>
      </c>
      <c r="S285" t="s">
        <v>93</v>
      </c>
      <c r="T285" t="s">
        <v>1578</v>
      </c>
      <c r="U285" t="s">
        <v>1463</v>
      </c>
      <c r="V285" t="s">
        <v>89</v>
      </c>
      <c r="W285" t="s">
        <v>1484</v>
      </c>
      <c r="X285" t="s">
        <v>89</v>
      </c>
      <c r="Y285" t="s">
        <v>2317</v>
      </c>
      <c r="Z285" t="s">
        <v>1545</v>
      </c>
      <c r="AA285" t="s">
        <v>93</v>
      </c>
      <c r="AB285" t="s">
        <v>1311</v>
      </c>
      <c r="AC285" t="s">
        <v>2318</v>
      </c>
    </row>
    <row r="286" spans="1:29" hidden="1" x14ac:dyDescent="0.25">
      <c r="A286" t="s">
        <v>44</v>
      </c>
      <c r="B286" t="s">
        <v>1297</v>
      </c>
      <c r="C286" t="s">
        <v>1026</v>
      </c>
      <c r="D286" t="s">
        <v>898</v>
      </c>
      <c r="E286" t="s">
        <v>80</v>
      </c>
      <c r="F286" t="s">
        <v>52</v>
      </c>
      <c r="G286" t="s">
        <v>2319</v>
      </c>
      <c r="H286" t="s">
        <v>2320</v>
      </c>
      <c r="I286" t="s">
        <v>2321</v>
      </c>
      <c r="J286" t="s">
        <v>2322</v>
      </c>
      <c r="K286" t="s">
        <v>1554</v>
      </c>
      <c r="L286" t="s">
        <v>2289</v>
      </c>
      <c r="M286" t="s">
        <v>1463</v>
      </c>
      <c r="N286" t="s">
        <v>89</v>
      </c>
      <c r="O286" t="s">
        <v>1484</v>
      </c>
      <c r="P286" t="s">
        <v>89</v>
      </c>
      <c r="Q286" t="s">
        <v>2323</v>
      </c>
      <c r="R286" t="s">
        <v>1446</v>
      </c>
      <c r="S286" t="s">
        <v>93</v>
      </c>
      <c r="T286" t="s">
        <v>1247</v>
      </c>
      <c r="U286" t="s">
        <v>1463</v>
      </c>
      <c r="V286" t="s">
        <v>89</v>
      </c>
      <c r="W286" t="s">
        <v>1439</v>
      </c>
      <c r="X286" t="s">
        <v>89</v>
      </c>
      <c r="Y286" t="s">
        <v>2324</v>
      </c>
      <c r="Z286" t="s">
        <v>1522</v>
      </c>
      <c r="AA286" t="s">
        <v>93</v>
      </c>
      <c r="AB286" t="s">
        <v>1412</v>
      </c>
      <c r="AC286" t="s">
        <v>2325</v>
      </c>
    </row>
    <row r="287" spans="1:29" hidden="1" x14ac:dyDescent="0.25">
      <c r="A287" t="s">
        <v>44</v>
      </c>
      <c r="B287" t="s">
        <v>1297</v>
      </c>
      <c r="C287" t="s">
        <v>1026</v>
      </c>
      <c r="D287" t="s">
        <v>898</v>
      </c>
      <c r="E287" t="s">
        <v>80</v>
      </c>
      <c r="F287" t="s">
        <v>53</v>
      </c>
      <c r="G287" t="s">
        <v>2326</v>
      </c>
      <c r="H287" t="s">
        <v>2327</v>
      </c>
      <c r="I287" t="s">
        <v>2328</v>
      </c>
      <c r="J287" t="s">
        <v>2005</v>
      </c>
      <c r="K287" t="s">
        <v>1642</v>
      </c>
      <c r="L287" t="s">
        <v>2289</v>
      </c>
      <c r="M287" t="s">
        <v>2178</v>
      </c>
      <c r="N287" t="s">
        <v>89</v>
      </c>
      <c r="O287" t="s">
        <v>1439</v>
      </c>
      <c r="P287" t="s">
        <v>89</v>
      </c>
      <c r="Q287" t="s">
        <v>2329</v>
      </c>
      <c r="R287" t="s">
        <v>1452</v>
      </c>
      <c r="S287" t="s">
        <v>93</v>
      </c>
      <c r="T287" t="s">
        <v>1453</v>
      </c>
      <c r="U287" t="s">
        <v>2178</v>
      </c>
      <c r="V287" t="s">
        <v>89</v>
      </c>
      <c r="W287" t="s">
        <v>1439</v>
      </c>
      <c r="X287" t="s">
        <v>89</v>
      </c>
      <c r="Y287" t="s">
        <v>2330</v>
      </c>
      <c r="Z287" t="s">
        <v>1456</v>
      </c>
      <c r="AA287" t="s">
        <v>93</v>
      </c>
      <c r="AB287" t="s">
        <v>1320</v>
      </c>
      <c r="AC287" t="s">
        <v>2331</v>
      </c>
    </row>
    <row r="288" spans="1:29" hidden="1" x14ac:dyDescent="0.25">
      <c r="A288" t="s">
        <v>44</v>
      </c>
      <c r="B288" t="s">
        <v>1297</v>
      </c>
      <c r="C288" t="s">
        <v>1026</v>
      </c>
      <c r="D288" t="s">
        <v>898</v>
      </c>
      <c r="E288" t="s">
        <v>80</v>
      </c>
      <c r="F288" t="s">
        <v>54</v>
      </c>
      <c r="G288" t="s">
        <v>2332</v>
      </c>
      <c r="H288" t="s">
        <v>2333</v>
      </c>
      <c r="I288" t="s">
        <v>2334</v>
      </c>
      <c r="J288" t="s">
        <v>2335</v>
      </c>
      <c r="K288" t="s">
        <v>1574</v>
      </c>
      <c r="L288" t="s">
        <v>2012</v>
      </c>
      <c r="M288" t="s">
        <v>1463</v>
      </c>
      <c r="N288" t="s">
        <v>89</v>
      </c>
      <c r="O288" t="s">
        <v>1484</v>
      </c>
      <c r="P288" t="s">
        <v>89</v>
      </c>
      <c r="Q288" t="s">
        <v>2336</v>
      </c>
      <c r="R288" t="s">
        <v>1442</v>
      </c>
      <c r="S288" t="s">
        <v>93</v>
      </c>
      <c r="T288" t="s">
        <v>1255</v>
      </c>
      <c r="U288" t="s">
        <v>1463</v>
      </c>
      <c r="V288" t="s">
        <v>89</v>
      </c>
      <c r="W288" t="s">
        <v>1484</v>
      </c>
      <c r="X288" t="s">
        <v>89</v>
      </c>
      <c r="Y288" t="s">
        <v>2337</v>
      </c>
      <c r="Z288" t="s">
        <v>1446</v>
      </c>
      <c r="AA288" t="s">
        <v>93</v>
      </c>
      <c r="AB288" t="s">
        <v>1247</v>
      </c>
      <c r="AC288" t="s">
        <v>2338</v>
      </c>
    </row>
    <row r="289" spans="1:29" hidden="1" x14ac:dyDescent="0.25">
      <c r="A289" t="s">
        <v>44</v>
      </c>
      <c r="B289" t="s">
        <v>1297</v>
      </c>
      <c r="C289" t="s">
        <v>1026</v>
      </c>
      <c r="D289" t="s">
        <v>898</v>
      </c>
      <c r="E289" t="s">
        <v>80</v>
      </c>
      <c r="F289" t="s">
        <v>55</v>
      </c>
      <c r="G289" t="s">
        <v>2339</v>
      </c>
      <c r="H289" t="s">
        <v>2340</v>
      </c>
      <c r="I289" t="s">
        <v>2341</v>
      </c>
      <c r="J289" t="s">
        <v>2071</v>
      </c>
      <c r="K289" t="s">
        <v>1642</v>
      </c>
      <c r="L289" t="s">
        <v>2012</v>
      </c>
      <c r="M289" t="s">
        <v>1463</v>
      </c>
      <c r="N289" t="s">
        <v>89</v>
      </c>
      <c r="O289" t="s">
        <v>1484</v>
      </c>
      <c r="P289" t="s">
        <v>89</v>
      </c>
      <c r="Q289" t="s">
        <v>2342</v>
      </c>
      <c r="R289" t="s">
        <v>1466</v>
      </c>
      <c r="S289" t="s">
        <v>93</v>
      </c>
      <c r="T289" t="s">
        <v>1222</v>
      </c>
      <c r="U289" t="s">
        <v>1463</v>
      </c>
      <c r="V289" t="s">
        <v>89</v>
      </c>
      <c r="W289" t="s">
        <v>1484</v>
      </c>
      <c r="X289" t="s">
        <v>89</v>
      </c>
      <c r="Y289" t="s">
        <v>2343</v>
      </c>
      <c r="Z289" t="s">
        <v>1577</v>
      </c>
      <c r="AA289" t="s">
        <v>93</v>
      </c>
      <c r="AB289" t="s">
        <v>1578</v>
      </c>
      <c r="AC289" t="s">
        <v>2344</v>
      </c>
    </row>
    <row r="290" spans="1:29" hidden="1" x14ac:dyDescent="0.25">
      <c r="A290" t="s">
        <v>44</v>
      </c>
      <c r="B290" t="s">
        <v>1297</v>
      </c>
      <c r="C290" t="s">
        <v>1026</v>
      </c>
      <c r="D290" t="s">
        <v>898</v>
      </c>
      <c r="E290" t="s">
        <v>80</v>
      </c>
      <c r="F290" t="s">
        <v>56</v>
      </c>
      <c r="G290" t="s">
        <v>2345</v>
      </c>
      <c r="H290" t="s">
        <v>2346</v>
      </c>
      <c r="I290" t="s">
        <v>2347</v>
      </c>
      <c r="J290" t="s">
        <v>1641</v>
      </c>
      <c r="K290" t="s">
        <v>1642</v>
      </c>
      <c r="L290" t="s">
        <v>1658</v>
      </c>
      <c r="M290" t="s">
        <v>2178</v>
      </c>
      <c r="N290" t="s">
        <v>89</v>
      </c>
      <c r="O290" t="s">
        <v>1439</v>
      </c>
      <c r="P290" t="s">
        <v>89</v>
      </c>
      <c r="Q290" t="s">
        <v>2348</v>
      </c>
      <c r="R290" t="s">
        <v>1944</v>
      </c>
      <c r="S290" t="s">
        <v>93</v>
      </c>
      <c r="T290" t="s">
        <v>1945</v>
      </c>
      <c r="U290" t="s">
        <v>2178</v>
      </c>
      <c r="V290" t="s">
        <v>89</v>
      </c>
      <c r="W290" t="s">
        <v>1439</v>
      </c>
      <c r="X290" t="s">
        <v>89</v>
      </c>
      <c r="Y290" t="s">
        <v>2349</v>
      </c>
      <c r="Z290" t="s">
        <v>1588</v>
      </c>
      <c r="AA290" t="s">
        <v>93</v>
      </c>
      <c r="AB290" t="s">
        <v>1301</v>
      </c>
      <c r="AC290" t="s">
        <v>2350</v>
      </c>
    </row>
    <row r="291" spans="1:29" hidden="1" x14ac:dyDescent="0.25">
      <c r="A291" t="s">
        <v>44</v>
      </c>
      <c r="B291" t="s">
        <v>2351</v>
      </c>
      <c r="C291" t="s">
        <v>1026</v>
      </c>
      <c r="D291" t="s">
        <v>666</v>
      </c>
      <c r="E291" t="s">
        <v>80</v>
      </c>
      <c r="F291" t="s">
        <v>45</v>
      </c>
      <c r="G291" t="s">
        <v>2352</v>
      </c>
      <c r="H291" t="s">
        <v>2353</v>
      </c>
      <c r="I291" t="s">
        <v>2354</v>
      </c>
      <c r="J291" t="s">
        <v>1997</v>
      </c>
      <c r="K291" t="s">
        <v>1678</v>
      </c>
      <c r="L291" t="s">
        <v>1998</v>
      </c>
      <c r="M291" t="s">
        <v>1463</v>
      </c>
      <c r="N291" t="s">
        <v>89</v>
      </c>
      <c r="O291" t="s">
        <v>1439</v>
      </c>
      <c r="P291" t="s">
        <v>89</v>
      </c>
      <c r="Q291" t="s">
        <v>2355</v>
      </c>
      <c r="R291" t="s">
        <v>1452</v>
      </c>
      <c r="S291" t="s">
        <v>93</v>
      </c>
      <c r="T291" t="s">
        <v>1453</v>
      </c>
      <c r="U291" t="s">
        <v>1463</v>
      </c>
      <c r="V291" t="s">
        <v>89</v>
      </c>
      <c r="W291" t="s">
        <v>1439</v>
      </c>
      <c r="X291" t="s">
        <v>89</v>
      </c>
      <c r="Y291" t="s">
        <v>2356</v>
      </c>
      <c r="Z291" t="s">
        <v>1456</v>
      </c>
      <c r="AA291" t="s">
        <v>93</v>
      </c>
      <c r="AB291" t="s">
        <v>1320</v>
      </c>
      <c r="AC291" t="s">
        <v>2357</v>
      </c>
    </row>
    <row r="292" spans="1:29" hidden="1" x14ac:dyDescent="0.25">
      <c r="A292" t="s">
        <v>44</v>
      </c>
      <c r="B292" t="s">
        <v>2351</v>
      </c>
      <c r="C292" t="s">
        <v>1026</v>
      </c>
      <c r="D292" t="s">
        <v>666</v>
      </c>
      <c r="E292" t="s">
        <v>80</v>
      </c>
      <c r="F292" t="s">
        <v>46</v>
      </c>
      <c r="G292" t="s">
        <v>2358</v>
      </c>
      <c r="H292" t="s">
        <v>2359</v>
      </c>
      <c r="I292" t="s">
        <v>2360</v>
      </c>
      <c r="J292" t="s">
        <v>1667</v>
      </c>
      <c r="K292" t="s">
        <v>1554</v>
      </c>
      <c r="L292" t="s">
        <v>1658</v>
      </c>
      <c r="M292" t="s">
        <v>2178</v>
      </c>
      <c r="N292" t="s">
        <v>89</v>
      </c>
      <c r="O292" t="s">
        <v>1439</v>
      </c>
      <c r="P292" t="s">
        <v>89</v>
      </c>
      <c r="Q292" t="s">
        <v>2361</v>
      </c>
      <c r="R292" t="s">
        <v>2105</v>
      </c>
      <c r="S292" t="s">
        <v>93</v>
      </c>
      <c r="T292" t="s">
        <v>2089</v>
      </c>
      <c r="U292" t="s">
        <v>2178</v>
      </c>
      <c r="V292" t="s">
        <v>89</v>
      </c>
      <c r="W292" t="s">
        <v>1439</v>
      </c>
      <c r="X292" t="s">
        <v>89</v>
      </c>
      <c r="Y292" t="s">
        <v>2362</v>
      </c>
      <c r="Z292" t="s">
        <v>2107</v>
      </c>
      <c r="AA292" t="s">
        <v>93</v>
      </c>
      <c r="AB292" t="s">
        <v>2108</v>
      </c>
      <c r="AC292" t="s">
        <v>2363</v>
      </c>
    </row>
    <row r="293" spans="1:29" hidden="1" x14ac:dyDescent="0.25">
      <c r="A293" t="s">
        <v>44</v>
      </c>
      <c r="B293" t="s">
        <v>2351</v>
      </c>
      <c r="C293" t="s">
        <v>1026</v>
      </c>
      <c r="D293" t="s">
        <v>666</v>
      </c>
      <c r="E293" t="s">
        <v>80</v>
      </c>
      <c r="F293" t="s">
        <v>47</v>
      </c>
      <c r="G293" t="s">
        <v>2364</v>
      </c>
      <c r="H293" t="s">
        <v>2365</v>
      </c>
      <c r="I293" t="s">
        <v>2366</v>
      </c>
      <c r="J293" t="s">
        <v>2005</v>
      </c>
      <c r="K293" t="s">
        <v>1620</v>
      </c>
      <c r="L293" t="s">
        <v>2367</v>
      </c>
      <c r="M293" t="s">
        <v>1463</v>
      </c>
      <c r="N293" t="s">
        <v>89</v>
      </c>
      <c r="O293" t="s">
        <v>89</v>
      </c>
      <c r="P293" t="s">
        <v>98</v>
      </c>
      <c r="Q293" t="s">
        <v>2368</v>
      </c>
      <c r="R293" t="s">
        <v>1477</v>
      </c>
      <c r="S293" t="s">
        <v>93</v>
      </c>
      <c r="T293" t="s">
        <v>1309</v>
      </c>
      <c r="U293" t="s">
        <v>1463</v>
      </c>
      <c r="V293" t="s">
        <v>89</v>
      </c>
      <c r="W293" t="s">
        <v>89</v>
      </c>
      <c r="X293" t="s">
        <v>98</v>
      </c>
      <c r="Y293" t="s">
        <v>2369</v>
      </c>
      <c r="Z293" t="s">
        <v>1567</v>
      </c>
      <c r="AA293" t="s">
        <v>93</v>
      </c>
      <c r="AB293" t="s">
        <v>1568</v>
      </c>
      <c r="AC293" t="s">
        <v>2370</v>
      </c>
    </row>
    <row r="294" spans="1:29" hidden="1" x14ac:dyDescent="0.25">
      <c r="A294" t="s">
        <v>44</v>
      </c>
      <c r="B294" t="s">
        <v>2351</v>
      </c>
      <c r="C294" t="s">
        <v>1026</v>
      </c>
      <c r="D294" t="s">
        <v>666</v>
      </c>
      <c r="E294" t="s">
        <v>80</v>
      </c>
      <c r="F294" t="s">
        <v>48</v>
      </c>
      <c r="G294" t="s">
        <v>2371</v>
      </c>
      <c r="H294" t="s">
        <v>2372</v>
      </c>
      <c r="I294" t="s">
        <v>2373</v>
      </c>
      <c r="J294" t="s">
        <v>2071</v>
      </c>
      <c r="K294" t="s">
        <v>1554</v>
      </c>
      <c r="L294" t="s">
        <v>2012</v>
      </c>
      <c r="M294" t="s">
        <v>1463</v>
      </c>
      <c r="N294" t="s">
        <v>1679</v>
      </c>
      <c r="O294" t="s">
        <v>89</v>
      </c>
      <c r="P294" t="s">
        <v>98</v>
      </c>
      <c r="Q294" t="s">
        <v>2374</v>
      </c>
      <c r="R294" t="s">
        <v>2375</v>
      </c>
      <c r="S294" t="s">
        <v>93</v>
      </c>
      <c r="T294" t="s">
        <v>2376</v>
      </c>
      <c r="U294" t="s">
        <v>1463</v>
      </c>
      <c r="V294" t="s">
        <v>1679</v>
      </c>
      <c r="W294" t="s">
        <v>89</v>
      </c>
      <c r="X294" t="s">
        <v>98</v>
      </c>
      <c r="Y294" t="s">
        <v>2377</v>
      </c>
      <c r="Z294" t="s">
        <v>2378</v>
      </c>
      <c r="AA294" t="s">
        <v>93</v>
      </c>
      <c r="AB294" t="s">
        <v>2379</v>
      </c>
      <c r="AC294" t="s">
        <v>2380</v>
      </c>
    </row>
    <row r="295" spans="1:29" hidden="1" x14ac:dyDescent="0.25">
      <c r="A295" t="s">
        <v>44</v>
      </c>
      <c r="B295" t="s">
        <v>2351</v>
      </c>
      <c r="C295" t="s">
        <v>1026</v>
      </c>
      <c r="D295" t="s">
        <v>666</v>
      </c>
      <c r="E295" t="s">
        <v>80</v>
      </c>
      <c r="F295" t="s">
        <v>49</v>
      </c>
      <c r="G295" t="s">
        <v>2381</v>
      </c>
      <c r="H295" t="s">
        <v>2382</v>
      </c>
      <c r="I295" t="s">
        <v>551</v>
      </c>
      <c r="J295" t="s">
        <v>1501</v>
      </c>
      <c r="K295" t="s">
        <v>89</v>
      </c>
      <c r="L295" t="s">
        <v>1883</v>
      </c>
      <c r="M295" t="s">
        <v>1438</v>
      </c>
      <c r="N295" t="s">
        <v>89</v>
      </c>
      <c r="O295" t="s">
        <v>1439</v>
      </c>
      <c r="P295" t="s">
        <v>89</v>
      </c>
      <c r="Q295" t="s">
        <v>2383</v>
      </c>
      <c r="R295" t="s">
        <v>1812</v>
      </c>
      <c r="S295" t="s">
        <v>93</v>
      </c>
      <c r="T295" t="s">
        <v>626</v>
      </c>
      <c r="U295" t="s">
        <v>1463</v>
      </c>
      <c r="V295" t="s">
        <v>89</v>
      </c>
      <c r="W295" t="s">
        <v>1612</v>
      </c>
      <c r="X295" t="s">
        <v>89</v>
      </c>
      <c r="Y295" t="s">
        <v>2384</v>
      </c>
      <c r="Z295" t="s">
        <v>1815</v>
      </c>
      <c r="AA295" t="s">
        <v>93</v>
      </c>
      <c r="AB295" t="s">
        <v>635</v>
      </c>
      <c r="AC295" t="s">
        <v>2385</v>
      </c>
    </row>
    <row r="296" spans="1:29" hidden="1" x14ac:dyDescent="0.25">
      <c r="A296" t="s">
        <v>44</v>
      </c>
      <c r="B296" t="s">
        <v>2351</v>
      </c>
      <c r="C296" t="s">
        <v>1026</v>
      </c>
      <c r="D296" t="s">
        <v>666</v>
      </c>
      <c r="E296" t="s">
        <v>80</v>
      </c>
      <c r="F296" t="s">
        <v>50</v>
      </c>
      <c r="G296" t="s">
        <v>1750</v>
      </c>
      <c r="H296" t="s">
        <v>2386</v>
      </c>
      <c r="I296" t="s">
        <v>2387</v>
      </c>
      <c r="J296" t="s">
        <v>2388</v>
      </c>
      <c r="K296" t="s">
        <v>1620</v>
      </c>
      <c r="L296" t="s">
        <v>1585</v>
      </c>
      <c r="M296" t="s">
        <v>1463</v>
      </c>
      <c r="N296" t="s">
        <v>89</v>
      </c>
      <c r="O296" t="s">
        <v>1484</v>
      </c>
      <c r="P296" t="s">
        <v>89</v>
      </c>
      <c r="Q296" t="s">
        <v>2389</v>
      </c>
      <c r="R296" t="s">
        <v>1504</v>
      </c>
      <c r="S296" t="s">
        <v>93</v>
      </c>
      <c r="T296" t="s">
        <v>1400</v>
      </c>
      <c r="U296" t="s">
        <v>1463</v>
      </c>
      <c r="V296" t="s">
        <v>89</v>
      </c>
      <c r="W296" t="s">
        <v>1484</v>
      </c>
      <c r="X296" t="s">
        <v>89</v>
      </c>
      <c r="Y296" t="s">
        <v>2390</v>
      </c>
      <c r="Z296" t="s">
        <v>1507</v>
      </c>
      <c r="AA296" t="s">
        <v>93</v>
      </c>
      <c r="AB296" t="s">
        <v>1337</v>
      </c>
      <c r="AC296" t="s">
        <v>2391</v>
      </c>
    </row>
    <row r="297" spans="1:29" hidden="1" x14ac:dyDescent="0.25">
      <c r="A297" t="s">
        <v>44</v>
      </c>
      <c r="B297" t="s">
        <v>2351</v>
      </c>
      <c r="C297" t="s">
        <v>1026</v>
      </c>
      <c r="D297" t="s">
        <v>666</v>
      </c>
      <c r="E297" t="s">
        <v>80</v>
      </c>
      <c r="F297" t="s">
        <v>51</v>
      </c>
      <c r="G297" t="s">
        <v>2392</v>
      </c>
      <c r="H297" t="s">
        <v>2393</v>
      </c>
      <c r="I297" t="s">
        <v>2394</v>
      </c>
      <c r="J297" t="s">
        <v>2388</v>
      </c>
      <c r="K297" t="s">
        <v>1554</v>
      </c>
      <c r="L297" t="s">
        <v>1762</v>
      </c>
      <c r="M297" t="s">
        <v>1463</v>
      </c>
      <c r="N297" t="s">
        <v>89</v>
      </c>
      <c r="O297" t="s">
        <v>1484</v>
      </c>
      <c r="P297" t="s">
        <v>89</v>
      </c>
      <c r="Q297" t="s">
        <v>2395</v>
      </c>
      <c r="R297" t="s">
        <v>1545</v>
      </c>
      <c r="S297" t="s">
        <v>93</v>
      </c>
      <c r="T297" t="s">
        <v>1311</v>
      </c>
      <c r="U297" t="s">
        <v>1463</v>
      </c>
      <c r="V297" t="s">
        <v>89</v>
      </c>
      <c r="W297" t="s">
        <v>1439</v>
      </c>
      <c r="X297" t="s">
        <v>89</v>
      </c>
      <c r="Y297" t="s">
        <v>2396</v>
      </c>
      <c r="Z297" t="s">
        <v>1548</v>
      </c>
      <c r="AA297" t="s">
        <v>93</v>
      </c>
      <c r="AB297" t="s">
        <v>1397</v>
      </c>
      <c r="AC297" t="s">
        <v>2397</v>
      </c>
    </row>
    <row r="298" spans="1:29" hidden="1" x14ac:dyDescent="0.25">
      <c r="A298" t="s">
        <v>44</v>
      </c>
      <c r="B298" t="s">
        <v>2351</v>
      </c>
      <c r="C298" t="s">
        <v>1026</v>
      </c>
      <c r="D298" t="s">
        <v>666</v>
      </c>
      <c r="E298" t="s">
        <v>80</v>
      </c>
      <c r="F298" t="s">
        <v>52</v>
      </c>
      <c r="G298" t="s">
        <v>2398</v>
      </c>
      <c r="H298" t="s">
        <v>2399</v>
      </c>
      <c r="I298" t="s">
        <v>2400</v>
      </c>
      <c r="J298" t="s">
        <v>1761</v>
      </c>
      <c r="K298" t="s">
        <v>1554</v>
      </c>
      <c r="L298" t="s">
        <v>2072</v>
      </c>
      <c r="M298" t="s">
        <v>1463</v>
      </c>
      <c r="N298" t="s">
        <v>89</v>
      </c>
      <c r="O298" t="s">
        <v>1484</v>
      </c>
      <c r="P298" t="s">
        <v>89</v>
      </c>
      <c r="Q298" t="s">
        <v>2401</v>
      </c>
      <c r="R298" t="s">
        <v>1522</v>
      </c>
      <c r="S298" t="s">
        <v>93</v>
      </c>
      <c r="T298" t="s">
        <v>1412</v>
      </c>
      <c r="U298" t="s">
        <v>1463</v>
      </c>
      <c r="V298" t="s">
        <v>89</v>
      </c>
      <c r="W298" t="s">
        <v>1439</v>
      </c>
      <c r="X298" t="s">
        <v>89</v>
      </c>
      <c r="Y298" t="s">
        <v>2402</v>
      </c>
      <c r="Z298" t="s">
        <v>1462</v>
      </c>
      <c r="AA298" t="s">
        <v>93</v>
      </c>
      <c r="AB298" t="s">
        <v>1303</v>
      </c>
      <c r="AC298" t="s">
        <v>2403</v>
      </c>
    </row>
    <row r="299" spans="1:29" hidden="1" x14ac:dyDescent="0.25">
      <c r="A299" t="s">
        <v>44</v>
      </c>
      <c r="B299" t="s">
        <v>2351</v>
      </c>
      <c r="C299" t="s">
        <v>1026</v>
      </c>
      <c r="D299" t="s">
        <v>666</v>
      </c>
      <c r="E299" t="s">
        <v>80</v>
      </c>
      <c r="F299" t="s">
        <v>53</v>
      </c>
      <c r="G299" t="s">
        <v>2404</v>
      </c>
      <c r="H299" t="s">
        <v>2405</v>
      </c>
      <c r="I299" t="s">
        <v>2406</v>
      </c>
      <c r="J299" t="s">
        <v>1584</v>
      </c>
      <c r="K299" t="s">
        <v>1620</v>
      </c>
      <c r="L299" t="s">
        <v>1621</v>
      </c>
      <c r="M299" t="s">
        <v>2178</v>
      </c>
      <c r="N299" t="s">
        <v>89</v>
      </c>
      <c r="O299" t="s">
        <v>1439</v>
      </c>
      <c r="P299" t="s">
        <v>89</v>
      </c>
      <c r="Q299" t="s">
        <v>2407</v>
      </c>
      <c r="R299" t="s">
        <v>1477</v>
      </c>
      <c r="S299" t="s">
        <v>93</v>
      </c>
      <c r="T299" t="s">
        <v>1309</v>
      </c>
      <c r="U299" t="s">
        <v>2178</v>
      </c>
      <c r="V299" t="s">
        <v>89</v>
      </c>
      <c r="W299" t="s">
        <v>1439</v>
      </c>
      <c r="X299" t="s">
        <v>89</v>
      </c>
      <c r="Y299" t="s">
        <v>2408</v>
      </c>
      <c r="Z299" t="s">
        <v>1567</v>
      </c>
      <c r="AA299" t="s">
        <v>93</v>
      </c>
      <c r="AB299" t="s">
        <v>1568</v>
      </c>
      <c r="AC299" t="s">
        <v>2409</v>
      </c>
    </row>
    <row r="300" spans="1:29" hidden="1" x14ac:dyDescent="0.25">
      <c r="A300" t="s">
        <v>44</v>
      </c>
      <c r="B300" t="s">
        <v>2351</v>
      </c>
      <c r="C300" t="s">
        <v>1026</v>
      </c>
      <c r="D300" t="s">
        <v>666</v>
      </c>
      <c r="E300" t="s">
        <v>80</v>
      </c>
      <c r="F300" t="s">
        <v>54</v>
      </c>
      <c r="G300" t="s">
        <v>2410</v>
      </c>
      <c r="H300" t="s">
        <v>2411</v>
      </c>
      <c r="I300" t="s">
        <v>2412</v>
      </c>
      <c r="J300" t="s">
        <v>2087</v>
      </c>
      <c r="K300" t="s">
        <v>1554</v>
      </c>
      <c r="L300" t="s">
        <v>1610</v>
      </c>
      <c r="M300" t="s">
        <v>1463</v>
      </c>
      <c r="N300" t="s">
        <v>89</v>
      </c>
      <c r="O300" t="s">
        <v>1484</v>
      </c>
      <c r="P300" t="s">
        <v>89</v>
      </c>
      <c r="Q300" t="s">
        <v>2413</v>
      </c>
      <c r="R300" t="s">
        <v>1446</v>
      </c>
      <c r="S300" t="s">
        <v>93</v>
      </c>
      <c r="T300" t="s">
        <v>1247</v>
      </c>
      <c r="U300" t="s">
        <v>1463</v>
      </c>
      <c r="V300" t="s">
        <v>89</v>
      </c>
      <c r="W300" t="s">
        <v>1484</v>
      </c>
      <c r="X300" t="s">
        <v>89</v>
      </c>
      <c r="Y300" t="s">
        <v>2414</v>
      </c>
      <c r="Z300" t="s">
        <v>1522</v>
      </c>
      <c r="AA300" t="s">
        <v>93</v>
      </c>
      <c r="AB300" t="s">
        <v>1412</v>
      </c>
      <c r="AC300" t="s">
        <v>2415</v>
      </c>
    </row>
    <row r="301" spans="1:29" hidden="1" x14ac:dyDescent="0.25">
      <c r="A301" t="s">
        <v>44</v>
      </c>
      <c r="B301" t="s">
        <v>2351</v>
      </c>
      <c r="C301" t="s">
        <v>1026</v>
      </c>
      <c r="D301" t="s">
        <v>666</v>
      </c>
      <c r="E301" t="s">
        <v>80</v>
      </c>
      <c r="F301" t="s">
        <v>55</v>
      </c>
      <c r="G301" t="s">
        <v>2416</v>
      </c>
      <c r="H301" t="s">
        <v>2417</v>
      </c>
      <c r="I301" t="s">
        <v>2418</v>
      </c>
      <c r="J301" t="s">
        <v>2419</v>
      </c>
      <c r="K301" t="s">
        <v>1620</v>
      </c>
      <c r="L301" t="s">
        <v>1762</v>
      </c>
      <c r="M301" t="s">
        <v>1463</v>
      </c>
      <c r="N301" t="s">
        <v>89</v>
      </c>
      <c r="O301" t="s">
        <v>1484</v>
      </c>
      <c r="P301" t="s">
        <v>89</v>
      </c>
      <c r="Q301" t="s">
        <v>2420</v>
      </c>
      <c r="R301" t="s">
        <v>1545</v>
      </c>
      <c r="S301" t="s">
        <v>93</v>
      </c>
      <c r="T301" t="s">
        <v>1311</v>
      </c>
      <c r="U301" t="s">
        <v>1463</v>
      </c>
      <c r="V301" t="s">
        <v>89</v>
      </c>
      <c r="W301" t="s">
        <v>1439</v>
      </c>
      <c r="X301" t="s">
        <v>89</v>
      </c>
      <c r="Y301" t="s">
        <v>2421</v>
      </c>
      <c r="Z301" t="s">
        <v>1548</v>
      </c>
      <c r="AA301" t="s">
        <v>93</v>
      </c>
      <c r="AB301" t="s">
        <v>1397</v>
      </c>
      <c r="AC301" t="s">
        <v>2422</v>
      </c>
    </row>
    <row r="302" spans="1:29" hidden="1" x14ac:dyDescent="0.25">
      <c r="A302" t="s">
        <v>44</v>
      </c>
      <c r="B302" t="s">
        <v>2351</v>
      </c>
      <c r="C302" t="s">
        <v>1026</v>
      </c>
      <c r="D302" t="s">
        <v>666</v>
      </c>
      <c r="E302" t="s">
        <v>80</v>
      </c>
      <c r="F302" t="s">
        <v>56</v>
      </c>
      <c r="G302" t="s">
        <v>2423</v>
      </c>
      <c r="H302" t="s">
        <v>2424</v>
      </c>
      <c r="I302" t="s">
        <v>2425</v>
      </c>
      <c r="J302" t="s">
        <v>2005</v>
      </c>
      <c r="K302" t="s">
        <v>1554</v>
      </c>
      <c r="L302" t="s">
        <v>1575</v>
      </c>
      <c r="M302" t="s">
        <v>1463</v>
      </c>
      <c r="N302" t="s">
        <v>89</v>
      </c>
      <c r="O302" t="s">
        <v>1439</v>
      </c>
      <c r="P302" t="s">
        <v>89</v>
      </c>
      <c r="Q302" t="s">
        <v>2426</v>
      </c>
      <c r="R302" t="s">
        <v>1591</v>
      </c>
      <c r="S302" t="s">
        <v>93</v>
      </c>
      <c r="T302" t="s">
        <v>1592</v>
      </c>
      <c r="U302" t="s">
        <v>2178</v>
      </c>
      <c r="V302" t="s">
        <v>89</v>
      </c>
      <c r="W302" t="s">
        <v>1439</v>
      </c>
      <c r="X302" t="s">
        <v>89</v>
      </c>
      <c r="Y302" t="s">
        <v>2427</v>
      </c>
      <c r="Z302" t="s">
        <v>2020</v>
      </c>
      <c r="AA302" t="s">
        <v>93</v>
      </c>
      <c r="AB302" t="s">
        <v>2021</v>
      </c>
      <c r="AC302" t="s">
        <v>2428</v>
      </c>
    </row>
    <row r="303" spans="1:29" x14ac:dyDescent="0.25">
      <c r="A303" t="s">
        <v>57</v>
      </c>
      <c r="B303" t="s">
        <v>78</v>
      </c>
      <c r="C303" t="s">
        <v>79</v>
      </c>
      <c r="D303" t="s">
        <v>79</v>
      </c>
      <c r="E303" t="s">
        <v>80</v>
      </c>
      <c r="F303" t="s">
        <v>58</v>
      </c>
      <c r="G303" t="s">
        <v>2429</v>
      </c>
      <c r="H303" t="s">
        <v>2430</v>
      </c>
      <c r="I303" t="s">
        <v>278</v>
      </c>
      <c r="J303" t="s">
        <v>89</v>
      </c>
      <c r="K303" t="s">
        <v>2431</v>
      </c>
      <c r="L303" t="s">
        <v>2432</v>
      </c>
      <c r="M303" t="s">
        <v>2433</v>
      </c>
      <c r="N303" t="s">
        <v>89</v>
      </c>
      <c r="O303" t="s">
        <v>89</v>
      </c>
      <c r="P303" t="s">
        <v>278</v>
      </c>
      <c r="Q303" t="s">
        <v>2434</v>
      </c>
      <c r="R303" t="s">
        <v>2435</v>
      </c>
      <c r="S303" t="s">
        <v>93</v>
      </c>
      <c r="T303" t="s">
        <v>1950</v>
      </c>
      <c r="U303" t="s">
        <v>2436</v>
      </c>
      <c r="V303" t="s">
        <v>89</v>
      </c>
      <c r="W303" t="s">
        <v>89</v>
      </c>
      <c r="X303" t="s">
        <v>278</v>
      </c>
      <c r="Y303" t="s">
        <v>2437</v>
      </c>
      <c r="Z303" t="s">
        <v>2438</v>
      </c>
      <c r="AA303" t="s">
        <v>93</v>
      </c>
      <c r="AB303" t="s">
        <v>160</v>
      </c>
      <c r="AC303" t="s">
        <v>2439</v>
      </c>
    </row>
    <row r="304" spans="1:29" x14ac:dyDescent="0.25">
      <c r="A304" t="s">
        <v>57</v>
      </c>
      <c r="B304" t="s">
        <v>78</v>
      </c>
      <c r="C304" t="s">
        <v>79</v>
      </c>
      <c r="D304" t="s">
        <v>79</v>
      </c>
      <c r="E304" t="s">
        <v>80</v>
      </c>
      <c r="F304" t="s">
        <v>59</v>
      </c>
      <c r="G304" t="s">
        <v>2440</v>
      </c>
      <c r="H304" t="s">
        <v>2441</v>
      </c>
      <c r="I304" t="s">
        <v>2442</v>
      </c>
      <c r="J304" t="s">
        <v>89</v>
      </c>
      <c r="K304" t="s">
        <v>89</v>
      </c>
      <c r="L304" t="s">
        <v>2432</v>
      </c>
      <c r="M304" t="s">
        <v>2436</v>
      </c>
      <c r="N304" t="s">
        <v>2443</v>
      </c>
      <c r="O304" t="s">
        <v>89</v>
      </c>
      <c r="P304" t="s">
        <v>278</v>
      </c>
      <c r="Q304" t="s">
        <v>2444</v>
      </c>
      <c r="R304" t="s">
        <v>2445</v>
      </c>
      <c r="S304" t="s">
        <v>93</v>
      </c>
      <c r="T304" t="s">
        <v>2446</v>
      </c>
      <c r="U304" t="s">
        <v>2436</v>
      </c>
      <c r="V304" t="s">
        <v>2443</v>
      </c>
      <c r="W304" t="s">
        <v>89</v>
      </c>
      <c r="X304" t="s">
        <v>278</v>
      </c>
      <c r="Y304" t="s">
        <v>2447</v>
      </c>
      <c r="Z304" t="s">
        <v>2448</v>
      </c>
      <c r="AA304" t="s">
        <v>93</v>
      </c>
      <c r="AB304" t="s">
        <v>2173</v>
      </c>
      <c r="AC304" t="s">
        <v>2449</v>
      </c>
    </row>
    <row r="305" spans="1:29" x14ac:dyDescent="0.25">
      <c r="A305" t="s">
        <v>57</v>
      </c>
      <c r="B305" t="s">
        <v>78</v>
      </c>
      <c r="C305" t="s">
        <v>79</v>
      </c>
      <c r="D305" t="s">
        <v>79</v>
      </c>
      <c r="E305" t="s">
        <v>80</v>
      </c>
      <c r="F305" t="s">
        <v>60</v>
      </c>
      <c r="G305" t="s">
        <v>2450</v>
      </c>
      <c r="H305" t="s">
        <v>2451</v>
      </c>
      <c r="I305" t="s">
        <v>2452</v>
      </c>
      <c r="J305" t="s">
        <v>89</v>
      </c>
      <c r="K305" t="s">
        <v>89</v>
      </c>
      <c r="L305" t="s">
        <v>2432</v>
      </c>
      <c r="M305" t="s">
        <v>89</v>
      </c>
      <c r="N305" t="s">
        <v>89</v>
      </c>
      <c r="O305" t="s">
        <v>2453</v>
      </c>
      <c r="P305" t="s">
        <v>2454</v>
      </c>
      <c r="Q305" t="s">
        <v>2455</v>
      </c>
      <c r="R305" t="s">
        <v>2456</v>
      </c>
      <c r="S305" t="s">
        <v>93</v>
      </c>
      <c r="T305" t="s">
        <v>2257</v>
      </c>
      <c r="U305" t="s">
        <v>89</v>
      </c>
      <c r="V305" t="s">
        <v>89</v>
      </c>
      <c r="W305" t="s">
        <v>2453</v>
      </c>
      <c r="X305" t="s">
        <v>2457</v>
      </c>
      <c r="Y305" t="s">
        <v>2458</v>
      </c>
      <c r="Z305" t="s">
        <v>2459</v>
      </c>
      <c r="AA305" t="s">
        <v>93</v>
      </c>
      <c r="AB305" t="s">
        <v>2460</v>
      </c>
      <c r="AC305" t="s">
        <v>2461</v>
      </c>
    </row>
    <row r="306" spans="1:29" x14ac:dyDescent="0.25">
      <c r="A306" t="s">
        <v>57</v>
      </c>
      <c r="B306" t="s">
        <v>78</v>
      </c>
      <c r="C306" t="s">
        <v>79</v>
      </c>
      <c r="D306" t="s">
        <v>79</v>
      </c>
      <c r="E306" t="s">
        <v>80</v>
      </c>
      <c r="F306" t="s">
        <v>61</v>
      </c>
      <c r="G306" t="s">
        <v>2462</v>
      </c>
      <c r="H306" t="s">
        <v>2463</v>
      </c>
      <c r="I306" t="s">
        <v>278</v>
      </c>
      <c r="J306" t="s">
        <v>89</v>
      </c>
      <c r="K306" t="s">
        <v>89</v>
      </c>
      <c r="L306" t="s">
        <v>2432</v>
      </c>
      <c r="M306" t="s">
        <v>2436</v>
      </c>
      <c r="N306" t="s">
        <v>89</v>
      </c>
      <c r="O306" t="s">
        <v>89</v>
      </c>
      <c r="P306" t="s">
        <v>278</v>
      </c>
      <c r="Q306" t="s">
        <v>2464</v>
      </c>
      <c r="R306" t="s">
        <v>2465</v>
      </c>
      <c r="S306" t="s">
        <v>93</v>
      </c>
      <c r="T306" t="s">
        <v>1568</v>
      </c>
      <c r="U306" t="s">
        <v>2433</v>
      </c>
      <c r="V306" t="s">
        <v>89</v>
      </c>
      <c r="W306" t="s">
        <v>89</v>
      </c>
      <c r="X306" t="s">
        <v>278</v>
      </c>
      <c r="Y306" t="s">
        <v>2466</v>
      </c>
      <c r="Z306" t="s">
        <v>2467</v>
      </c>
      <c r="AA306" t="s">
        <v>93</v>
      </c>
      <c r="AB306" t="s">
        <v>1945</v>
      </c>
      <c r="AC306" t="s">
        <v>2468</v>
      </c>
    </row>
    <row r="307" spans="1:29" x14ac:dyDescent="0.25">
      <c r="A307" t="s">
        <v>57</v>
      </c>
      <c r="B307" t="s">
        <v>78</v>
      </c>
      <c r="C307" t="s">
        <v>79</v>
      </c>
      <c r="D307" t="s">
        <v>79</v>
      </c>
      <c r="E307" t="s">
        <v>80</v>
      </c>
      <c r="F307" t="s">
        <v>62</v>
      </c>
      <c r="G307" t="s">
        <v>2469</v>
      </c>
      <c r="H307" t="s">
        <v>2470</v>
      </c>
      <c r="I307" t="s">
        <v>2471</v>
      </c>
      <c r="J307" t="s">
        <v>89</v>
      </c>
      <c r="K307" t="s">
        <v>89</v>
      </c>
      <c r="L307" t="s">
        <v>2472</v>
      </c>
      <c r="M307" t="s">
        <v>89</v>
      </c>
      <c r="N307" t="s">
        <v>89</v>
      </c>
      <c r="O307" t="s">
        <v>2453</v>
      </c>
      <c r="P307" t="s">
        <v>2473</v>
      </c>
      <c r="Q307" t="s">
        <v>2474</v>
      </c>
      <c r="R307" t="s">
        <v>2475</v>
      </c>
      <c r="S307" t="s">
        <v>93</v>
      </c>
      <c r="T307" t="s">
        <v>2476</v>
      </c>
      <c r="U307" t="s">
        <v>89</v>
      </c>
      <c r="V307" t="s">
        <v>89</v>
      </c>
      <c r="W307" t="s">
        <v>2453</v>
      </c>
      <c r="X307" t="s">
        <v>2477</v>
      </c>
      <c r="Y307" t="s">
        <v>2478</v>
      </c>
      <c r="Z307" t="s">
        <v>2479</v>
      </c>
      <c r="AA307" t="s">
        <v>93</v>
      </c>
      <c r="AB307" t="s">
        <v>2198</v>
      </c>
      <c r="AC307" t="s">
        <v>2480</v>
      </c>
    </row>
    <row r="308" spans="1:29" x14ac:dyDescent="0.25">
      <c r="A308" t="s">
        <v>57</v>
      </c>
      <c r="B308" t="s">
        <v>78</v>
      </c>
      <c r="C308" t="s">
        <v>79</v>
      </c>
      <c r="D308" t="s">
        <v>79</v>
      </c>
      <c r="E308" t="s">
        <v>80</v>
      </c>
      <c r="F308" t="s">
        <v>63</v>
      </c>
      <c r="G308" t="s">
        <v>2481</v>
      </c>
      <c r="H308" t="s">
        <v>2482</v>
      </c>
      <c r="I308" t="s">
        <v>2483</v>
      </c>
      <c r="J308" t="s">
        <v>89</v>
      </c>
      <c r="K308" t="s">
        <v>89</v>
      </c>
      <c r="L308" t="s">
        <v>2432</v>
      </c>
      <c r="M308" t="s">
        <v>89</v>
      </c>
      <c r="N308" t="s">
        <v>89</v>
      </c>
      <c r="O308" t="s">
        <v>2453</v>
      </c>
      <c r="P308" t="s">
        <v>2484</v>
      </c>
      <c r="Q308" t="s">
        <v>2485</v>
      </c>
      <c r="R308" t="s">
        <v>2486</v>
      </c>
      <c r="S308" t="s">
        <v>93</v>
      </c>
      <c r="T308" t="s">
        <v>281</v>
      </c>
      <c r="U308" t="s">
        <v>89</v>
      </c>
      <c r="V308" t="s">
        <v>89</v>
      </c>
      <c r="W308" t="s">
        <v>2453</v>
      </c>
      <c r="X308" t="s">
        <v>2487</v>
      </c>
      <c r="Y308" t="s">
        <v>2488</v>
      </c>
      <c r="Z308" t="s">
        <v>2489</v>
      </c>
      <c r="AA308" t="s">
        <v>93</v>
      </c>
      <c r="AB308" t="s">
        <v>285</v>
      </c>
      <c r="AC308" t="s">
        <v>2490</v>
      </c>
    </row>
    <row r="309" spans="1:29" x14ac:dyDescent="0.25">
      <c r="A309" t="s">
        <v>57</v>
      </c>
      <c r="B309" t="s">
        <v>78</v>
      </c>
      <c r="C309" t="s">
        <v>79</v>
      </c>
      <c r="D309" t="s">
        <v>79</v>
      </c>
      <c r="E309" t="s">
        <v>80</v>
      </c>
      <c r="F309" t="s">
        <v>64</v>
      </c>
      <c r="G309" t="s">
        <v>2491</v>
      </c>
      <c r="H309" t="s">
        <v>2492</v>
      </c>
      <c r="I309" t="s">
        <v>2493</v>
      </c>
      <c r="J309" t="s">
        <v>89</v>
      </c>
      <c r="K309" t="s">
        <v>89</v>
      </c>
      <c r="L309" t="s">
        <v>2432</v>
      </c>
      <c r="M309" t="s">
        <v>89</v>
      </c>
      <c r="N309" t="s">
        <v>89</v>
      </c>
      <c r="O309" t="s">
        <v>2453</v>
      </c>
      <c r="P309" t="s">
        <v>2494</v>
      </c>
      <c r="Q309" t="s">
        <v>2495</v>
      </c>
      <c r="R309" t="s">
        <v>2496</v>
      </c>
      <c r="S309" t="s">
        <v>93</v>
      </c>
      <c r="T309" t="s">
        <v>2497</v>
      </c>
      <c r="U309" t="s">
        <v>2498</v>
      </c>
      <c r="V309" t="s">
        <v>89</v>
      </c>
      <c r="W309" t="s">
        <v>2453</v>
      </c>
      <c r="X309" t="s">
        <v>2499</v>
      </c>
      <c r="Y309" t="s">
        <v>2500</v>
      </c>
      <c r="Z309" t="s">
        <v>2501</v>
      </c>
      <c r="AA309" t="s">
        <v>93</v>
      </c>
      <c r="AB309" t="s">
        <v>94</v>
      </c>
      <c r="AC309" t="s">
        <v>2502</v>
      </c>
    </row>
    <row r="310" spans="1:29" x14ac:dyDescent="0.25">
      <c r="A310" t="s">
        <v>57</v>
      </c>
      <c r="B310" t="s">
        <v>78</v>
      </c>
      <c r="C310" t="s">
        <v>79</v>
      </c>
      <c r="D310" t="s">
        <v>79</v>
      </c>
      <c r="E310" t="s">
        <v>80</v>
      </c>
      <c r="F310" t="s">
        <v>65</v>
      </c>
      <c r="G310" t="s">
        <v>2503</v>
      </c>
      <c r="H310" t="s">
        <v>2504</v>
      </c>
      <c r="I310" t="s">
        <v>2505</v>
      </c>
      <c r="J310" t="s">
        <v>89</v>
      </c>
      <c r="K310" t="s">
        <v>89</v>
      </c>
      <c r="L310" t="s">
        <v>2506</v>
      </c>
      <c r="M310" t="s">
        <v>89</v>
      </c>
      <c r="N310" t="s">
        <v>89</v>
      </c>
      <c r="O310" t="s">
        <v>2453</v>
      </c>
      <c r="P310" t="s">
        <v>2507</v>
      </c>
      <c r="Q310" t="s">
        <v>2508</v>
      </c>
      <c r="R310" t="s">
        <v>2448</v>
      </c>
      <c r="S310" t="s">
        <v>93</v>
      </c>
      <c r="T310" t="s">
        <v>2173</v>
      </c>
      <c r="U310" t="s">
        <v>89</v>
      </c>
      <c r="V310" t="s">
        <v>89</v>
      </c>
      <c r="W310" t="s">
        <v>2453</v>
      </c>
      <c r="X310" t="s">
        <v>2509</v>
      </c>
      <c r="Y310" t="s">
        <v>2510</v>
      </c>
      <c r="Z310" t="s">
        <v>2511</v>
      </c>
      <c r="AA310" t="s">
        <v>93</v>
      </c>
      <c r="AB310" t="s">
        <v>2081</v>
      </c>
      <c r="AC310" t="s">
        <v>2512</v>
      </c>
    </row>
    <row r="311" spans="1:29" x14ac:dyDescent="0.25">
      <c r="A311" t="s">
        <v>57</v>
      </c>
      <c r="B311" t="s">
        <v>78</v>
      </c>
      <c r="C311" t="s">
        <v>79</v>
      </c>
      <c r="D311" t="s">
        <v>79</v>
      </c>
      <c r="E311" t="s">
        <v>80</v>
      </c>
      <c r="F311" t="s">
        <v>66</v>
      </c>
      <c r="G311" t="s">
        <v>2513</v>
      </c>
      <c r="H311" t="s">
        <v>2514</v>
      </c>
      <c r="I311" t="s">
        <v>2515</v>
      </c>
      <c r="J311" t="s">
        <v>2516</v>
      </c>
      <c r="K311" t="s">
        <v>89</v>
      </c>
      <c r="L311" t="s">
        <v>2472</v>
      </c>
      <c r="M311" t="s">
        <v>89</v>
      </c>
      <c r="N311" t="s">
        <v>89</v>
      </c>
      <c r="O311" t="s">
        <v>2453</v>
      </c>
      <c r="P311" t="s">
        <v>2517</v>
      </c>
      <c r="Q311" t="s">
        <v>2518</v>
      </c>
      <c r="R311" t="s">
        <v>2519</v>
      </c>
      <c r="S311" t="s">
        <v>93</v>
      </c>
      <c r="T311" t="s">
        <v>2187</v>
      </c>
      <c r="U311" t="s">
        <v>89</v>
      </c>
      <c r="V311" t="s">
        <v>89</v>
      </c>
      <c r="W311" t="s">
        <v>2453</v>
      </c>
      <c r="X311" t="s">
        <v>2520</v>
      </c>
      <c r="Y311" t="s">
        <v>2521</v>
      </c>
      <c r="Z311" t="s">
        <v>2522</v>
      </c>
      <c r="AA311" t="s">
        <v>93</v>
      </c>
      <c r="AB311" t="s">
        <v>2523</v>
      </c>
      <c r="AC311" t="s">
        <v>2524</v>
      </c>
    </row>
    <row r="312" spans="1:29" x14ac:dyDescent="0.25">
      <c r="A312" t="s">
        <v>57</v>
      </c>
      <c r="B312" t="s">
        <v>78</v>
      </c>
      <c r="C312" t="s">
        <v>79</v>
      </c>
      <c r="D312" t="s">
        <v>79</v>
      </c>
      <c r="E312" t="s">
        <v>80</v>
      </c>
      <c r="F312" t="s">
        <v>67</v>
      </c>
      <c r="G312" t="s">
        <v>2525</v>
      </c>
      <c r="H312" t="s">
        <v>2526</v>
      </c>
      <c r="I312" t="s">
        <v>2527</v>
      </c>
      <c r="J312" t="s">
        <v>2528</v>
      </c>
      <c r="K312" t="s">
        <v>89</v>
      </c>
      <c r="L312" t="s">
        <v>2506</v>
      </c>
      <c r="M312" t="s">
        <v>2498</v>
      </c>
      <c r="N312" t="s">
        <v>89</v>
      </c>
      <c r="O312" t="s">
        <v>89</v>
      </c>
      <c r="P312" t="s">
        <v>2529</v>
      </c>
      <c r="Q312" t="s">
        <v>2530</v>
      </c>
      <c r="R312" t="s">
        <v>2531</v>
      </c>
      <c r="S312" t="s">
        <v>93</v>
      </c>
      <c r="T312" t="s">
        <v>2098</v>
      </c>
      <c r="U312" t="s">
        <v>2498</v>
      </c>
      <c r="V312" t="s">
        <v>89</v>
      </c>
      <c r="W312" t="s">
        <v>89</v>
      </c>
      <c r="X312" t="s">
        <v>278</v>
      </c>
      <c r="Y312" t="s">
        <v>2532</v>
      </c>
      <c r="Z312" t="s">
        <v>2533</v>
      </c>
      <c r="AA312" t="s">
        <v>93</v>
      </c>
      <c r="AB312" t="s">
        <v>2534</v>
      </c>
      <c r="AC312" t="s">
        <v>2535</v>
      </c>
    </row>
    <row r="313" spans="1:29" x14ac:dyDescent="0.25">
      <c r="A313" t="s">
        <v>57</v>
      </c>
      <c r="B313" t="s">
        <v>78</v>
      </c>
      <c r="C313" t="s">
        <v>79</v>
      </c>
      <c r="D313" t="s">
        <v>79</v>
      </c>
      <c r="E313" t="s">
        <v>80</v>
      </c>
      <c r="F313" t="s">
        <v>68</v>
      </c>
      <c r="G313" t="s">
        <v>2536</v>
      </c>
      <c r="H313" t="s">
        <v>2537</v>
      </c>
      <c r="I313" t="s">
        <v>2538</v>
      </c>
      <c r="J313" t="s">
        <v>2539</v>
      </c>
      <c r="K313" t="s">
        <v>89</v>
      </c>
      <c r="L313" t="s">
        <v>2506</v>
      </c>
      <c r="M313" t="s">
        <v>2433</v>
      </c>
      <c r="N313" t="s">
        <v>89</v>
      </c>
      <c r="O313" t="s">
        <v>89</v>
      </c>
      <c r="P313" t="s">
        <v>278</v>
      </c>
      <c r="Q313" t="s">
        <v>2540</v>
      </c>
      <c r="R313" t="s">
        <v>2489</v>
      </c>
      <c r="S313" t="s">
        <v>93</v>
      </c>
      <c r="T313" t="s">
        <v>285</v>
      </c>
      <c r="U313" t="s">
        <v>2433</v>
      </c>
      <c r="V313" t="s">
        <v>89</v>
      </c>
      <c r="W313" t="s">
        <v>89</v>
      </c>
      <c r="X313" t="s">
        <v>2541</v>
      </c>
      <c r="Y313" t="s">
        <v>2542</v>
      </c>
      <c r="Z313" t="s">
        <v>2456</v>
      </c>
      <c r="AA313" t="s">
        <v>93</v>
      </c>
      <c r="AB313" t="s">
        <v>2257</v>
      </c>
      <c r="AC313" t="s">
        <v>2543</v>
      </c>
    </row>
    <row r="314" spans="1:29" x14ac:dyDescent="0.25">
      <c r="A314" t="s">
        <v>57</v>
      </c>
      <c r="B314" t="s">
        <v>78</v>
      </c>
      <c r="C314" t="s">
        <v>79</v>
      </c>
      <c r="D314" t="s">
        <v>79</v>
      </c>
      <c r="E314" t="s">
        <v>80</v>
      </c>
      <c r="F314" t="s">
        <v>69</v>
      </c>
      <c r="G314" t="s">
        <v>2544</v>
      </c>
      <c r="H314" t="s">
        <v>2545</v>
      </c>
      <c r="I314" t="s">
        <v>1513</v>
      </c>
      <c r="J314" t="s">
        <v>2546</v>
      </c>
      <c r="K314" t="s">
        <v>89</v>
      </c>
      <c r="L314" t="s">
        <v>2472</v>
      </c>
      <c r="M314" t="s">
        <v>2498</v>
      </c>
      <c r="N314" t="s">
        <v>89</v>
      </c>
      <c r="O314" t="s">
        <v>89</v>
      </c>
      <c r="P314" t="s">
        <v>278</v>
      </c>
      <c r="Q314" t="s">
        <v>2547</v>
      </c>
      <c r="R314" t="s">
        <v>2548</v>
      </c>
      <c r="S314" t="s">
        <v>93</v>
      </c>
      <c r="T314" t="s">
        <v>101</v>
      </c>
      <c r="U314" t="s">
        <v>2433</v>
      </c>
      <c r="V314" t="s">
        <v>89</v>
      </c>
      <c r="W314" t="s">
        <v>89</v>
      </c>
      <c r="X314" t="s">
        <v>2549</v>
      </c>
      <c r="Y314" t="s">
        <v>2550</v>
      </c>
      <c r="Z314" t="s">
        <v>2551</v>
      </c>
      <c r="AA314" t="s">
        <v>93</v>
      </c>
      <c r="AB314" t="s">
        <v>1860</v>
      </c>
      <c r="AC314" t="s">
        <v>2552</v>
      </c>
    </row>
    <row r="315" spans="1:29" x14ac:dyDescent="0.25">
      <c r="A315" t="s">
        <v>57</v>
      </c>
      <c r="B315" t="s">
        <v>78</v>
      </c>
      <c r="C315" t="s">
        <v>79</v>
      </c>
      <c r="D315" t="s">
        <v>79</v>
      </c>
      <c r="E315" t="s">
        <v>80</v>
      </c>
      <c r="F315" t="s">
        <v>70</v>
      </c>
      <c r="G315" t="s">
        <v>2553</v>
      </c>
      <c r="H315" t="s">
        <v>2554</v>
      </c>
      <c r="I315" t="s">
        <v>547</v>
      </c>
      <c r="J315" t="s">
        <v>2555</v>
      </c>
      <c r="K315" t="s">
        <v>89</v>
      </c>
      <c r="L315" t="s">
        <v>2472</v>
      </c>
      <c r="M315" t="s">
        <v>2433</v>
      </c>
      <c r="N315" t="s">
        <v>89</v>
      </c>
      <c r="O315" t="s">
        <v>89</v>
      </c>
      <c r="P315" t="s">
        <v>278</v>
      </c>
      <c r="Q315" t="s">
        <v>2556</v>
      </c>
      <c r="R315" t="s">
        <v>2557</v>
      </c>
      <c r="S315" t="s">
        <v>93</v>
      </c>
      <c r="T315" t="s">
        <v>374</v>
      </c>
      <c r="U315" t="s">
        <v>2433</v>
      </c>
      <c r="V315" t="s">
        <v>89</v>
      </c>
      <c r="W315" t="s">
        <v>89</v>
      </c>
      <c r="X315" t="s">
        <v>278</v>
      </c>
      <c r="Y315" t="s">
        <v>2558</v>
      </c>
      <c r="Z315" t="s">
        <v>2559</v>
      </c>
      <c r="AA315" t="s">
        <v>93</v>
      </c>
      <c r="AB315" t="s">
        <v>109</v>
      </c>
      <c r="AC315" t="s">
        <v>2560</v>
      </c>
    </row>
    <row r="316" spans="1:29" x14ac:dyDescent="0.25">
      <c r="A316" t="s">
        <v>57</v>
      </c>
      <c r="B316" t="s">
        <v>78</v>
      </c>
      <c r="C316" t="s">
        <v>79</v>
      </c>
      <c r="D316" t="s">
        <v>79</v>
      </c>
      <c r="E316" t="s">
        <v>80</v>
      </c>
      <c r="F316" t="s">
        <v>71</v>
      </c>
      <c r="G316" t="s">
        <v>2561</v>
      </c>
      <c r="H316" t="s">
        <v>2562</v>
      </c>
      <c r="I316" t="s">
        <v>2563</v>
      </c>
      <c r="J316" t="s">
        <v>89</v>
      </c>
      <c r="K316" t="s">
        <v>2431</v>
      </c>
      <c r="L316" t="s">
        <v>2432</v>
      </c>
      <c r="M316" t="s">
        <v>2436</v>
      </c>
      <c r="N316" t="s">
        <v>2443</v>
      </c>
      <c r="O316" t="s">
        <v>89</v>
      </c>
      <c r="P316" t="s">
        <v>278</v>
      </c>
      <c r="Q316" t="s">
        <v>2564</v>
      </c>
      <c r="R316" t="s">
        <v>2565</v>
      </c>
      <c r="S316" t="s">
        <v>93</v>
      </c>
      <c r="T316" t="s">
        <v>2089</v>
      </c>
      <c r="U316" t="s">
        <v>2436</v>
      </c>
      <c r="V316" t="s">
        <v>89</v>
      </c>
      <c r="W316" t="s">
        <v>89</v>
      </c>
      <c r="X316" t="s">
        <v>278</v>
      </c>
      <c r="Y316" t="s">
        <v>2566</v>
      </c>
      <c r="Z316" t="s">
        <v>2567</v>
      </c>
      <c r="AA316" t="s">
        <v>93</v>
      </c>
      <c r="AB316" t="s">
        <v>2108</v>
      </c>
      <c r="AC316" t="s">
        <v>2568</v>
      </c>
    </row>
    <row r="317" spans="1:29" x14ac:dyDescent="0.25">
      <c r="A317" t="s">
        <v>57</v>
      </c>
      <c r="B317" t="s">
        <v>78</v>
      </c>
      <c r="C317" t="s">
        <v>79</v>
      </c>
      <c r="D317" t="s">
        <v>79</v>
      </c>
      <c r="E317" t="s">
        <v>80</v>
      </c>
      <c r="F317" t="s">
        <v>72</v>
      </c>
      <c r="G317" t="s">
        <v>2569</v>
      </c>
      <c r="H317" t="s">
        <v>2570</v>
      </c>
      <c r="I317" t="s">
        <v>2571</v>
      </c>
      <c r="J317" t="s">
        <v>2539</v>
      </c>
      <c r="K317" t="s">
        <v>89</v>
      </c>
      <c r="L317" t="s">
        <v>2506</v>
      </c>
      <c r="M317" t="s">
        <v>2433</v>
      </c>
      <c r="N317" t="s">
        <v>89</v>
      </c>
      <c r="O317" t="s">
        <v>89</v>
      </c>
      <c r="P317" t="s">
        <v>2572</v>
      </c>
      <c r="Q317" t="s">
        <v>2573</v>
      </c>
      <c r="R317" t="s">
        <v>2519</v>
      </c>
      <c r="S317" t="s">
        <v>93</v>
      </c>
      <c r="T317" t="s">
        <v>2187</v>
      </c>
      <c r="U317" t="s">
        <v>2433</v>
      </c>
      <c r="V317" t="s">
        <v>89</v>
      </c>
      <c r="W317" t="s">
        <v>89</v>
      </c>
      <c r="X317" t="s">
        <v>2574</v>
      </c>
      <c r="Y317" t="s">
        <v>2575</v>
      </c>
      <c r="Z317" t="s">
        <v>2522</v>
      </c>
      <c r="AA317" t="s">
        <v>93</v>
      </c>
      <c r="AB317" t="s">
        <v>2523</v>
      </c>
      <c r="AC317" t="s">
        <v>2576</v>
      </c>
    </row>
    <row r="318" spans="1:29" x14ac:dyDescent="0.25">
      <c r="A318" t="s">
        <v>57</v>
      </c>
      <c r="B318" t="s">
        <v>78</v>
      </c>
      <c r="C318" t="s">
        <v>79</v>
      </c>
      <c r="D318" t="s">
        <v>79</v>
      </c>
      <c r="E318" t="s">
        <v>80</v>
      </c>
      <c r="F318" t="s">
        <v>73</v>
      </c>
      <c r="G318" t="s">
        <v>2577</v>
      </c>
      <c r="H318" t="s">
        <v>2578</v>
      </c>
      <c r="I318" t="s">
        <v>2579</v>
      </c>
      <c r="J318" t="s">
        <v>2580</v>
      </c>
      <c r="K318" t="s">
        <v>89</v>
      </c>
      <c r="L318" t="s">
        <v>2506</v>
      </c>
      <c r="M318" t="s">
        <v>2436</v>
      </c>
      <c r="N318" t="s">
        <v>2443</v>
      </c>
      <c r="O318" t="s">
        <v>89</v>
      </c>
      <c r="P318" t="s">
        <v>2581</v>
      </c>
      <c r="Q318" t="s">
        <v>2582</v>
      </c>
      <c r="R318" t="s">
        <v>2533</v>
      </c>
      <c r="S318" t="s">
        <v>93</v>
      </c>
      <c r="T318" t="s">
        <v>2534</v>
      </c>
      <c r="U318" t="s">
        <v>2433</v>
      </c>
      <c r="V318" t="s">
        <v>89</v>
      </c>
      <c r="W318" t="s">
        <v>89</v>
      </c>
      <c r="X318" t="s">
        <v>2583</v>
      </c>
      <c r="Y318" t="s">
        <v>2584</v>
      </c>
      <c r="Z318" t="s">
        <v>2585</v>
      </c>
      <c r="AA318" t="s">
        <v>93</v>
      </c>
      <c r="AB318" t="s">
        <v>820</v>
      </c>
      <c r="AC318" t="s">
        <v>2586</v>
      </c>
    </row>
    <row r="319" spans="1:29" x14ac:dyDescent="0.25">
      <c r="A319" t="s">
        <v>57</v>
      </c>
      <c r="B319" t="s">
        <v>78</v>
      </c>
      <c r="C319" t="s">
        <v>79</v>
      </c>
      <c r="D319" t="s">
        <v>79</v>
      </c>
      <c r="E319" t="s">
        <v>80</v>
      </c>
      <c r="F319" t="s">
        <v>74</v>
      </c>
      <c r="G319" t="s">
        <v>2587</v>
      </c>
      <c r="H319" t="s">
        <v>2588</v>
      </c>
      <c r="I319" t="s">
        <v>2589</v>
      </c>
      <c r="J319" t="s">
        <v>2580</v>
      </c>
      <c r="K319" t="s">
        <v>89</v>
      </c>
      <c r="L319" t="s">
        <v>2506</v>
      </c>
      <c r="M319" t="s">
        <v>2433</v>
      </c>
      <c r="N319" t="s">
        <v>89</v>
      </c>
      <c r="O319" t="s">
        <v>89</v>
      </c>
      <c r="P319" t="s">
        <v>2590</v>
      </c>
      <c r="Q319" t="s">
        <v>2591</v>
      </c>
      <c r="R319" t="s">
        <v>2592</v>
      </c>
      <c r="S319" t="s">
        <v>93</v>
      </c>
      <c r="T319" t="s">
        <v>2593</v>
      </c>
      <c r="U319" t="s">
        <v>2433</v>
      </c>
      <c r="V319" t="s">
        <v>89</v>
      </c>
      <c r="W319" t="s">
        <v>89</v>
      </c>
      <c r="X319" t="s">
        <v>2594</v>
      </c>
      <c r="Y319" t="s">
        <v>2595</v>
      </c>
      <c r="Z319" t="s">
        <v>2596</v>
      </c>
      <c r="AA319" t="s">
        <v>93</v>
      </c>
      <c r="AB319" t="s">
        <v>2597</v>
      </c>
      <c r="AC319" t="s">
        <v>2598</v>
      </c>
    </row>
    <row r="320" spans="1:29" x14ac:dyDescent="0.25">
      <c r="A320" t="s">
        <v>57</v>
      </c>
      <c r="B320" t="s">
        <v>78</v>
      </c>
      <c r="C320" t="s">
        <v>79</v>
      </c>
      <c r="D320" t="s">
        <v>79</v>
      </c>
      <c r="E320" t="s">
        <v>80</v>
      </c>
      <c r="F320" t="s">
        <v>75</v>
      </c>
      <c r="G320" t="s">
        <v>2599</v>
      </c>
      <c r="H320" t="s">
        <v>2600</v>
      </c>
      <c r="I320" t="s">
        <v>1810</v>
      </c>
      <c r="J320" t="s">
        <v>89</v>
      </c>
      <c r="K320" t="s">
        <v>89</v>
      </c>
      <c r="L320" t="s">
        <v>2432</v>
      </c>
      <c r="M320" t="s">
        <v>2436</v>
      </c>
      <c r="N320" t="s">
        <v>2443</v>
      </c>
      <c r="O320" t="s">
        <v>89</v>
      </c>
      <c r="P320" t="s">
        <v>278</v>
      </c>
      <c r="Q320" t="s">
        <v>2601</v>
      </c>
      <c r="R320" t="s">
        <v>2435</v>
      </c>
      <c r="S320" t="s">
        <v>93</v>
      </c>
      <c r="T320" t="s">
        <v>1950</v>
      </c>
      <c r="U320" t="s">
        <v>2436</v>
      </c>
      <c r="V320" t="s">
        <v>2443</v>
      </c>
      <c r="W320" t="s">
        <v>89</v>
      </c>
      <c r="X320" t="s">
        <v>278</v>
      </c>
      <c r="Y320" t="s">
        <v>2602</v>
      </c>
      <c r="Z320" t="s">
        <v>2438</v>
      </c>
      <c r="AA320" t="s">
        <v>93</v>
      </c>
      <c r="AB320" t="s">
        <v>160</v>
      </c>
      <c r="AC320" t="s">
        <v>2603</v>
      </c>
    </row>
    <row r="321" spans="1:29" x14ac:dyDescent="0.25">
      <c r="A321" t="s">
        <v>57</v>
      </c>
      <c r="B321" t="s">
        <v>78</v>
      </c>
      <c r="C321" t="s">
        <v>79</v>
      </c>
      <c r="D321" t="s">
        <v>79</v>
      </c>
      <c r="E321" t="s">
        <v>80</v>
      </c>
      <c r="F321" t="s">
        <v>76</v>
      </c>
      <c r="G321" t="s">
        <v>2604</v>
      </c>
      <c r="H321" t="s">
        <v>2605</v>
      </c>
      <c r="I321" t="s">
        <v>2606</v>
      </c>
      <c r="J321" t="s">
        <v>89</v>
      </c>
      <c r="K321" t="s">
        <v>2431</v>
      </c>
      <c r="L321" t="s">
        <v>2432</v>
      </c>
      <c r="M321" t="s">
        <v>2433</v>
      </c>
      <c r="N321" t="s">
        <v>2607</v>
      </c>
      <c r="O321" t="s">
        <v>89</v>
      </c>
      <c r="P321" t="s">
        <v>2608</v>
      </c>
      <c r="Q321" t="s">
        <v>2609</v>
      </c>
      <c r="R321" t="s">
        <v>2610</v>
      </c>
      <c r="S321" t="s">
        <v>93</v>
      </c>
      <c r="T321" t="s">
        <v>1578</v>
      </c>
      <c r="U321" t="s">
        <v>2498</v>
      </c>
      <c r="V321" t="s">
        <v>2443</v>
      </c>
      <c r="W321" t="s">
        <v>89</v>
      </c>
      <c r="X321" t="s">
        <v>2611</v>
      </c>
      <c r="Y321" t="s">
        <v>2612</v>
      </c>
      <c r="Z321" t="s">
        <v>2613</v>
      </c>
      <c r="AA321" t="s">
        <v>93</v>
      </c>
      <c r="AB321" t="s">
        <v>1311</v>
      </c>
      <c r="AC321" t="s">
        <v>2614</v>
      </c>
    </row>
    <row r="322" spans="1:29" x14ac:dyDescent="0.25">
      <c r="A322" t="s">
        <v>57</v>
      </c>
      <c r="B322" t="s">
        <v>814</v>
      </c>
      <c r="C322" t="s">
        <v>79</v>
      </c>
      <c r="D322" t="s">
        <v>898</v>
      </c>
      <c r="E322" t="s">
        <v>80</v>
      </c>
      <c r="F322" t="s">
        <v>58</v>
      </c>
      <c r="G322" t="s">
        <v>2615</v>
      </c>
      <c r="H322" t="s">
        <v>2616</v>
      </c>
      <c r="I322" t="s">
        <v>2617</v>
      </c>
      <c r="J322" t="s">
        <v>2618</v>
      </c>
      <c r="K322" t="s">
        <v>2619</v>
      </c>
      <c r="L322" t="s">
        <v>2620</v>
      </c>
      <c r="M322" t="s">
        <v>2433</v>
      </c>
      <c r="N322" t="s">
        <v>89</v>
      </c>
      <c r="O322" t="s">
        <v>89</v>
      </c>
      <c r="P322" t="s">
        <v>2621</v>
      </c>
      <c r="Q322" t="s">
        <v>2622</v>
      </c>
      <c r="R322" t="s">
        <v>2479</v>
      </c>
      <c r="S322" t="s">
        <v>93</v>
      </c>
      <c r="T322" t="s">
        <v>2198</v>
      </c>
      <c r="U322" t="s">
        <v>2433</v>
      </c>
      <c r="V322" t="s">
        <v>89</v>
      </c>
      <c r="W322" t="s">
        <v>89</v>
      </c>
      <c r="X322" t="s">
        <v>2623</v>
      </c>
      <c r="Y322" t="s">
        <v>2624</v>
      </c>
      <c r="Z322" t="s">
        <v>2445</v>
      </c>
      <c r="AA322" t="s">
        <v>93</v>
      </c>
      <c r="AB322" t="s">
        <v>2446</v>
      </c>
      <c r="AC322" t="s">
        <v>2625</v>
      </c>
    </row>
    <row r="323" spans="1:29" x14ac:dyDescent="0.25">
      <c r="A323" t="s">
        <v>57</v>
      </c>
      <c r="B323" t="s">
        <v>814</v>
      </c>
      <c r="C323" t="s">
        <v>79</v>
      </c>
      <c r="D323" t="s">
        <v>898</v>
      </c>
      <c r="E323" t="s">
        <v>80</v>
      </c>
      <c r="F323" t="s">
        <v>59</v>
      </c>
      <c r="G323" t="s">
        <v>2626</v>
      </c>
      <c r="H323" t="s">
        <v>2627</v>
      </c>
      <c r="I323" t="s">
        <v>2628</v>
      </c>
      <c r="J323" t="s">
        <v>2629</v>
      </c>
      <c r="K323" t="s">
        <v>2619</v>
      </c>
      <c r="L323" t="s">
        <v>2630</v>
      </c>
      <c r="M323" t="s">
        <v>2436</v>
      </c>
      <c r="N323" t="s">
        <v>2443</v>
      </c>
      <c r="O323" t="s">
        <v>89</v>
      </c>
      <c r="P323" t="s">
        <v>2631</v>
      </c>
      <c r="Q323" t="s">
        <v>2632</v>
      </c>
      <c r="R323" t="s">
        <v>2456</v>
      </c>
      <c r="S323" t="s">
        <v>93</v>
      </c>
      <c r="T323" t="s">
        <v>2257</v>
      </c>
      <c r="U323" t="s">
        <v>2433</v>
      </c>
      <c r="V323" t="s">
        <v>89</v>
      </c>
      <c r="W323" t="s">
        <v>89</v>
      </c>
      <c r="X323" t="s">
        <v>2633</v>
      </c>
      <c r="Y323" t="s">
        <v>2634</v>
      </c>
      <c r="Z323" t="s">
        <v>2459</v>
      </c>
      <c r="AA323" t="s">
        <v>93</v>
      </c>
      <c r="AB323" t="s">
        <v>2460</v>
      </c>
      <c r="AC323" t="s">
        <v>2635</v>
      </c>
    </row>
    <row r="324" spans="1:29" x14ac:dyDescent="0.25">
      <c r="A324" t="s">
        <v>57</v>
      </c>
      <c r="B324" t="s">
        <v>814</v>
      </c>
      <c r="C324" t="s">
        <v>79</v>
      </c>
      <c r="D324" t="s">
        <v>898</v>
      </c>
      <c r="E324" t="s">
        <v>80</v>
      </c>
      <c r="F324" t="s">
        <v>60</v>
      </c>
      <c r="G324" t="s">
        <v>2636</v>
      </c>
      <c r="H324" t="s">
        <v>2637</v>
      </c>
      <c r="I324" t="s">
        <v>2638</v>
      </c>
      <c r="J324" t="s">
        <v>2639</v>
      </c>
      <c r="K324" t="s">
        <v>2640</v>
      </c>
      <c r="L324" t="s">
        <v>2641</v>
      </c>
      <c r="M324" t="s">
        <v>2433</v>
      </c>
      <c r="N324" t="s">
        <v>2607</v>
      </c>
      <c r="O324" t="s">
        <v>89</v>
      </c>
      <c r="P324" t="s">
        <v>2642</v>
      </c>
      <c r="Q324" t="s">
        <v>2643</v>
      </c>
      <c r="R324" t="s">
        <v>2501</v>
      </c>
      <c r="S324" t="s">
        <v>93</v>
      </c>
      <c r="T324" t="s">
        <v>94</v>
      </c>
      <c r="U324" t="s">
        <v>2433</v>
      </c>
      <c r="V324" t="s">
        <v>2607</v>
      </c>
      <c r="W324" t="s">
        <v>89</v>
      </c>
      <c r="X324" t="s">
        <v>2644</v>
      </c>
      <c r="Y324" t="s">
        <v>2645</v>
      </c>
      <c r="Z324" t="s">
        <v>2548</v>
      </c>
      <c r="AA324" t="s">
        <v>93</v>
      </c>
      <c r="AB324" t="s">
        <v>101</v>
      </c>
      <c r="AC324" t="s">
        <v>2646</v>
      </c>
    </row>
    <row r="325" spans="1:29" x14ac:dyDescent="0.25">
      <c r="A325" t="s">
        <v>57</v>
      </c>
      <c r="B325" t="s">
        <v>814</v>
      </c>
      <c r="C325" t="s">
        <v>79</v>
      </c>
      <c r="D325" t="s">
        <v>898</v>
      </c>
      <c r="E325" t="s">
        <v>80</v>
      </c>
      <c r="F325" t="s">
        <v>61</v>
      </c>
      <c r="G325" t="s">
        <v>2647</v>
      </c>
      <c r="H325" t="s">
        <v>2648</v>
      </c>
      <c r="I325" t="s">
        <v>2649</v>
      </c>
      <c r="J325" t="s">
        <v>2650</v>
      </c>
      <c r="K325" t="s">
        <v>89</v>
      </c>
      <c r="L325" t="s">
        <v>2506</v>
      </c>
      <c r="M325" t="s">
        <v>2433</v>
      </c>
      <c r="N325" t="s">
        <v>89</v>
      </c>
      <c r="O325" t="s">
        <v>89</v>
      </c>
      <c r="P325" t="s">
        <v>278</v>
      </c>
      <c r="Q325" t="s">
        <v>2651</v>
      </c>
      <c r="R325" t="s">
        <v>2652</v>
      </c>
      <c r="S325" t="s">
        <v>93</v>
      </c>
      <c r="T325" t="s">
        <v>2021</v>
      </c>
      <c r="U325" t="s">
        <v>2433</v>
      </c>
      <c r="V325" t="s">
        <v>89</v>
      </c>
      <c r="W325" t="s">
        <v>89</v>
      </c>
      <c r="X325" t="s">
        <v>2653</v>
      </c>
      <c r="Y325" t="s">
        <v>2654</v>
      </c>
      <c r="Z325" t="s">
        <v>2655</v>
      </c>
      <c r="AA325" t="s">
        <v>93</v>
      </c>
      <c r="AB325" t="s">
        <v>1702</v>
      </c>
      <c r="AC325" t="s">
        <v>2656</v>
      </c>
    </row>
    <row r="326" spans="1:29" x14ac:dyDescent="0.25">
      <c r="A326" t="s">
        <v>57</v>
      </c>
      <c r="B326" t="s">
        <v>814</v>
      </c>
      <c r="C326" t="s">
        <v>79</v>
      </c>
      <c r="D326" t="s">
        <v>898</v>
      </c>
      <c r="E326" t="s">
        <v>80</v>
      </c>
      <c r="F326" t="s">
        <v>62</v>
      </c>
      <c r="G326" t="s">
        <v>2657</v>
      </c>
      <c r="H326" t="s">
        <v>2658</v>
      </c>
      <c r="I326" t="s">
        <v>2659</v>
      </c>
      <c r="J326" t="s">
        <v>2660</v>
      </c>
      <c r="K326" t="s">
        <v>2619</v>
      </c>
      <c r="L326" t="s">
        <v>2661</v>
      </c>
      <c r="M326" t="s">
        <v>2433</v>
      </c>
      <c r="N326" t="s">
        <v>2607</v>
      </c>
      <c r="O326" t="s">
        <v>89</v>
      </c>
      <c r="P326" t="s">
        <v>2662</v>
      </c>
      <c r="Q326" t="s">
        <v>2663</v>
      </c>
      <c r="R326" t="s">
        <v>2486</v>
      </c>
      <c r="S326" t="s">
        <v>93</v>
      </c>
      <c r="T326" t="s">
        <v>281</v>
      </c>
      <c r="U326" t="s">
        <v>2433</v>
      </c>
      <c r="V326" t="s">
        <v>2443</v>
      </c>
      <c r="W326" t="s">
        <v>89</v>
      </c>
      <c r="X326" t="s">
        <v>2664</v>
      </c>
      <c r="Y326" t="s">
        <v>2665</v>
      </c>
      <c r="Z326" t="s">
        <v>2489</v>
      </c>
      <c r="AA326" t="s">
        <v>93</v>
      </c>
      <c r="AB326" t="s">
        <v>285</v>
      </c>
      <c r="AC326" t="s">
        <v>2666</v>
      </c>
    </row>
    <row r="327" spans="1:29" x14ac:dyDescent="0.25">
      <c r="A327" t="s">
        <v>57</v>
      </c>
      <c r="B327" t="s">
        <v>814</v>
      </c>
      <c r="C327" t="s">
        <v>79</v>
      </c>
      <c r="D327" t="s">
        <v>898</v>
      </c>
      <c r="E327" t="s">
        <v>80</v>
      </c>
      <c r="F327" t="s">
        <v>63</v>
      </c>
      <c r="G327" t="s">
        <v>2667</v>
      </c>
      <c r="H327" t="s">
        <v>2668</v>
      </c>
      <c r="I327" t="s">
        <v>2669</v>
      </c>
      <c r="J327" t="s">
        <v>2670</v>
      </c>
      <c r="K327" t="s">
        <v>2671</v>
      </c>
      <c r="L327" t="s">
        <v>2672</v>
      </c>
      <c r="M327" t="s">
        <v>2433</v>
      </c>
      <c r="N327" t="s">
        <v>2607</v>
      </c>
      <c r="O327" t="s">
        <v>89</v>
      </c>
      <c r="P327" t="s">
        <v>2673</v>
      </c>
      <c r="Q327" t="s">
        <v>2674</v>
      </c>
      <c r="R327" t="s">
        <v>2496</v>
      </c>
      <c r="S327" t="s">
        <v>93</v>
      </c>
      <c r="T327" t="s">
        <v>2497</v>
      </c>
      <c r="U327" t="s">
        <v>2436</v>
      </c>
      <c r="V327" t="s">
        <v>2607</v>
      </c>
      <c r="W327" t="s">
        <v>89</v>
      </c>
      <c r="X327" t="s">
        <v>2675</v>
      </c>
      <c r="Y327" t="s">
        <v>2676</v>
      </c>
      <c r="Z327" t="s">
        <v>2501</v>
      </c>
      <c r="AA327" t="s">
        <v>93</v>
      </c>
      <c r="AB327" t="s">
        <v>94</v>
      </c>
      <c r="AC327" t="s">
        <v>2677</v>
      </c>
    </row>
    <row r="328" spans="1:29" x14ac:dyDescent="0.25">
      <c r="A328" t="s">
        <v>57</v>
      </c>
      <c r="B328" t="s">
        <v>814</v>
      </c>
      <c r="C328" t="s">
        <v>79</v>
      </c>
      <c r="D328" t="s">
        <v>898</v>
      </c>
      <c r="E328" t="s">
        <v>80</v>
      </c>
      <c r="F328" t="s">
        <v>64</v>
      </c>
      <c r="G328" t="s">
        <v>2678</v>
      </c>
      <c r="H328" t="s">
        <v>2679</v>
      </c>
      <c r="I328" t="s">
        <v>2680</v>
      </c>
      <c r="J328" t="s">
        <v>2681</v>
      </c>
      <c r="K328" t="s">
        <v>2682</v>
      </c>
      <c r="L328" t="s">
        <v>2683</v>
      </c>
      <c r="M328" t="s">
        <v>2433</v>
      </c>
      <c r="N328" t="s">
        <v>2607</v>
      </c>
      <c r="O328" t="s">
        <v>89</v>
      </c>
      <c r="P328" t="s">
        <v>2684</v>
      </c>
      <c r="Q328" t="s">
        <v>2685</v>
      </c>
      <c r="R328" t="s">
        <v>2585</v>
      </c>
      <c r="S328" t="s">
        <v>93</v>
      </c>
      <c r="T328" t="s">
        <v>820</v>
      </c>
      <c r="U328" t="s">
        <v>2433</v>
      </c>
      <c r="V328" t="s">
        <v>2443</v>
      </c>
      <c r="W328" t="s">
        <v>89</v>
      </c>
      <c r="X328" t="s">
        <v>2686</v>
      </c>
      <c r="Y328" t="s">
        <v>2687</v>
      </c>
      <c r="Z328" t="s">
        <v>2688</v>
      </c>
      <c r="AA328" t="s">
        <v>93</v>
      </c>
      <c r="AB328" t="s">
        <v>823</v>
      </c>
      <c r="AC328" t="s">
        <v>2689</v>
      </c>
    </row>
    <row r="329" spans="1:29" x14ac:dyDescent="0.25">
      <c r="A329" t="s">
        <v>57</v>
      </c>
      <c r="B329" t="s">
        <v>814</v>
      </c>
      <c r="C329" t="s">
        <v>79</v>
      </c>
      <c r="D329" t="s">
        <v>898</v>
      </c>
      <c r="E329" t="s">
        <v>80</v>
      </c>
      <c r="F329" t="s">
        <v>65</v>
      </c>
      <c r="G329" t="s">
        <v>2690</v>
      </c>
      <c r="H329" t="s">
        <v>2691</v>
      </c>
      <c r="I329" t="s">
        <v>2692</v>
      </c>
      <c r="J329" t="s">
        <v>2693</v>
      </c>
      <c r="K329" t="s">
        <v>2694</v>
      </c>
      <c r="L329" t="s">
        <v>2695</v>
      </c>
      <c r="M329" t="s">
        <v>2433</v>
      </c>
      <c r="N329" t="s">
        <v>2443</v>
      </c>
      <c r="O329" t="s">
        <v>89</v>
      </c>
      <c r="P329" t="s">
        <v>2696</v>
      </c>
      <c r="Q329" t="s">
        <v>2697</v>
      </c>
      <c r="R329" t="s">
        <v>2519</v>
      </c>
      <c r="S329" t="s">
        <v>93</v>
      </c>
      <c r="T329" t="s">
        <v>2187</v>
      </c>
      <c r="U329" t="s">
        <v>2433</v>
      </c>
      <c r="V329" t="s">
        <v>2607</v>
      </c>
      <c r="W329" t="s">
        <v>89</v>
      </c>
      <c r="X329" t="s">
        <v>2698</v>
      </c>
      <c r="Y329" t="s">
        <v>2699</v>
      </c>
      <c r="Z329" t="s">
        <v>2522</v>
      </c>
      <c r="AA329" t="s">
        <v>93</v>
      </c>
      <c r="AB329" t="s">
        <v>2523</v>
      </c>
      <c r="AC329" t="s">
        <v>2700</v>
      </c>
    </row>
    <row r="330" spans="1:29" x14ac:dyDescent="0.25">
      <c r="A330" t="s">
        <v>57</v>
      </c>
      <c r="B330" t="s">
        <v>814</v>
      </c>
      <c r="C330" t="s">
        <v>79</v>
      </c>
      <c r="D330" t="s">
        <v>898</v>
      </c>
      <c r="E330" t="s">
        <v>80</v>
      </c>
      <c r="F330" t="s">
        <v>66</v>
      </c>
      <c r="G330" t="s">
        <v>2701</v>
      </c>
      <c r="H330" t="s">
        <v>2702</v>
      </c>
      <c r="I330" t="s">
        <v>2703</v>
      </c>
      <c r="J330" t="s">
        <v>2704</v>
      </c>
      <c r="K330" t="s">
        <v>2705</v>
      </c>
      <c r="L330" t="s">
        <v>2706</v>
      </c>
      <c r="M330" t="s">
        <v>2433</v>
      </c>
      <c r="N330" t="s">
        <v>2443</v>
      </c>
      <c r="O330" t="s">
        <v>89</v>
      </c>
      <c r="P330" t="s">
        <v>2707</v>
      </c>
      <c r="Q330" t="s">
        <v>2708</v>
      </c>
      <c r="R330" t="s">
        <v>2531</v>
      </c>
      <c r="S330" t="s">
        <v>93</v>
      </c>
      <c r="T330" t="s">
        <v>2098</v>
      </c>
      <c r="U330" t="s">
        <v>2433</v>
      </c>
      <c r="V330" t="s">
        <v>2443</v>
      </c>
      <c r="W330" t="s">
        <v>89</v>
      </c>
      <c r="X330" t="s">
        <v>2709</v>
      </c>
      <c r="Y330" t="s">
        <v>2710</v>
      </c>
      <c r="Z330" t="s">
        <v>2533</v>
      </c>
      <c r="AA330" t="s">
        <v>93</v>
      </c>
      <c r="AB330" t="s">
        <v>2534</v>
      </c>
      <c r="AC330" t="s">
        <v>2711</v>
      </c>
    </row>
    <row r="331" spans="1:29" x14ac:dyDescent="0.25">
      <c r="A331" t="s">
        <v>57</v>
      </c>
      <c r="B331" t="s">
        <v>814</v>
      </c>
      <c r="C331" t="s">
        <v>79</v>
      </c>
      <c r="D331" t="s">
        <v>898</v>
      </c>
      <c r="E331" t="s">
        <v>80</v>
      </c>
      <c r="F331" t="s">
        <v>67</v>
      </c>
      <c r="G331" t="s">
        <v>2712</v>
      </c>
      <c r="H331" t="s">
        <v>2713</v>
      </c>
      <c r="I331" t="s">
        <v>2714</v>
      </c>
      <c r="J331" t="s">
        <v>2715</v>
      </c>
      <c r="K331" t="s">
        <v>2619</v>
      </c>
      <c r="L331" t="s">
        <v>2716</v>
      </c>
      <c r="M331" t="s">
        <v>2436</v>
      </c>
      <c r="N331" t="s">
        <v>2443</v>
      </c>
      <c r="O331" t="s">
        <v>89</v>
      </c>
      <c r="P331" t="s">
        <v>2717</v>
      </c>
      <c r="Q331" t="s">
        <v>2718</v>
      </c>
      <c r="R331" t="s">
        <v>2719</v>
      </c>
      <c r="S331" t="s">
        <v>93</v>
      </c>
      <c r="T331" t="s">
        <v>113</v>
      </c>
      <c r="U331" t="s">
        <v>2436</v>
      </c>
      <c r="V331" t="s">
        <v>2443</v>
      </c>
      <c r="W331" t="s">
        <v>89</v>
      </c>
      <c r="X331" t="s">
        <v>2720</v>
      </c>
      <c r="Y331" t="s">
        <v>2721</v>
      </c>
      <c r="Z331" t="s">
        <v>2592</v>
      </c>
      <c r="AA331" t="s">
        <v>93</v>
      </c>
      <c r="AB331" t="s">
        <v>2593</v>
      </c>
      <c r="AC331" t="s">
        <v>2722</v>
      </c>
    </row>
    <row r="332" spans="1:29" x14ac:dyDescent="0.25">
      <c r="A332" t="s">
        <v>57</v>
      </c>
      <c r="B332" t="s">
        <v>814</v>
      </c>
      <c r="C332" t="s">
        <v>79</v>
      </c>
      <c r="D332" t="s">
        <v>898</v>
      </c>
      <c r="E332" t="s">
        <v>80</v>
      </c>
      <c r="F332" t="s">
        <v>68</v>
      </c>
      <c r="G332" t="s">
        <v>2723</v>
      </c>
      <c r="H332" t="s">
        <v>2724</v>
      </c>
      <c r="I332" t="s">
        <v>2725</v>
      </c>
      <c r="J332" t="s">
        <v>2726</v>
      </c>
      <c r="K332" t="s">
        <v>2619</v>
      </c>
      <c r="L332" t="s">
        <v>2672</v>
      </c>
      <c r="M332" t="s">
        <v>2436</v>
      </c>
      <c r="N332" t="s">
        <v>2443</v>
      </c>
      <c r="O332" t="s">
        <v>89</v>
      </c>
      <c r="P332" t="s">
        <v>2727</v>
      </c>
      <c r="Q332" t="s">
        <v>2728</v>
      </c>
      <c r="R332" t="s">
        <v>2501</v>
      </c>
      <c r="S332" t="s">
        <v>93</v>
      </c>
      <c r="T332" t="s">
        <v>94</v>
      </c>
      <c r="U332" t="s">
        <v>2436</v>
      </c>
      <c r="V332" t="s">
        <v>2443</v>
      </c>
      <c r="W332" t="s">
        <v>89</v>
      </c>
      <c r="X332" t="s">
        <v>2729</v>
      </c>
      <c r="Y332" t="s">
        <v>2730</v>
      </c>
      <c r="Z332" t="s">
        <v>2548</v>
      </c>
      <c r="AA332" t="s">
        <v>93</v>
      </c>
      <c r="AB332" t="s">
        <v>101</v>
      </c>
      <c r="AC332" t="s">
        <v>2731</v>
      </c>
    </row>
    <row r="333" spans="1:29" x14ac:dyDescent="0.25">
      <c r="A333" t="s">
        <v>57</v>
      </c>
      <c r="B333" t="s">
        <v>814</v>
      </c>
      <c r="C333" t="s">
        <v>79</v>
      </c>
      <c r="D333" t="s">
        <v>898</v>
      </c>
      <c r="E333" t="s">
        <v>80</v>
      </c>
      <c r="F333" t="s">
        <v>69</v>
      </c>
      <c r="G333" t="s">
        <v>2732</v>
      </c>
      <c r="H333" t="s">
        <v>2733</v>
      </c>
      <c r="I333" t="s">
        <v>2734</v>
      </c>
      <c r="J333" t="s">
        <v>2735</v>
      </c>
      <c r="K333" t="s">
        <v>2682</v>
      </c>
      <c r="L333" t="s">
        <v>2630</v>
      </c>
      <c r="M333" t="s">
        <v>2433</v>
      </c>
      <c r="N333" t="s">
        <v>2443</v>
      </c>
      <c r="O333" t="s">
        <v>89</v>
      </c>
      <c r="P333" t="s">
        <v>2736</v>
      </c>
      <c r="Q333" t="s">
        <v>2737</v>
      </c>
      <c r="R333" t="s">
        <v>2557</v>
      </c>
      <c r="S333" t="s">
        <v>93</v>
      </c>
      <c r="T333" t="s">
        <v>374</v>
      </c>
      <c r="U333" t="s">
        <v>2436</v>
      </c>
      <c r="V333" t="s">
        <v>2443</v>
      </c>
      <c r="W333" t="s">
        <v>89</v>
      </c>
      <c r="X333" t="s">
        <v>2738</v>
      </c>
      <c r="Y333" t="s">
        <v>2739</v>
      </c>
      <c r="Z333" t="s">
        <v>2559</v>
      </c>
      <c r="AA333" t="s">
        <v>93</v>
      </c>
      <c r="AB333" t="s">
        <v>109</v>
      </c>
      <c r="AC333" t="s">
        <v>2740</v>
      </c>
    </row>
    <row r="334" spans="1:29" x14ac:dyDescent="0.25">
      <c r="A334" t="s">
        <v>57</v>
      </c>
      <c r="B334" t="s">
        <v>814</v>
      </c>
      <c r="C334" t="s">
        <v>79</v>
      </c>
      <c r="D334" t="s">
        <v>898</v>
      </c>
      <c r="E334" t="s">
        <v>80</v>
      </c>
      <c r="F334" t="s">
        <v>70</v>
      </c>
      <c r="G334" t="s">
        <v>2741</v>
      </c>
      <c r="H334" t="s">
        <v>2742</v>
      </c>
      <c r="I334" t="s">
        <v>2743</v>
      </c>
      <c r="J334" t="s">
        <v>2744</v>
      </c>
      <c r="K334" t="s">
        <v>2671</v>
      </c>
      <c r="L334" t="s">
        <v>2641</v>
      </c>
      <c r="M334" t="s">
        <v>2433</v>
      </c>
      <c r="N334" t="s">
        <v>2443</v>
      </c>
      <c r="O334" t="s">
        <v>89</v>
      </c>
      <c r="P334" t="s">
        <v>2745</v>
      </c>
      <c r="Q334" t="s">
        <v>2746</v>
      </c>
      <c r="R334" t="s">
        <v>2747</v>
      </c>
      <c r="S334" t="s">
        <v>93</v>
      </c>
      <c r="T334" t="s">
        <v>558</v>
      </c>
      <c r="U334" t="s">
        <v>2436</v>
      </c>
      <c r="V334" t="s">
        <v>2443</v>
      </c>
      <c r="W334" t="s">
        <v>89</v>
      </c>
      <c r="X334" t="s">
        <v>2748</v>
      </c>
      <c r="Y334" t="s">
        <v>2749</v>
      </c>
      <c r="Z334" t="s">
        <v>2750</v>
      </c>
      <c r="AA334" t="s">
        <v>93</v>
      </c>
      <c r="AB334" t="s">
        <v>2751</v>
      </c>
      <c r="AC334" t="s">
        <v>2752</v>
      </c>
    </row>
    <row r="335" spans="1:29" x14ac:dyDescent="0.25">
      <c r="A335" t="s">
        <v>57</v>
      </c>
      <c r="B335" t="s">
        <v>814</v>
      </c>
      <c r="C335" t="s">
        <v>79</v>
      </c>
      <c r="D335" t="s">
        <v>898</v>
      </c>
      <c r="E335" t="s">
        <v>80</v>
      </c>
      <c r="F335" t="s">
        <v>71</v>
      </c>
      <c r="G335" t="s">
        <v>2753</v>
      </c>
      <c r="H335" t="s">
        <v>2754</v>
      </c>
      <c r="I335" t="s">
        <v>2755</v>
      </c>
      <c r="J335" t="s">
        <v>2516</v>
      </c>
      <c r="K335" t="s">
        <v>89</v>
      </c>
      <c r="L335" t="s">
        <v>2432</v>
      </c>
      <c r="M335" t="s">
        <v>2433</v>
      </c>
      <c r="N335" t="s">
        <v>89</v>
      </c>
      <c r="O335" t="s">
        <v>89</v>
      </c>
      <c r="P335" t="s">
        <v>2756</v>
      </c>
      <c r="Q335" t="s">
        <v>2757</v>
      </c>
      <c r="R335" t="s">
        <v>2714</v>
      </c>
      <c r="S335" t="s">
        <v>93</v>
      </c>
      <c r="T335" t="s">
        <v>2379</v>
      </c>
      <c r="U335" t="s">
        <v>2433</v>
      </c>
      <c r="V335" t="s">
        <v>89</v>
      </c>
      <c r="W335" t="s">
        <v>89</v>
      </c>
      <c r="X335" t="s">
        <v>2758</v>
      </c>
      <c r="Y335" t="s">
        <v>2759</v>
      </c>
      <c r="Z335" t="s">
        <v>2435</v>
      </c>
      <c r="AA335" t="s">
        <v>93</v>
      </c>
      <c r="AB335" t="s">
        <v>1950</v>
      </c>
      <c r="AC335" t="s">
        <v>2760</v>
      </c>
    </row>
    <row r="336" spans="1:29" x14ac:dyDescent="0.25">
      <c r="A336" t="s">
        <v>57</v>
      </c>
      <c r="B336" t="s">
        <v>814</v>
      </c>
      <c r="C336" t="s">
        <v>79</v>
      </c>
      <c r="D336" t="s">
        <v>898</v>
      </c>
      <c r="E336" t="s">
        <v>80</v>
      </c>
      <c r="F336" t="s">
        <v>72</v>
      </c>
      <c r="G336" t="s">
        <v>2761</v>
      </c>
      <c r="H336" t="s">
        <v>2762</v>
      </c>
      <c r="I336" t="s">
        <v>2763</v>
      </c>
      <c r="J336" t="s">
        <v>2764</v>
      </c>
      <c r="K336" t="s">
        <v>2682</v>
      </c>
      <c r="L336" t="s">
        <v>2765</v>
      </c>
      <c r="M336" t="s">
        <v>2433</v>
      </c>
      <c r="N336" t="s">
        <v>2443</v>
      </c>
      <c r="O336" t="s">
        <v>89</v>
      </c>
      <c r="P336" t="s">
        <v>2766</v>
      </c>
      <c r="Q336" t="s">
        <v>2767</v>
      </c>
      <c r="R336" t="s">
        <v>2533</v>
      </c>
      <c r="S336" t="s">
        <v>93</v>
      </c>
      <c r="T336" t="s">
        <v>2534</v>
      </c>
      <c r="U336" t="s">
        <v>2436</v>
      </c>
      <c r="V336" t="s">
        <v>2443</v>
      </c>
      <c r="W336" t="s">
        <v>89</v>
      </c>
      <c r="X336" t="s">
        <v>2768</v>
      </c>
      <c r="Y336" t="s">
        <v>2769</v>
      </c>
      <c r="Z336" t="s">
        <v>2585</v>
      </c>
      <c r="AA336" t="s">
        <v>93</v>
      </c>
      <c r="AB336" t="s">
        <v>820</v>
      </c>
      <c r="AC336" t="s">
        <v>2770</v>
      </c>
    </row>
    <row r="337" spans="1:29" x14ac:dyDescent="0.25">
      <c r="A337" t="s">
        <v>57</v>
      </c>
      <c r="B337" t="s">
        <v>814</v>
      </c>
      <c r="C337" t="s">
        <v>79</v>
      </c>
      <c r="D337" t="s">
        <v>898</v>
      </c>
      <c r="E337" t="s">
        <v>80</v>
      </c>
      <c r="F337" t="s">
        <v>73</v>
      </c>
      <c r="G337" t="s">
        <v>2771</v>
      </c>
      <c r="H337" t="s">
        <v>2772</v>
      </c>
      <c r="I337" t="s">
        <v>2773</v>
      </c>
      <c r="J337" t="s">
        <v>2660</v>
      </c>
      <c r="K337" t="s">
        <v>2682</v>
      </c>
      <c r="L337" t="s">
        <v>2683</v>
      </c>
      <c r="M337" t="s">
        <v>2433</v>
      </c>
      <c r="N337" t="s">
        <v>89</v>
      </c>
      <c r="O337" t="s">
        <v>89</v>
      </c>
      <c r="P337" t="s">
        <v>2774</v>
      </c>
      <c r="Q337" t="s">
        <v>2775</v>
      </c>
      <c r="R337" t="s">
        <v>2596</v>
      </c>
      <c r="S337" t="s">
        <v>93</v>
      </c>
      <c r="T337" t="s">
        <v>2597</v>
      </c>
      <c r="U337" t="s">
        <v>2433</v>
      </c>
      <c r="V337" t="s">
        <v>89</v>
      </c>
      <c r="W337" t="s">
        <v>89</v>
      </c>
      <c r="X337" t="s">
        <v>2776</v>
      </c>
      <c r="Y337" t="s">
        <v>2777</v>
      </c>
      <c r="Z337" t="s">
        <v>2778</v>
      </c>
      <c r="AA337" t="s">
        <v>93</v>
      </c>
      <c r="AB337" t="s">
        <v>2779</v>
      </c>
      <c r="AC337" t="s">
        <v>2780</v>
      </c>
    </row>
    <row r="338" spans="1:29" x14ac:dyDescent="0.25">
      <c r="A338" t="s">
        <v>57</v>
      </c>
      <c r="B338" t="s">
        <v>814</v>
      </c>
      <c r="C338" t="s">
        <v>79</v>
      </c>
      <c r="D338" t="s">
        <v>898</v>
      </c>
      <c r="E338" t="s">
        <v>80</v>
      </c>
      <c r="F338" t="s">
        <v>74</v>
      </c>
      <c r="G338" t="s">
        <v>2781</v>
      </c>
      <c r="H338" t="s">
        <v>2782</v>
      </c>
      <c r="I338" t="s">
        <v>2783</v>
      </c>
      <c r="J338" t="s">
        <v>2784</v>
      </c>
      <c r="K338" t="s">
        <v>2640</v>
      </c>
      <c r="L338" t="s">
        <v>2785</v>
      </c>
      <c r="M338" t="s">
        <v>2433</v>
      </c>
      <c r="N338" t="s">
        <v>89</v>
      </c>
      <c r="O338" t="s">
        <v>89</v>
      </c>
      <c r="P338" t="s">
        <v>2786</v>
      </c>
      <c r="Q338" t="s">
        <v>2787</v>
      </c>
      <c r="R338" t="s">
        <v>2788</v>
      </c>
      <c r="S338" t="s">
        <v>93</v>
      </c>
      <c r="T338" t="s">
        <v>2789</v>
      </c>
      <c r="U338" t="s">
        <v>2433</v>
      </c>
      <c r="V338" t="s">
        <v>89</v>
      </c>
      <c r="W338" t="s">
        <v>89</v>
      </c>
      <c r="X338" t="s">
        <v>2790</v>
      </c>
      <c r="Y338" t="s">
        <v>2791</v>
      </c>
      <c r="Z338" t="s">
        <v>2792</v>
      </c>
      <c r="AA338" t="s">
        <v>93</v>
      </c>
      <c r="AB338" t="s">
        <v>624</v>
      </c>
      <c r="AC338" t="s">
        <v>2793</v>
      </c>
    </row>
    <row r="339" spans="1:29" x14ac:dyDescent="0.25">
      <c r="A339" t="s">
        <v>57</v>
      </c>
      <c r="B339" t="s">
        <v>814</v>
      </c>
      <c r="C339" t="s">
        <v>79</v>
      </c>
      <c r="D339" t="s">
        <v>898</v>
      </c>
      <c r="E339" t="s">
        <v>80</v>
      </c>
      <c r="F339" t="s">
        <v>75</v>
      </c>
      <c r="G339" t="s">
        <v>2794</v>
      </c>
      <c r="H339" t="s">
        <v>2795</v>
      </c>
      <c r="I339" t="s">
        <v>2796</v>
      </c>
      <c r="J339" t="s">
        <v>2797</v>
      </c>
      <c r="K339" t="s">
        <v>89</v>
      </c>
      <c r="L339" t="s">
        <v>2432</v>
      </c>
      <c r="M339" t="s">
        <v>2433</v>
      </c>
      <c r="N339" t="s">
        <v>89</v>
      </c>
      <c r="O339" t="s">
        <v>89</v>
      </c>
      <c r="P339" t="s">
        <v>2798</v>
      </c>
      <c r="Q339" t="s">
        <v>2799</v>
      </c>
      <c r="R339" t="s">
        <v>2479</v>
      </c>
      <c r="S339" t="s">
        <v>93</v>
      </c>
      <c r="T339" t="s">
        <v>2198</v>
      </c>
      <c r="U339" t="s">
        <v>2433</v>
      </c>
      <c r="V339" t="s">
        <v>89</v>
      </c>
      <c r="W339" t="s">
        <v>89</v>
      </c>
      <c r="X339" t="s">
        <v>278</v>
      </c>
      <c r="Y339" t="s">
        <v>2800</v>
      </c>
      <c r="Z339" t="s">
        <v>2445</v>
      </c>
      <c r="AA339" t="s">
        <v>93</v>
      </c>
      <c r="AB339" t="s">
        <v>2446</v>
      </c>
      <c r="AC339" t="s">
        <v>2801</v>
      </c>
    </row>
    <row r="340" spans="1:29" x14ac:dyDescent="0.25">
      <c r="A340" t="s">
        <v>57</v>
      </c>
      <c r="B340" t="s">
        <v>814</v>
      </c>
      <c r="C340" t="s">
        <v>79</v>
      </c>
      <c r="D340" t="s">
        <v>898</v>
      </c>
      <c r="E340" t="s">
        <v>80</v>
      </c>
      <c r="F340" t="s">
        <v>76</v>
      </c>
      <c r="G340" t="s">
        <v>2802</v>
      </c>
      <c r="H340" t="s">
        <v>2803</v>
      </c>
      <c r="I340" t="s">
        <v>2804</v>
      </c>
      <c r="J340" t="s">
        <v>2546</v>
      </c>
      <c r="K340" t="s">
        <v>89</v>
      </c>
      <c r="L340" t="s">
        <v>2472</v>
      </c>
      <c r="M340" t="s">
        <v>2433</v>
      </c>
      <c r="N340" t="s">
        <v>89</v>
      </c>
      <c r="O340" t="s">
        <v>89</v>
      </c>
      <c r="P340" t="s">
        <v>2805</v>
      </c>
      <c r="Q340" t="s">
        <v>2806</v>
      </c>
      <c r="R340" t="s">
        <v>2807</v>
      </c>
      <c r="S340" t="s">
        <v>93</v>
      </c>
      <c r="T340" t="s">
        <v>1671</v>
      </c>
      <c r="U340" t="s">
        <v>2433</v>
      </c>
      <c r="V340" t="s">
        <v>89</v>
      </c>
      <c r="W340" t="s">
        <v>89</v>
      </c>
      <c r="X340" t="s">
        <v>278</v>
      </c>
      <c r="Y340" t="s">
        <v>2808</v>
      </c>
      <c r="Z340" t="s">
        <v>2809</v>
      </c>
      <c r="AA340" t="s">
        <v>93</v>
      </c>
      <c r="AB340" t="s">
        <v>1453</v>
      </c>
      <c r="AC340" t="s">
        <v>2810</v>
      </c>
    </row>
    <row r="341" spans="1:29" x14ac:dyDescent="0.25">
      <c r="A341" t="s">
        <v>57</v>
      </c>
      <c r="B341" t="s">
        <v>897</v>
      </c>
      <c r="C341" t="s">
        <v>79</v>
      </c>
      <c r="D341" t="s">
        <v>666</v>
      </c>
      <c r="E341" t="s">
        <v>80</v>
      </c>
      <c r="F341" t="s">
        <v>58</v>
      </c>
      <c r="G341" t="s">
        <v>2811</v>
      </c>
      <c r="H341" t="s">
        <v>2812</v>
      </c>
      <c r="I341" t="s">
        <v>2813</v>
      </c>
      <c r="J341" t="s">
        <v>2814</v>
      </c>
      <c r="K341" t="s">
        <v>2640</v>
      </c>
      <c r="L341" t="s">
        <v>2815</v>
      </c>
      <c r="M341" t="s">
        <v>2433</v>
      </c>
      <c r="N341" t="s">
        <v>89</v>
      </c>
      <c r="O341" t="s">
        <v>89</v>
      </c>
      <c r="P341" t="s">
        <v>2816</v>
      </c>
      <c r="Q341" t="s">
        <v>2817</v>
      </c>
      <c r="R341" t="s">
        <v>2486</v>
      </c>
      <c r="S341" t="s">
        <v>93</v>
      </c>
      <c r="T341" t="s">
        <v>281</v>
      </c>
      <c r="U341" t="s">
        <v>2433</v>
      </c>
      <c r="V341" t="s">
        <v>89</v>
      </c>
      <c r="W341" t="s">
        <v>89</v>
      </c>
      <c r="X341" t="s">
        <v>2818</v>
      </c>
      <c r="Y341" t="s">
        <v>2819</v>
      </c>
      <c r="Z341" t="s">
        <v>2489</v>
      </c>
      <c r="AA341" t="s">
        <v>93</v>
      </c>
      <c r="AB341" t="s">
        <v>285</v>
      </c>
      <c r="AC341" t="s">
        <v>2820</v>
      </c>
    </row>
    <row r="342" spans="1:29" x14ac:dyDescent="0.25">
      <c r="A342" t="s">
        <v>57</v>
      </c>
      <c r="B342" t="s">
        <v>897</v>
      </c>
      <c r="C342" t="s">
        <v>79</v>
      </c>
      <c r="D342" t="s">
        <v>666</v>
      </c>
      <c r="E342" t="s">
        <v>80</v>
      </c>
      <c r="F342" t="s">
        <v>59</v>
      </c>
      <c r="G342" t="s">
        <v>2483</v>
      </c>
      <c r="H342" t="s">
        <v>2821</v>
      </c>
      <c r="I342" t="s">
        <v>2822</v>
      </c>
      <c r="J342" t="s">
        <v>2726</v>
      </c>
      <c r="K342" t="s">
        <v>2619</v>
      </c>
      <c r="L342" t="s">
        <v>2630</v>
      </c>
      <c r="M342" t="s">
        <v>2436</v>
      </c>
      <c r="N342" t="s">
        <v>89</v>
      </c>
      <c r="O342" t="s">
        <v>89</v>
      </c>
      <c r="P342" t="s">
        <v>2823</v>
      </c>
      <c r="Q342" t="s">
        <v>2824</v>
      </c>
      <c r="R342" t="s">
        <v>2501</v>
      </c>
      <c r="S342" t="s">
        <v>93</v>
      </c>
      <c r="T342" t="s">
        <v>94</v>
      </c>
      <c r="U342" t="s">
        <v>2433</v>
      </c>
      <c r="V342" t="s">
        <v>89</v>
      </c>
      <c r="W342" t="s">
        <v>89</v>
      </c>
      <c r="X342" t="s">
        <v>2825</v>
      </c>
      <c r="Y342" t="s">
        <v>2826</v>
      </c>
      <c r="Z342" t="s">
        <v>2548</v>
      </c>
      <c r="AA342" t="s">
        <v>93</v>
      </c>
      <c r="AB342" t="s">
        <v>101</v>
      </c>
      <c r="AC342" t="s">
        <v>2827</v>
      </c>
    </row>
    <row r="343" spans="1:29" x14ac:dyDescent="0.25">
      <c r="A343" t="s">
        <v>57</v>
      </c>
      <c r="B343" t="s">
        <v>897</v>
      </c>
      <c r="C343" t="s">
        <v>79</v>
      </c>
      <c r="D343" t="s">
        <v>666</v>
      </c>
      <c r="E343" t="s">
        <v>80</v>
      </c>
      <c r="F343" t="s">
        <v>60</v>
      </c>
      <c r="G343" t="s">
        <v>2828</v>
      </c>
      <c r="H343" t="s">
        <v>2829</v>
      </c>
      <c r="I343" t="s">
        <v>2830</v>
      </c>
      <c r="J343" t="s">
        <v>2681</v>
      </c>
      <c r="K343" t="s">
        <v>2619</v>
      </c>
      <c r="L343" t="s">
        <v>2695</v>
      </c>
      <c r="M343" t="s">
        <v>2436</v>
      </c>
      <c r="N343" t="s">
        <v>2443</v>
      </c>
      <c r="O343" t="s">
        <v>89</v>
      </c>
      <c r="P343" t="s">
        <v>2831</v>
      </c>
      <c r="Q343" t="s">
        <v>2832</v>
      </c>
      <c r="R343" t="s">
        <v>2688</v>
      </c>
      <c r="S343" t="s">
        <v>93</v>
      </c>
      <c r="T343" t="s">
        <v>823</v>
      </c>
      <c r="U343" t="s">
        <v>2436</v>
      </c>
      <c r="V343" t="s">
        <v>2607</v>
      </c>
      <c r="W343" t="s">
        <v>89</v>
      </c>
      <c r="X343" t="s">
        <v>2833</v>
      </c>
      <c r="Y343" t="s">
        <v>2834</v>
      </c>
      <c r="Z343" t="s">
        <v>2557</v>
      </c>
      <c r="AA343" t="s">
        <v>93</v>
      </c>
      <c r="AB343" t="s">
        <v>374</v>
      </c>
      <c r="AC343" t="s">
        <v>2835</v>
      </c>
    </row>
    <row r="344" spans="1:29" x14ac:dyDescent="0.25">
      <c r="A344" t="s">
        <v>57</v>
      </c>
      <c r="B344" t="s">
        <v>897</v>
      </c>
      <c r="C344" t="s">
        <v>79</v>
      </c>
      <c r="D344" t="s">
        <v>666</v>
      </c>
      <c r="E344" t="s">
        <v>80</v>
      </c>
      <c r="F344" t="s">
        <v>61</v>
      </c>
      <c r="G344" t="s">
        <v>2836</v>
      </c>
      <c r="H344" t="s">
        <v>2837</v>
      </c>
      <c r="I344" t="s">
        <v>2838</v>
      </c>
      <c r="J344" t="s">
        <v>2839</v>
      </c>
      <c r="K344" t="s">
        <v>2431</v>
      </c>
      <c r="L344" t="s">
        <v>2785</v>
      </c>
      <c r="M344" t="s">
        <v>2433</v>
      </c>
      <c r="N344" t="s">
        <v>89</v>
      </c>
      <c r="O344" t="s">
        <v>89</v>
      </c>
      <c r="P344" t="s">
        <v>2840</v>
      </c>
      <c r="Q344" t="s">
        <v>2841</v>
      </c>
      <c r="R344" t="s">
        <v>2567</v>
      </c>
      <c r="S344" t="s">
        <v>93</v>
      </c>
      <c r="T344" t="s">
        <v>2108</v>
      </c>
      <c r="U344" t="s">
        <v>2433</v>
      </c>
      <c r="V344" t="s">
        <v>89</v>
      </c>
      <c r="W344" t="s">
        <v>89</v>
      </c>
      <c r="X344" t="s">
        <v>2842</v>
      </c>
      <c r="Y344" t="s">
        <v>2843</v>
      </c>
      <c r="Z344" t="s">
        <v>2844</v>
      </c>
      <c r="AA344" t="s">
        <v>93</v>
      </c>
      <c r="AB344" t="s">
        <v>2299</v>
      </c>
      <c r="AC344" t="s">
        <v>2845</v>
      </c>
    </row>
    <row r="345" spans="1:29" x14ac:dyDescent="0.25">
      <c r="A345" t="s">
        <v>57</v>
      </c>
      <c r="B345" t="s">
        <v>897</v>
      </c>
      <c r="C345" t="s">
        <v>79</v>
      </c>
      <c r="D345" t="s">
        <v>666</v>
      </c>
      <c r="E345" t="s">
        <v>80</v>
      </c>
      <c r="F345" t="s">
        <v>62</v>
      </c>
      <c r="G345" t="s">
        <v>2846</v>
      </c>
      <c r="H345" t="s">
        <v>2847</v>
      </c>
      <c r="I345" t="s">
        <v>2848</v>
      </c>
      <c r="J345" t="s">
        <v>2639</v>
      </c>
      <c r="K345" t="s">
        <v>2682</v>
      </c>
      <c r="L345" t="s">
        <v>2849</v>
      </c>
      <c r="M345" t="s">
        <v>2436</v>
      </c>
      <c r="N345" t="s">
        <v>2443</v>
      </c>
      <c r="O345" t="s">
        <v>89</v>
      </c>
      <c r="P345" t="s">
        <v>2850</v>
      </c>
      <c r="Q345" t="s">
        <v>2851</v>
      </c>
      <c r="R345" t="s">
        <v>2522</v>
      </c>
      <c r="S345" t="s">
        <v>93</v>
      </c>
      <c r="T345" t="s">
        <v>2523</v>
      </c>
      <c r="U345" t="s">
        <v>2436</v>
      </c>
      <c r="V345" t="s">
        <v>2607</v>
      </c>
      <c r="W345" t="s">
        <v>89</v>
      </c>
      <c r="X345" t="s">
        <v>2852</v>
      </c>
      <c r="Y345" t="s">
        <v>2853</v>
      </c>
      <c r="Z345" t="s">
        <v>2496</v>
      </c>
      <c r="AA345" t="s">
        <v>93</v>
      </c>
      <c r="AB345" t="s">
        <v>2497</v>
      </c>
      <c r="AC345" t="s">
        <v>2854</v>
      </c>
    </row>
    <row r="346" spans="1:29" x14ac:dyDescent="0.25">
      <c r="A346" t="s">
        <v>57</v>
      </c>
      <c r="B346" t="s">
        <v>897</v>
      </c>
      <c r="C346" t="s">
        <v>79</v>
      </c>
      <c r="D346" t="s">
        <v>666</v>
      </c>
      <c r="E346" t="s">
        <v>80</v>
      </c>
      <c r="F346" t="s">
        <v>63</v>
      </c>
      <c r="G346" t="s">
        <v>2855</v>
      </c>
      <c r="H346" t="s">
        <v>2856</v>
      </c>
      <c r="I346" t="s">
        <v>2857</v>
      </c>
      <c r="J346" t="s">
        <v>2670</v>
      </c>
      <c r="K346" t="s">
        <v>2641</v>
      </c>
      <c r="L346" t="s">
        <v>2630</v>
      </c>
      <c r="M346" t="s">
        <v>2433</v>
      </c>
      <c r="N346" t="s">
        <v>2607</v>
      </c>
      <c r="O346" t="s">
        <v>89</v>
      </c>
      <c r="P346" t="s">
        <v>2858</v>
      </c>
      <c r="Q346" t="s">
        <v>2859</v>
      </c>
      <c r="R346" t="s">
        <v>2585</v>
      </c>
      <c r="S346" t="s">
        <v>93</v>
      </c>
      <c r="T346" t="s">
        <v>820</v>
      </c>
      <c r="U346" t="s">
        <v>2436</v>
      </c>
      <c r="V346" t="s">
        <v>2443</v>
      </c>
      <c r="W346" t="s">
        <v>89</v>
      </c>
      <c r="X346" t="s">
        <v>2860</v>
      </c>
      <c r="Y346" t="s">
        <v>2861</v>
      </c>
      <c r="Z346" t="s">
        <v>2688</v>
      </c>
      <c r="AA346" t="s">
        <v>93</v>
      </c>
      <c r="AB346" t="s">
        <v>823</v>
      </c>
      <c r="AC346" t="s">
        <v>2862</v>
      </c>
    </row>
    <row r="347" spans="1:29" x14ac:dyDescent="0.25">
      <c r="A347" t="s">
        <v>57</v>
      </c>
      <c r="B347" t="s">
        <v>897</v>
      </c>
      <c r="C347" t="s">
        <v>79</v>
      </c>
      <c r="D347" t="s">
        <v>666</v>
      </c>
      <c r="E347" t="s">
        <v>80</v>
      </c>
      <c r="F347" t="s">
        <v>64</v>
      </c>
      <c r="G347" t="s">
        <v>2863</v>
      </c>
      <c r="H347" t="s">
        <v>2864</v>
      </c>
      <c r="I347" t="s">
        <v>2865</v>
      </c>
      <c r="J347" t="s">
        <v>2681</v>
      </c>
      <c r="K347" t="s">
        <v>2682</v>
      </c>
      <c r="L347" t="s">
        <v>2641</v>
      </c>
      <c r="M347" t="s">
        <v>2436</v>
      </c>
      <c r="N347" t="s">
        <v>2443</v>
      </c>
      <c r="O347" t="s">
        <v>89</v>
      </c>
      <c r="P347" t="s">
        <v>2866</v>
      </c>
      <c r="Q347" t="s">
        <v>2867</v>
      </c>
      <c r="R347" t="s">
        <v>2596</v>
      </c>
      <c r="S347" t="s">
        <v>93</v>
      </c>
      <c r="T347" t="s">
        <v>2597</v>
      </c>
      <c r="U347" t="s">
        <v>2436</v>
      </c>
      <c r="V347" t="s">
        <v>2607</v>
      </c>
      <c r="W347" t="s">
        <v>89</v>
      </c>
      <c r="X347" t="s">
        <v>2868</v>
      </c>
      <c r="Y347" t="s">
        <v>2869</v>
      </c>
      <c r="Z347" t="s">
        <v>2778</v>
      </c>
      <c r="AA347" t="s">
        <v>93</v>
      </c>
      <c r="AB347" t="s">
        <v>2779</v>
      </c>
      <c r="AC347" t="s">
        <v>2870</v>
      </c>
    </row>
    <row r="348" spans="1:29" x14ac:dyDescent="0.25">
      <c r="A348" t="s">
        <v>57</v>
      </c>
      <c r="B348" t="s">
        <v>897</v>
      </c>
      <c r="C348" t="s">
        <v>79</v>
      </c>
      <c r="D348" t="s">
        <v>666</v>
      </c>
      <c r="E348" t="s">
        <v>80</v>
      </c>
      <c r="F348" t="s">
        <v>65</v>
      </c>
      <c r="G348" t="s">
        <v>2871</v>
      </c>
      <c r="H348" t="s">
        <v>2872</v>
      </c>
      <c r="I348" t="s">
        <v>2873</v>
      </c>
      <c r="J348" t="s">
        <v>2670</v>
      </c>
      <c r="K348" t="s">
        <v>2619</v>
      </c>
      <c r="L348" t="s">
        <v>2874</v>
      </c>
      <c r="M348" t="s">
        <v>2498</v>
      </c>
      <c r="N348" t="s">
        <v>2607</v>
      </c>
      <c r="O348" t="s">
        <v>89</v>
      </c>
      <c r="P348" t="s">
        <v>2875</v>
      </c>
      <c r="Q348" t="s">
        <v>2876</v>
      </c>
      <c r="R348" t="s">
        <v>2551</v>
      </c>
      <c r="S348" t="s">
        <v>93</v>
      </c>
      <c r="T348" t="s">
        <v>1860</v>
      </c>
      <c r="U348" t="s">
        <v>2436</v>
      </c>
      <c r="V348" t="s">
        <v>2607</v>
      </c>
      <c r="W348" t="s">
        <v>89</v>
      </c>
      <c r="X348" t="s">
        <v>2877</v>
      </c>
      <c r="Y348" t="s">
        <v>2878</v>
      </c>
      <c r="Z348" t="s">
        <v>2531</v>
      </c>
      <c r="AA348" t="s">
        <v>93</v>
      </c>
      <c r="AB348" t="s">
        <v>2098</v>
      </c>
      <c r="AC348" t="s">
        <v>2879</v>
      </c>
    </row>
    <row r="349" spans="1:29" x14ac:dyDescent="0.25">
      <c r="A349" t="s">
        <v>57</v>
      </c>
      <c r="B349" t="s">
        <v>897</v>
      </c>
      <c r="C349" t="s">
        <v>79</v>
      </c>
      <c r="D349" t="s">
        <v>666</v>
      </c>
      <c r="E349" t="s">
        <v>80</v>
      </c>
      <c r="F349" t="s">
        <v>66</v>
      </c>
      <c r="G349" t="s">
        <v>2880</v>
      </c>
      <c r="H349" t="s">
        <v>2881</v>
      </c>
      <c r="I349" t="s">
        <v>2882</v>
      </c>
      <c r="J349" t="s">
        <v>2670</v>
      </c>
      <c r="K349" t="s">
        <v>2682</v>
      </c>
      <c r="L349" t="s">
        <v>2815</v>
      </c>
      <c r="M349" t="s">
        <v>2498</v>
      </c>
      <c r="N349" t="s">
        <v>2607</v>
      </c>
      <c r="O349" t="s">
        <v>89</v>
      </c>
      <c r="P349" t="s">
        <v>2883</v>
      </c>
      <c r="Q349" t="s">
        <v>2884</v>
      </c>
      <c r="R349" t="s">
        <v>2719</v>
      </c>
      <c r="S349" t="s">
        <v>93</v>
      </c>
      <c r="T349" t="s">
        <v>113</v>
      </c>
      <c r="U349" t="s">
        <v>2885</v>
      </c>
      <c r="V349" t="s">
        <v>2886</v>
      </c>
      <c r="W349" t="s">
        <v>2887</v>
      </c>
      <c r="X349" t="s">
        <v>160</v>
      </c>
      <c r="Y349" t="s">
        <v>2888</v>
      </c>
      <c r="Z349" t="s">
        <v>2592</v>
      </c>
      <c r="AA349" t="s">
        <v>93</v>
      </c>
      <c r="AB349" t="s">
        <v>2593</v>
      </c>
      <c r="AC349" t="s">
        <v>2889</v>
      </c>
    </row>
    <row r="350" spans="1:29" x14ac:dyDescent="0.25">
      <c r="A350" t="s">
        <v>57</v>
      </c>
      <c r="B350" t="s">
        <v>897</v>
      </c>
      <c r="C350" t="s">
        <v>79</v>
      </c>
      <c r="D350" t="s">
        <v>666</v>
      </c>
      <c r="E350" t="s">
        <v>80</v>
      </c>
      <c r="F350" t="s">
        <v>67</v>
      </c>
      <c r="G350" t="s">
        <v>2890</v>
      </c>
      <c r="H350" t="s">
        <v>2891</v>
      </c>
      <c r="I350" t="s">
        <v>2892</v>
      </c>
      <c r="J350" t="s">
        <v>2893</v>
      </c>
      <c r="K350" t="s">
        <v>2431</v>
      </c>
      <c r="L350" t="s">
        <v>2694</v>
      </c>
      <c r="M350" t="s">
        <v>2433</v>
      </c>
      <c r="N350" t="s">
        <v>2607</v>
      </c>
      <c r="O350" t="s">
        <v>89</v>
      </c>
      <c r="P350" t="s">
        <v>2894</v>
      </c>
      <c r="Q350" t="s">
        <v>2895</v>
      </c>
      <c r="R350" t="s">
        <v>2896</v>
      </c>
      <c r="S350" t="s">
        <v>93</v>
      </c>
      <c r="T350" t="s">
        <v>123</v>
      </c>
      <c r="U350" t="s">
        <v>2885</v>
      </c>
      <c r="V350" t="s">
        <v>2897</v>
      </c>
      <c r="W350" t="s">
        <v>2887</v>
      </c>
      <c r="X350" t="s">
        <v>160</v>
      </c>
      <c r="Y350" t="s">
        <v>2898</v>
      </c>
      <c r="Z350" t="s">
        <v>2899</v>
      </c>
      <c r="AA350" t="s">
        <v>93</v>
      </c>
      <c r="AB350" t="s">
        <v>127</v>
      </c>
      <c r="AC350" t="s">
        <v>2900</v>
      </c>
    </row>
    <row r="351" spans="1:29" x14ac:dyDescent="0.25">
      <c r="A351" t="s">
        <v>57</v>
      </c>
      <c r="B351" t="s">
        <v>897</v>
      </c>
      <c r="C351" t="s">
        <v>79</v>
      </c>
      <c r="D351" t="s">
        <v>666</v>
      </c>
      <c r="E351" t="s">
        <v>80</v>
      </c>
      <c r="F351" t="s">
        <v>68</v>
      </c>
      <c r="G351" t="s">
        <v>2901</v>
      </c>
      <c r="H351" t="s">
        <v>2902</v>
      </c>
      <c r="I351" t="s">
        <v>2903</v>
      </c>
      <c r="J351" t="s">
        <v>2904</v>
      </c>
      <c r="K351" t="s">
        <v>2705</v>
      </c>
      <c r="L351" t="s">
        <v>2672</v>
      </c>
      <c r="M351" t="s">
        <v>2498</v>
      </c>
      <c r="N351" t="s">
        <v>2607</v>
      </c>
      <c r="O351" t="s">
        <v>89</v>
      </c>
      <c r="P351" t="s">
        <v>2883</v>
      </c>
      <c r="Q351" t="s">
        <v>2905</v>
      </c>
      <c r="R351" t="s">
        <v>2688</v>
      </c>
      <c r="S351" t="s">
        <v>93</v>
      </c>
      <c r="T351" t="s">
        <v>823</v>
      </c>
      <c r="U351" t="s">
        <v>2885</v>
      </c>
      <c r="V351" t="s">
        <v>2897</v>
      </c>
      <c r="W351" t="s">
        <v>2906</v>
      </c>
      <c r="X351" t="s">
        <v>160</v>
      </c>
      <c r="Y351" t="s">
        <v>2907</v>
      </c>
      <c r="Z351" t="s">
        <v>2557</v>
      </c>
      <c r="AA351" t="s">
        <v>93</v>
      </c>
      <c r="AB351" t="s">
        <v>374</v>
      </c>
      <c r="AC351" t="s">
        <v>2908</v>
      </c>
    </row>
    <row r="352" spans="1:29" x14ac:dyDescent="0.25">
      <c r="A352" t="s">
        <v>57</v>
      </c>
      <c r="B352" t="s">
        <v>897</v>
      </c>
      <c r="C352" t="s">
        <v>79</v>
      </c>
      <c r="D352" t="s">
        <v>666</v>
      </c>
      <c r="E352" t="s">
        <v>80</v>
      </c>
      <c r="F352" t="s">
        <v>69</v>
      </c>
      <c r="G352" t="s">
        <v>2909</v>
      </c>
      <c r="H352" t="s">
        <v>2910</v>
      </c>
      <c r="I352" t="s">
        <v>2911</v>
      </c>
      <c r="J352" t="s">
        <v>2912</v>
      </c>
      <c r="K352" t="s">
        <v>2682</v>
      </c>
      <c r="L352" t="s">
        <v>2913</v>
      </c>
      <c r="M352" t="s">
        <v>2498</v>
      </c>
      <c r="N352" t="s">
        <v>2607</v>
      </c>
      <c r="O352" t="s">
        <v>89</v>
      </c>
      <c r="P352" t="s">
        <v>2894</v>
      </c>
      <c r="Q352" t="s">
        <v>2914</v>
      </c>
      <c r="R352" t="s">
        <v>2915</v>
      </c>
      <c r="S352" t="s">
        <v>93</v>
      </c>
      <c r="T352" t="s">
        <v>554</v>
      </c>
      <c r="U352" t="s">
        <v>2916</v>
      </c>
      <c r="V352" t="s">
        <v>2897</v>
      </c>
      <c r="W352" t="s">
        <v>2917</v>
      </c>
      <c r="X352" t="s">
        <v>160</v>
      </c>
      <c r="Y352" t="s">
        <v>2918</v>
      </c>
      <c r="Z352" t="s">
        <v>2747</v>
      </c>
      <c r="AA352" t="s">
        <v>93</v>
      </c>
      <c r="AB352" t="s">
        <v>558</v>
      </c>
      <c r="AC352" t="s">
        <v>2919</v>
      </c>
    </row>
    <row r="353" spans="1:29" x14ac:dyDescent="0.25">
      <c r="A353" t="s">
        <v>57</v>
      </c>
      <c r="B353" t="s">
        <v>897</v>
      </c>
      <c r="C353" t="s">
        <v>79</v>
      </c>
      <c r="D353" t="s">
        <v>666</v>
      </c>
      <c r="E353" t="s">
        <v>80</v>
      </c>
      <c r="F353" t="s">
        <v>70</v>
      </c>
      <c r="G353" t="s">
        <v>2920</v>
      </c>
      <c r="H353" t="s">
        <v>2921</v>
      </c>
      <c r="I353" t="s">
        <v>2922</v>
      </c>
      <c r="J353" t="s">
        <v>2715</v>
      </c>
      <c r="K353" t="s">
        <v>2640</v>
      </c>
      <c r="L353" t="s">
        <v>2630</v>
      </c>
      <c r="M353" t="s">
        <v>2498</v>
      </c>
      <c r="N353" t="s">
        <v>2607</v>
      </c>
      <c r="O353" t="s">
        <v>89</v>
      </c>
      <c r="P353" t="s">
        <v>2923</v>
      </c>
      <c r="Q353" t="s">
        <v>2924</v>
      </c>
      <c r="R353" t="s">
        <v>2925</v>
      </c>
      <c r="S353" t="s">
        <v>93</v>
      </c>
      <c r="T353" t="s">
        <v>629</v>
      </c>
      <c r="U353" t="s">
        <v>2885</v>
      </c>
      <c r="V353" t="s">
        <v>2897</v>
      </c>
      <c r="W353" t="s">
        <v>2906</v>
      </c>
      <c r="X353" t="s">
        <v>160</v>
      </c>
      <c r="Y353" t="s">
        <v>2926</v>
      </c>
      <c r="Z353" t="s">
        <v>2927</v>
      </c>
      <c r="AA353" t="s">
        <v>93</v>
      </c>
      <c r="AB353" t="s">
        <v>854</v>
      </c>
      <c r="AC353" t="s">
        <v>2928</v>
      </c>
    </row>
    <row r="354" spans="1:29" x14ac:dyDescent="0.25">
      <c r="A354" t="s">
        <v>57</v>
      </c>
      <c r="B354" t="s">
        <v>897</v>
      </c>
      <c r="C354" t="s">
        <v>79</v>
      </c>
      <c r="D354" t="s">
        <v>666</v>
      </c>
      <c r="E354" t="s">
        <v>80</v>
      </c>
      <c r="F354" t="s">
        <v>71</v>
      </c>
      <c r="G354" t="s">
        <v>2929</v>
      </c>
      <c r="H354" t="s">
        <v>2930</v>
      </c>
      <c r="I354" t="s">
        <v>2931</v>
      </c>
      <c r="J354" t="s">
        <v>2932</v>
      </c>
      <c r="K354" t="s">
        <v>2431</v>
      </c>
      <c r="L354" t="s">
        <v>2933</v>
      </c>
      <c r="M354" t="s">
        <v>2433</v>
      </c>
      <c r="N354" t="s">
        <v>89</v>
      </c>
      <c r="O354" t="s">
        <v>89</v>
      </c>
      <c r="P354" t="s">
        <v>2934</v>
      </c>
      <c r="Q354" t="s">
        <v>2935</v>
      </c>
      <c r="R354" t="s">
        <v>2936</v>
      </c>
      <c r="S354" t="s">
        <v>93</v>
      </c>
      <c r="T354" t="s">
        <v>2937</v>
      </c>
      <c r="U354" t="s">
        <v>2433</v>
      </c>
      <c r="V354" t="s">
        <v>89</v>
      </c>
      <c r="W354" t="s">
        <v>89</v>
      </c>
      <c r="X354" t="s">
        <v>2938</v>
      </c>
      <c r="Y354" t="s">
        <v>2939</v>
      </c>
      <c r="Z354" t="s">
        <v>2475</v>
      </c>
      <c r="AA354" t="s">
        <v>93</v>
      </c>
      <c r="AB354" t="s">
        <v>2476</v>
      </c>
      <c r="AC354" t="s">
        <v>2940</v>
      </c>
    </row>
    <row r="355" spans="1:29" x14ac:dyDescent="0.25">
      <c r="A355" t="s">
        <v>57</v>
      </c>
      <c r="B355" t="s">
        <v>897</v>
      </c>
      <c r="C355" t="s">
        <v>79</v>
      </c>
      <c r="D355" t="s">
        <v>666</v>
      </c>
      <c r="E355" t="s">
        <v>80</v>
      </c>
      <c r="F355" t="s">
        <v>72</v>
      </c>
      <c r="G355" t="s">
        <v>2941</v>
      </c>
      <c r="H355" t="s">
        <v>2942</v>
      </c>
      <c r="I355" t="s">
        <v>2738</v>
      </c>
      <c r="J355" t="s">
        <v>2693</v>
      </c>
      <c r="K355" t="s">
        <v>2682</v>
      </c>
      <c r="L355" t="s">
        <v>2661</v>
      </c>
      <c r="M355" t="s">
        <v>2498</v>
      </c>
      <c r="N355" t="s">
        <v>2607</v>
      </c>
      <c r="O355" t="s">
        <v>89</v>
      </c>
      <c r="P355" t="s">
        <v>2883</v>
      </c>
      <c r="Q355" t="s">
        <v>2943</v>
      </c>
      <c r="R355" t="s">
        <v>2719</v>
      </c>
      <c r="S355" t="s">
        <v>93</v>
      </c>
      <c r="T355" t="s">
        <v>113</v>
      </c>
      <c r="U355" t="s">
        <v>2885</v>
      </c>
      <c r="V355" t="s">
        <v>2897</v>
      </c>
      <c r="W355" t="s">
        <v>2944</v>
      </c>
      <c r="X355" t="s">
        <v>160</v>
      </c>
      <c r="Y355" t="s">
        <v>2945</v>
      </c>
      <c r="Z355" t="s">
        <v>2592</v>
      </c>
      <c r="AA355" t="s">
        <v>93</v>
      </c>
      <c r="AB355" t="s">
        <v>2593</v>
      </c>
      <c r="AC355" t="s">
        <v>2946</v>
      </c>
    </row>
    <row r="356" spans="1:29" x14ac:dyDescent="0.25">
      <c r="A356" t="s">
        <v>57</v>
      </c>
      <c r="B356" t="s">
        <v>897</v>
      </c>
      <c r="C356" t="s">
        <v>79</v>
      </c>
      <c r="D356" t="s">
        <v>666</v>
      </c>
      <c r="E356" t="s">
        <v>80</v>
      </c>
      <c r="F356" t="s">
        <v>73</v>
      </c>
      <c r="G356" t="s">
        <v>2947</v>
      </c>
      <c r="H356" t="s">
        <v>2948</v>
      </c>
      <c r="I356" t="s">
        <v>2949</v>
      </c>
      <c r="J356" t="s">
        <v>2735</v>
      </c>
      <c r="K356" t="s">
        <v>2431</v>
      </c>
      <c r="L356" t="s">
        <v>2672</v>
      </c>
      <c r="M356" t="s">
        <v>2498</v>
      </c>
      <c r="N356" t="s">
        <v>2607</v>
      </c>
      <c r="O356" t="s">
        <v>89</v>
      </c>
      <c r="P356" t="s">
        <v>965</v>
      </c>
      <c r="Q356" t="s">
        <v>2950</v>
      </c>
      <c r="R356" t="s">
        <v>2899</v>
      </c>
      <c r="S356" t="s">
        <v>93</v>
      </c>
      <c r="T356" t="s">
        <v>127</v>
      </c>
      <c r="U356" t="s">
        <v>2885</v>
      </c>
      <c r="V356" t="s">
        <v>2897</v>
      </c>
      <c r="W356" t="s">
        <v>2944</v>
      </c>
      <c r="X356" t="s">
        <v>160</v>
      </c>
      <c r="Y356" t="s">
        <v>2951</v>
      </c>
      <c r="Z356" t="s">
        <v>2788</v>
      </c>
      <c r="AA356" t="s">
        <v>93</v>
      </c>
      <c r="AB356" t="s">
        <v>2789</v>
      </c>
      <c r="AC356" t="s">
        <v>2952</v>
      </c>
    </row>
    <row r="357" spans="1:29" x14ac:dyDescent="0.25">
      <c r="A357" t="s">
        <v>57</v>
      </c>
      <c r="B357" t="s">
        <v>897</v>
      </c>
      <c r="C357" t="s">
        <v>79</v>
      </c>
      <c r="D357" t="s">
        <v>666</v>
      </c>
      <c r="E357" t="s">
        <v>80</v>
      </c>
      <c r="F357" t="s">
        <v>74</v>
      </c>
      <c r="G357" t="s">
        <v>2953</v>
      </c>
      <c r="H357" t="s">
        <v>2954</v>
      </c>
      <c r="I357" t="s">
        <v>2955</v>
      </c>
      <c r="J357" t="s">
        <v>2956</v>
      </c>
      <c r="K357" t="s">
        <v>2619</v>
      </c>
      <c r="L357" t="s">
        <v>2683</v>
      </c>
      <c r="M357" t="s">
        <v>2433</v>
      </c>
      <c r="N357" t="s">
        <v>2607</v>
      </c>
      <c r="O357" t="s">
        <v>89</v>
      </c>
      <c r="P357" t="s">
        <v>2957</v>
      </c>
      <c r="Q357" t="s">
        <v>2958</v>
      </c>
      <c r="R357" t="s">
        <v>2959</v>
      </c>
      <c r="S357" t="s">
        <v>93</v>
      </c>
      <c r="T357" t="s">
        <v>221</v>
      </c>
      <c r="U357" t="s">
        <v>2885</v>
      </c>
      <c r="V357" t="s">
        <v>2897</v>
      </c>
      <c r="W357" t="s">
        <v>2906</v>
      </c>
      <c r="X357" t="s">
        <v>160</v>
      </c>
      <c r="Y357" t="s">
        <v>2960</v>
      </c>
      <c r="Z357" t="s">
        <v>2961</v>
      </c>
      <c r="AA357" t="s">
        <v>93</v>
      </c>
      <c r="AB357" t="s">
        <v>639</v>
      </c>
      <c r="AC357" t="s">
        <v>2962</v>
      </c>
    </row>
    <row r="358" spans="1:29" x14ac:dyDescent="0.25">
      <c r="A358" t="s">
        <v>57</v>
      </c>
      <c r="B358" t="s">
        <v>897</v>
      </c>
      <c r="C358" t="s">
        <v>79</v>
      </c>
      <c r="D358" t="s">
        <v>666</v>
      </c>
      <c r="E358" t="s">
        <v>80</v>
      </c>
      <c r="F358" t="s">
        <v>75</v>
      </c>
      <c r="G358" t="s">
        <v>2963</v>
      </c>
      <c r="H358" t="s">
        <v>2964</v>
      </c>
      <c r="I358" t="s">
        <v>2965</v>
      </c>
      <c r="J358" t="s">
        <v>2893</v>
      </c>
      <c r="K358" t="s">
        <v>2705</v>
      </c>
      <c r="L358" t="s">
        <v>2966</v>
      </c>
      <c r="M358" t="s">
        <v>2433</v>
      </c>
      <c r="N358" t="s">
        <v>89</v>
      </c>
      <c r="O358" t="s">
        <v>89</v>
      </c>
      <c r="P358" t="s">
        <v>2967</v>
      </c>
      <c r="Q358" t="s">
        <v>2968</v>
      </c>
      <c r="R358" t="s">
        <v>2489</v>
      </c>
      <c r="S358" t="s">
        <v>93</v>
      </c>
      <c r="T358" t="s">
        <v>285</v>
      </c>
      <c r="U358" t="s">
        <v>2433</v>
      </c>
      <c r="V358" t="s">
        <v>89</v>
      </c>
      <c r="W358" t="s">
        <v>89</v>
      </c>
      <c r="X358" t="s">
        <v>2969</v>
      </c>
      <c r="Y358" t="s">
        <v>2970</v>
      </c>
      <c r="Z358" t="s">
        <v>2456</v>
      </c>
      <c r="AA358" t="s">
        <v>93</v>
      </c>
      <c r="AB358" t="s">
        <v>2257</v>
      </c>
      <c r="AC358" t="s">
        <v>2971</v>
      </c>
    </row>
    <row r="359" spans="1:29" x14ac:dyDescent="0.25">
      <c r="A359" t="s">
        <v>57</v>
      </c>
      <c r="B359" t="s">
        <v>897</v>
      </c>
      <c r="C359" t="s">
        <v>79</v>
      </c>
      <c r="D359" t="s">
        <v>666</v>
      </c>
      <c r="E359" t="s">
        <v>80</v>
      </c>
      <c r="F359" t="s">
        <v>76</v>
      </c>
      <c r="G359" t="s">
        <v>2972</v>
      </c>
      <c r="H359" t="s">
        <v>2973</v>
      </c>
      <c r="I359" t="s">
        <v>2974</v>
      </c>
      <c r="J359" t="s">
        <v>2975</v>
      </c>
      <c r="K359" t="s">
        <v>89</v>
      </c>
      <c r="L359" t="s">
        <v>2976</v>
      </c>
      <c r="M359" t="s">
        <v>2433</v>
      </c>
      <c r="N359" t="s">
        <v>89</v>
      </c>
      <c r="O359" t="s">
        <v>89</v>
      </c>
      <c r="P359" t="s">
        <v>2977</v>
      </c>
      <c r="Q359" t="s">
        <v>2978</v>
      </c>
      <c r="R359" t="s">
        <v>1996</v>
      </c>
      <c r="S359" t="s">
        <v>93</v>
      </c>
      <c r="T359" t="s">
        <v>1473</v>
      </c>
      <c r="U359" t="s">
        <v>2433</v>
      </c>
      <c r="V359" t="s">
        <v>89</v>
      </c>
      <c r="W359" t="s">
        <v>89</v>
      </c>
      <c r="X359" t="s">
        <v>2979</v>
      </c>
      <c r="Y359" t="s">
        <v>2980</v>
      </c>
      <c r="Z359" t="s">
        <v>2981</v>
      </c>
      <c r="AA359" t="s">
        <v>93</v>
      </c>
      <c r="AB359" t="s">
        <v>1309</v>
      </c>
      <c r="AC359" t="s">
        <v>2982</v>
      </c>
    </row>
    <row r="360" spans="1:29" x14ac:dyDescent="0.25">
      <c r="A360" t="s">
        <v>57</v>
      </c>
      <c r="B360" t="s">
        <v>273</v>
      </c>
      <c r="C360" t="s">
        <v>79</v>
      </c>
      <c r="D360" t="s">
        <v>274</v>
      </c>
      <c r="E360" t="s">
        <v>80</v>
      </c>
      <c r="F360" t="s">
        <v>58</v>
      </c>
      <c r="G360" t="s">
        <v>2983</v>
      </c>
      <c r="H360" t="s">
        <v>2984</v>
      </c>
      <c r="I360" t="s">
        <v>759</v>
      </c>
      <c r="J360" t="s">
        <v>89</v>
      </c>
      <c r="K360" t="s">
        <v>2431</v>
      </c>
      <c r="L360" t="s">
        <v>89</v>
      </c>
      <c r="M360" t="s">
        <v>2433</v>
      </c>
      <c r="N360" t="s">
        <v>2443</v>
      </c>
      <c r="O360" t="s">
        <v>89</v>
      </c>
      <c r="P360" t="s">
        <v>2985</v>
      </c>
      <c r="Q360" t="s">
        <v>2986</v>
      </c>
      <c r="R360" t="s">
        <v>2567</v>
      </c>
      <c r="S360" t="s">
        <v>93</v>
      </c>
      <c r="T360" t="s">
        <v>2108</v>
      </c>
      <c r="U360" t="s">
        <v>2498</v>
      </c>
      <c r="V360" t="s">
        <v>2607</v>
      </c>
      <c r="W360" t="s">
        <v>89</v>
      </c>
      <c r="X360" t="s">
        <v>2987</v>
      </c>
      <c r="Y360" t="s">
        <v>2988</v>
      </c>
      <c r="Z360" t="s">
        <v>2844</v>
      </c>
      <c r="AA360" t="s">
        <v>93</v>
      </c>
      <c r="AB360" t="s">
        <v>2299</v>
      </c>
      <c r="AC360" t="s">
        <v>2989</v>
      </c>
    </row>
    <row r="361" spans="1:29" x14ac:dyDescent="0.25">
      <c r="A361" t="s">
        <v>57</v>
      </c>
      <c r="B361" t="s">
        <v>273</v>
      </c>
      <c r="C361" t="s">
        <v>79</v>
      </c>
      <c r="D361" t="s">
        <v>274</v>
      </c>
      <c r="E361" t="s">
        <v>80</v>
      </c>
      <c r="F361" t="s">
        <v>59</v>
      </c>
      <c r="G361" t="s">
        <v>2990</v>
      </c>
      <c r="H361" t="s">
        <v>2991</v>
      </c>
      <c r="I361" t="s">
        <v>799</v>
      </c>
      <c r="J361" t="s">
        <v>89</v>
      </c>
      <c r="K361" t="s">
        <v>2431</v>
      </c>
      <c r="L361" t="s">
        <v>89</v>
      </c>
      <c r="M361" t="s">
        <v>2498</v>
      </c>
      <c r="N361" t="s">
        <v>2443</v>
      </c>
      <c r="O361" t="s">
        <v>89</v>
      </c>
      <c r="P361" t="s">
        <v>2992</v>
      </c>
      <c r="Q361" t="s">
        <v>2993</v>
      </c>
      <c r="R361" t="s">
        <v>2435</v>
      </c>
      <c r="S361" t="s">
        <v>93</v>
      </c>
      <c r="T361" t="s">
        <v>1950</v>
      </c>
      <c r="U361" t="s">
        <v>2433</v>
      </c>
      <c r="V361" t="s">
        <v>2443</v>
      </c>
      <c r="W361" t="s">
        <v>89</v>
      </c>
      <c r="X361" t="s">
        <v>2994</v>
      </c>
      <c r="Y361" t="s">
        <v>2995</v>
      </c>
      <c r="Z361" t="s">
        <v>2438</v>
      </c>
      <c r="AA361" t="s">
        <v>93</v>
      </c>
      <c r="AB361" t="s">
        <v>160</v>
      </c>
      <c r="AC361" t="s">
        <v>2996</v>
      </c>
    </row>
    <row r="362" spans="1:29" x14ac:dyDescent="0.25">
      <c r="A362" t="s">
        <v>57</v>
      </c>
      <c r="B362" t="s">
        <v>273</v>
      </c>
      <c r="C362" t="s">
        <v>79</v>
      </c>
      <c r="D362" t="s">
        <v>274</v>
      </c>
      <c r="E362" t="s">
        <v>80</v>
      </c>
      <c r="F362" t="s">
        <v>60</v>
      </c>
      <c r="G362" t="s">
        <v>2873</v>
      </c>
      <c r="H362" t="s">
        <v>2997</v>
      </c>
      <c r="I362" t="s">
        <v>2998</v>
      </c>
      <c r="J362" t="s">
        <v>89</v>
      </c>
      <c r="K362" t="s">
        <v>2431</v>
      </c>
      <c r="L362" t="s">
        <v>2432</v>
      </c>
      <c r="M362" t="s">
        <v>2433</v>
      </c>
      <c r="N362" t="s">
        <v>2607</v>
      </c>
      <c r="O362" t="s">
        <v>89</v>
      </c>
      <c r="P362" t="s">
        <v>2999</v>
      </c>
      <c r="Q362" t="s">
        <v>3000</v>
      </c>
      <c r="R362" t="s">
        <v>2475</v>
      </c>
      <c r="S362" t="s">
        <v>93</v>
      </c>
      <c r="T362" t="s">
        <v>2476</v>
      </c>
      <c r="U362" t="s">
        <v>2433</v>
      </c>
      <c r="V362" t="s">
        <v>2443</v>
      </c>
      <c r="W362" t="s">
        <v>89</v>
      </c>
      <c r="X362" t="s">
        <v>3001</v>
      </c>
      <c r="Y362" t="s">
        <v>3002</v>
      </c>
      <c r="Z362" t="s">
        <v>2479</v>
      </c>
      <c r="AA362" t="s">
        <v>93</v>
      </c>
      <c r="AB362" t="s">
        <v>2198</v>
      </c>
      <c r="AC362" t="s">
        <v>3003</v>
      </c>
    </row>
    <row r="363" spans="1:29" x14ac:dyDescent="0.25">
      <c r="A363" t="s">
        <v>57</v>
      </c>
      <c r="B363" t="s">
        <v>273</v>
      </c>
      <c r="C363" t="s">
        <v>79</v>
      </c>
      <c r="D363" t="s">
        <v>274</v>
      </c>
      <c r="E363" t="s">
        <v>80</v>
      </c>
      <c r="F363" t="s">
        <v>61</v>
      </c>
      <c r="G363" t="s">
        <v>3004</v>
      </c>
      <c r="H363" t="s">
        <v>3005</v>
      </c>
      <c r="I363" t="s">
        <v>1543</v>
      </c>
      <c r="J363" t="s">
        <v>89</v>
      </c>
      <c r="K363" t="s">
        <v>2431</v>
      </c>
      <c r="L363" t="s">
        <v>89</v>
      </c>
      <c r="M363" t="s">
        <v>2433</v>
      </c>
      <c r="N363" t="s">
        <v>3006</v>
      </c>
      <c r="O363" t="s">
        <v>89</v>
      </c>
      <c r="P363" t="s">
        <v>3007</v>
      </c>
      <c r="Q363" t="s">
        <v>3008</v>
      </c>
      <c r="R363" t="s">
        <v>2809</v>
      </c>
      <c r="S363" t="s">
        <v>93</v>
      </c>
      <c r="T363" t="s">
        <v>1453</v>
      </c>
      <c r="U363" t="s">
        <v>2433</v>
      </c>
      <c r="V363" t="s">
        <v>2443</v>
      </c>
      <c r="W363" t="s">
        <v>89</v>
      </c>
      <c r="X363" t="s">
        <v>3009</v>
      </c>
      <c r="Y363" t="s">
        <v>3010</v>
      </c>
      <c r="Z363" t="s">
        <v>3011</v>
      </c>
      <c r="AA363" t="s">
        <v>93</v>
      </c>
      <c r="AB363" t="s">
        <v>1320</v>
      </c>
      <c r="AC363" t="s">
        <v>3012</v>
      </c>
    </row>
    <row r="364" spans="1:29" x14ac:dyDescent="0.25">
      <c r="A364" t="s">
        <v>57</v>
      </c>
      <c r="B364" t="s">
        <v>273</v>
      </c>
      <c r="C364" t="s">
        <v>79</v>
      </c>
      <c r="D364" t="s">
        <v>274</v>
      </c>
      <c r="E364" t="s">
        <v>80</v>
      </c>
      <c r="F364" t="s">
        <v>62</v>
      </c>
      <c r="G364" t="s">
        <v>3013</v>
      </c>
      <c r="H364" t="s">
        <v>3014</v>
      </c>
      <c r="I364" t="s">
        <v>305</v>
      </c>
      <c r="J364" t="s">
        <v>89</v>
      </c>
      <c r="K364" t="s">
        <v>2431</v>
      </c>
      <c r="L364" t="s">
        <v>89</v>
      </c>
      <c r="M364" t="s">
        <v>2433</v>
      </c>
      <c r="N364" t="s">
        <v>2607</v>
      </c>
      <c r="O364" t="s">
        <v>89</v>
      </c>
      <c r="P364" t="s">
        <v>3015</v>
      </c>
      <c r="Q364" t="s">
        <v>3016</v>
      </c>
      <c r="R364" t="s">
        <v>3017</v>
      </c>
      <c r="S364" t="s">
        <v>93</v>
      </c>
      <c r="T364" t="s">
        <v>2376</v>
      </c>
      <c r="U364" t="s">
        <v>2433</v>
      </c>
      <c r="V364" t="s">
        <v>2607</v>
      </c>
      <c r="W364" t="s">
        <v>89</v>
      </c>
      <c r="X364" t="s">
        <v>3018</v>
      </c>
      <c r="Y364" t="s">
        <v>3019</v>
      </c>
      <c r="Z364" t="s">
        <v>2714</v>
      </c>
      <c r="AA364" t="s">
        <v>93</v>
      </c>
      <c r="AB364" t="s">
        <v>2379</v>
      </c>
      <c r="AC364" t="s">
        <v>3020</v>
      </c>
    </row>
    <row r="365" spans="1:29" x14ac:dyDescent="0.25">
      <c r="A365" t="s">
        <v>57</v>
      </c>
      <c r="B365" t="s">
        <v>273</v>
      </c>
      <c r="C365" t="s">
        <v>79</v>
      </c>
      <c r="D365" t="s">
        <v>274</v>
      </c>
      <c r="E365" t="s">
        <v>80</v>
      </c>
      <c r="F365" t="s">
        <v>63</v>
      </c>
      <c r="G365" t="s">
        <v>3021</v>
      </c>
      <c r="H365" t="s">
        <v>3022</v>
      </c>
      <c r="I365" t="s">
        <v>1659</v>
      </c>
      <c r="J365" t="s">
        <v>89</v>
      </c>
      <c r="K365" t="s">
        <v>2431</v>
      </c>
      <c r="L365" t="s">
        <v>89</v>
      </c>
      <c r="M365" t="s">
        <v>2433</v>
      </c>
      <c r="N365" t="s">
        <v>2607</v>
      </c>
      <c r="O365" t="s">
        <v>89</v>
      </c>
      <c r="P365" t="s">
        <v>3023</v>
      </c>
      <c r="Q365" t="s">
        <v>3024</v>
      </c>
      <c r="R365" t="s">
        <v>2936</v>
      </c>
      <c r="S365" t="s">
        <v>93</v>
      </c>
      <c r="T365" t="s">
        <v>2937</v>
      </c>
      <c r="U365" t="s">
        <v>2433</v>
      </c>
      <c r="V365" t="s">
        <v>2443</v>
      </c>
      <c r="W365" t="s">
        <v>89</v>
      </c>
      <c r="X365" t="s">
        <v>3025</v>
      </c>
      <c r="Y365" t="s">
        <v>3026</v>
      </c>
      <c r="Z365" t="s">
        <v>2475</v>
      </c>
      <c r="AA365" t="s">
        <v>93</v>
      </c>
      <c r="AB365" t="s">
        <v>2476</v>
      </c>
      <c r="AC365" t="s">
        <v>3027</v>
      </c>
    </row>
    <row r="366" spans="1:29" x14ac:dyDescent="0.25">
      <c r="A366" t="s">
        <v>57</v>
      </c>
      <c r="B366" t="s">
        <v>273</v>
      </c>
      <c r="C366" t="s">
        <v>79</v>
      </c>
      <c r="D366" t="s">
        <v>274</v>
      </c>
      <c r="E366" t="s">
        <v>80</v>
      </c>
      <c r="F366" t="s">
        <v>64</v>
      </c>
      <c r="G366" t="s">
        <v>3028</v>
      </c>
      <c r="H366" t="s">
        <v>3029</v>
      </c>
      <c r="I366" t="s">
        <v>3030</v>
      </c>
      <c r="J366" t="s">
        <v>89</v>
      </c>
      <c r="K366" t="s">
        <v>2431</v>
      </c>
      <c r="L366" t="s">
        <v>89</v>
      </c>
      <c r="M366" t="s">
        <v>2433</v>
      </c>
      <c r="N366" t="s">
        <v>2607</v>
      </c>
      <c r="O366" t="s">
        <v>89</v>
      </c>
      <c r="P366" t="s">
        <v>3031</v>
      </c>
      <c r="Q366" t="s">
        <v>3032</v>
      </c>
      <c r="R366" t="s">
        <v>2511</v>
      </c>
      <c r="S366" t="s">
        <v>93</v>
      </c>
      <c r="T366" t="s">
        <v>2081</v>
      </c>
      <c r="U366" t="s">
        <v>2433</v>
      </c>
      <c r="V366" t="s">
        <v>2607</v>
      </c>
      <c r="W366" t="s">
        <v>89</v>
      </c>
      <c r="X366" t="s">
        <v>3033</v>
      </c>
      <c r="Y366" t="s">
        <v>3034</v>
      </c>
      <c r="Z366" t="s">
        <v>2486</v>
      </c>
      <c r="AA366" t="s">
        <v>93</v>
      </c>
      <c r="AB366" t="s">
        <v>281</v>
      </c>
      <c r="AC366" t="s">
        <v>3035</v>
      </c>
    </row>
    <row r="367" spans="1:29" x14ac:dyDescent="0.25">
      <c r="A367" t="s">
        <v>57</v>
      </c>
      <c r="B367" t="s">
        <v>273</v>
      </c>
      <c r="C367" t="s">
        <v>79</v>
      </c>
      <c r="D367" t="s">
        <v>274</v>
      </c>
      <c r="E367" t="s">
        <v>80</v>
      </c>
      <c r="F367" t="s">
        <v>65</v>
      </c>
      <c r="G367" t="s">
        <v>3036</v>
      </c>
      <c r="H367" t="s">
        <v>3037</v>
      </c>
      <c r="I367" t="s">
        <v>3038</v>
      </c>
      <c r="J367" t="s">
        <v>89</v>
      </c>
      <c r="K367" t="s">
        <v>2431</v>
      </c>
      <c r="L367" t="s">
        <v>2432</v>
      </c>
      <c r="M367" t="s">
        <v>2498</v>
      </c>
      <c r="N367" t="s">
        <v>2443</v>
      </c>
      <c r="O367" t="s">
        <v>89</v>
      </c>
      <c r="P367" t="s">
        <v>3039</v>
      </c>
      <c r="Q367" t="s">
        <v>3040</v>
      </c>
      <c r="R367" t="s">
        <v>2438</v>
      </c>
      <c r="S367" t="s">
        <v>93</v>
      </c>
      <c r="T367" t="s">
        <v>160</v>
      </c>
      <c r="U367" t="s">
        <v>2433</v>
      </c>
      <c r="V367" t="s">
        <v>2607</v>
      </c>
      <c r="W367" t="s">
        <v>89</v>
      </c>
      <c r="X367" t="s">
        <v>3041</v>
      </c>
      <c r="Y367" t="s">
        <v>3042</v>
      </c>
      <c r="Z367" t="s">
        <v>3043</v>
      </c>
      <c r="AA367" t="s">
        <v>93</v>
      </c>
      <c r="AB367" t="s">
        <v>2140</v>
      </c>
      <c r="AC367" t="s">
        <v>3044</v>
      </c>
    </row>
    <row r="368" spans="1:29" x14ac:dyDescent="0.25">
      <c r="A368" t="s">
        <v>57</v>
      </c>
      <c r="B368" t="s">
        <v>273</v>
      </c>
      <c r="C368" t="s">
        <v>79</v>
      </c>
      <c r="D368" t="s">
        <v>274</v>
      </c>
      <c r="E368" t="s">
        <v>80</v>
      </c>
      <c r="F368" t="s">
        <v>66</v>
      </c>
      <c r="G368" t="s">
        <v>3045</v>
      </c>
      <c r="H368" t="s">
        <v>3046</v>
      </c>
      <c r="I368" t="s">
        <v>3047</v>
      </c>
      <c r="J368" t="s">
        <v>89</v>
      </c>
      <c r="K368" t="s">
        <v>89</v>
      </c>
      <c r="L368" t="s">
        <v>89</v>
      </c>
      <c r="M368" t="s">
        <v>2433</v>
      </c>
      <c r="N368" t="s">
        <v>2443</v>
      </c>
      <c r="O368" t="s">
        <v>89</v>
      </c>
      <c r="P368" t="s">
        <v>3048</v>
      </c>
      <c r="Q368" t="s">
        <v>3049</v>
      </c>
      <c r="R368" t="s">
        <v>2448</v>
      </c>
      <c r="S368" t="s">
        <v>93</v>
      </c>
      <c r="T368" t="s">
        <v>2173</v>
      </c>
      <c r="U368" t="s">
        <v>2433</v>
      </c>
      <c r="V368" t="s">
        <v>2607</v>
      </c>
      <c r="W368" t="s">
        <v>89</v>
      </c>
      <c r="X368" t="s">
        <v>3050</v>
      </c>
      <c r="Y368" t="s">
        <v>3051</v>
      </c>
      <c r="Z368" t="s">
        <v>2511</v>
      </c>
      <c r="AA368" t="s">
        <v>93</v>
      </c>
      <c r="AB368" t="s">
        <v>2081</v>
      </c>
      <c r="AC368" t="s">
        <v>3052</v>
      </c>
    </row>
    <row r="369" spans="1:29" x14ac:dyDescent="0.25">
      <c r="A369" t="s">
        <v>57</v>
      </c>
      <c r="B369" t="s">
        <v>273</v>
      </c>
      <c r="C369" t="s">
        <v>79</v>
      </c>
      <c r="D369" t="s">
        <v>274</v>
      </c>
      <c r="E369" t="s">
        <v>80</v>
      </c>
      <c r="F369" t="s">
        <v>67</v>
      </c>
      <c r="G369" t="s">
        <v>3053</v>
      </c>
      <c r="H369" t="s">
        <v>3054</v>
      </c>
      <c r="I369" t="s">
        <v>3055</v>
      </c>
      <c r="J369" t="s">
        <v>89</v>
      </c>
      <c r="K369" t="s">
        <v>2431</v>
      </c>
      <c r="L369" t="s">
        <v>89</v>
      </c>
      <c r="M369" t="s">
        <v>2433</v>
      </c>
      <c r="N369" t="s">
        <v>2443</v>
      </c>
      <c r="O369" t="s">
        <v>89</v>
      </c>
      <c r="P369" t="s">
        <v>3056</v>
      </c>
      <c r="Q369" t="s">
        <v>3057</v>
      </c>
      <c r="R369" t="s">
        <v>2459</v>
      </c>
      <c r="S369" t="s">
        <v>93</v>
      </c>
      <c r="T369" t="s">
        <v>2460</v>
      </c>
      <c r="U369" t="s">
        <v>2433</v>
      </c>
      <c r="V369" t="s">
        <v>2443</v>
      </c>
      <c r="W369" t="s">
        <v>89</v>
      </c>
      <c r="X369" t="s">
        <v>3058</v>
      </c>
      <c r="Y369" t="s">
        <v>3059</v>
      </c>
      <c r="Z369" t="s">
        <v>2519</v>
      </c>
      <c r="AA369" t="s">
        <v>93</v>
      </c>
      <c r="AB369" t="s">
        <v>2187</v>
      </c>
      <c r="AC369" t="s">
        <v>3060</v>
      </c>
    </row>
    <row r="370" spans="1:29" x14ac:dyDescent="0.25">
      <c r="A370" t="s">
        <v>57</v>
      </c>
      <c r="B370" t="s">
        <v>273</v>
      </c>
      <c r="C370" t="s">
        <v>79</v>
      </c>
      <c r="D370" t="s">
        <v>274</v>
      </c>
      <c r="E370" t="s">
        <v>80</v>
      </c>
      <c r="F370" t="s">
        <v>68</v>
      </c>
      <c r="G370" t="s">
        <v>3061</v>
      </c>
      <c r="H370" t="s">
        <v>3062</v>
      </c>
      <c r="I370" t="s">
        <v>3063</v>
      </c>
      <c r="J370" t="s">
        <v>89</v>
      </c>
      <c r="K370" t="s">
        <v>89</v>
      </c>
      <c r="L370" t="s">
        <v>89</v>
      </c>
      <c r="M370" t="s">
        <v>2433</v>
      </c>
      <c r="N370" t="s">
        <v>2443</v>
      </c>
      <c r="O370" t="s">
        <v>89</v>
      </c>
      <c r="P370" t="s">
        <v>3064</v>
      </c>
      <c r="Q370" t="s">
        <v>3065</v>
      </c>
      <c r="R370" t="s">
        <v>2475</v>
      </c>
      <c r="S370" t="s">
        <v>93</v>
      </c>
      <c r="T370" t="s">
        <v>2476</v>
      </c>
      <c r="U370" t="s">
        <v>2433</v>
      </c>
      <c r="V370" t="s">
        <v>2607</v>
      </c>
      <c r="W370" t="s">
        <v>89</v>
      </c>
      <c r="X370" t="s">
        <v>3066</v>
      </c>
      <c r="Y370" t="s">
        <v>3067</v>
      </c>
      <c r="Z370" t="s">
        <v>2479</v>
      </c>
      <c r="AA370" t="s">
        <v>93</v>
      </c>
      <c r="AB370" t="s">
        <v>2198</v>
      </c>
      <c r="AC370" t="s">
        <v>3068</v>
      </c>
    </row>
    <row r="371" spans="1:29" x14ac:dyDescent="0.25">
      <c r="A371" t="s">
        <v>57</v>
      </c>
      <c r="B371" t="s">
        <v>273</v>
      </c>
      <c r="C371" t="s">
        <v>79</v>
      </c>
      <c r="D371" t="s">
        <v>274</v>
      </c>
      <c r="E371" t="s">
        <v>80</v>
      </c>
      <c r="F371" t="s">
        <v>69</v>
      </c>
      <c r="G371" t="s">
        <v>3069</v>
      </c>
      <c r="H371" t="s">
        <v>3070</v>
      </c>
      <c r="I371" t="s">
        <v>3071</v>
      </c>
      <c r="J371" t="s">
        <v>89</v>
      </c>
      <c r="K371" t="s">
        <v>2431</v>
      </c>
      <c r="L371" t="s">
        <v>89</v>
      </c>
      <c r="M371" t="s">
        <v>2433</v>
      </c>
      <c r="N371" t="s">
        <v>2443</v>
      </c>
      <c r="O371" t="s">
        <v>89</v>
      </c>
      <c r="P371" t="s">
        <v>3072</v>
      </c>
      <c r="Q371" t="s">
        <v>3073</v>
      </c>
      <c r="R371" t="s">
        <v>2489</v>
      </c>
      <c r="S371" t="s">
        <v>93</v>
      </c>
      <c r="T371" t="s">
        <v>285</v>
      </c>
      <c r="U371" t="s">
        <v>2433</v>
      </c>
      <c r="V371" t="s">
        <v>2607</v>
      </c>
      <c r="W371" t="s">
        <v>89</v>
      </c>
      <c r="X371" t="s">
        <v>3074</v>
      </c>
      <c r="Y371" t="s">
        <v>3075</v>
      </c>
      <c r="Z371" t="s">
        <v>2456</v>
      </c>
      <c r="AA371" t="s">
        <v>93</v>
      </c>
      <c r="AB371" t="s">
        <v>2257</v>
      </c>
      <c r="AC371" t="s">
        <v>3076</v>
      </c>
    </row>
    <row r="372" spans="1:29" x14ac:dyDescent="0.25">
      <c r="A372" t="s">
        <v>57</v>
      </c>
      <c r="B372" t="s">
        <v>273</v>
      </c>
      <c r="C372" t="s">
        <v>79</v>
      </c>
      <c r="D372" t="s">
        <v>274</v>
      </c>
      <c r="E372" t="s">
        <v>80</v>
      </c>
      <c r="F372" t="s">
        <v>70</v>
      </c>
      <c r="G372" t="s">
        <v>3077</v>
      </c>
      <c r="H372" t="s">
        <v>3078</v>
      </c>
      <c r="I372" t="s">
        <v>3079</v>
      </c>
      <c r="J372" t="s">
        <v>89</v>
      </c>
      <c r="K372" t="s">
        <v>89</v>
      </c>
      <c r="L372" t="s">
        <v>2432</v>
      </c>
      <c r="M372" t="s">
        <v>2433</v>
      </c>
      <c r="N372" t="s">
        <v>2607</v>
      </c>
      <c r="O372" t="s">
        <v>89</v>
      </c>
      <c r="P372" t="s">
        <v>3080</v>
      </c>
      <c r="Q372" t="s">
        <v>3081</v>
      </c>
      <c r="R372" t="s">
        <v>2496</v>
      </c>
      <c r="S372" t="s">
        <v>93</v>
      </c>
      <c r="T372" t="s">
        <v>2497</v>
      </c>
      <c r="U372" t="s">
        <v>2498</v>
      </c>
      <c r="V372" t="s">
        <v>2443</v>
      </c>
      <c r="W372" t="s">
        <v>89</v>
      </c>
      <c r="X372" t="s">
        <v>3082</v>
      </c>
      <c r="Y372" t="s">
        <v>3083</v>
      </c>
      <c r="Z372" t="s">
        <v>2501</v>
      </c>
      <c r="AA372" t="s">
        <v>93</v>
      </c>
      <c r="AB372" t="s">
        <v>94</v>
      </c>
      <c r="AC372" t="s">
        <v>3084</v>
      </c>
    </row>
    <row r="373" spans="1:29" x14ac:dyDescent="0.25">
      <c r="A373" t="s">
        <v>57</v>
      </c>
      <c r="B373" t="s">
        <v>273</v>
      </c>
      <c r="C373" t="s">
        <v>79</v>
      </c>
      <c r="D373" t="s">
        <v>274</v>
      </c>
      <c r="E373" t="s">
        <v>80</v>
      </c>
      <c r="F373" t="s">
        <v>71</v>
      </c>
      <c r="G373" t="s">
        <v>1692</v>
      </c>
      <c r="H373" t="s">
        <v>3085</v>
      </c>
      <c r="I373" t="s">
        <v>3086</v>
      </c>
      <c r="J373" t="s">
        <v>89</v>
      </c>
      <c r="K373" t="s">
        <v>2431</v>
      </c>
      <c r="L373" t="s">
        <v>2432</v>
      </c>
      <c r="M373" t="s">
        <v>2498</v>
      </c>
      <c r="N373" t="s">
        <v>2607</v>
      </c>
      <c r="O373" t="s">
        <v>89</v>
      </c>
      <c r="P373" t="s">
        <v>3087</v>
      </c>
      <c r="Q373" t="s">
        <v>3088</v>
      </c>
      <c r="R373" t="s">
        <v>3089</v>
      </c>
      <c r="S373" t="s">
        <v>93</v>
      </c>
      <c r="T373" t="s">
        <v>1592</v>
      </c>
      <c r="U373" t="s">
        <v>2433</v>
      </c>
      <c r="V373" t="s">
        <v>2607</v>
      </c>
      <c r="W373" t="s">
        <v>89</v>
      </c>
      <c r="X373" t="s">
        <v>3090</v>
      </c>
      <c r="Y373" t="s">
        <v>3091</v>
      </c>
      <c r="Z373" t="s">
        <v>2652</v>
      </c>
      <c r="AA373" t="s">
        <v>93</v>
      </c>
      <c r="AB373" t="s">
        <v>2021</v>
      </c>
      <c r="AC373" t="s">
        <v>3092</v>
      </c>
    </row>
    <row r="374" spans="1:29" x14ac:dyDescent="0.25">
      <c r="A374" t="s">
        <v>57</v>
      </c>
      <c r="B374" t="s">
        <v>273</v>
      </c>
      <c r="C374" t="s">
        <v>79</v>
      </c>
      <c r="D374" t="s">
        <v>274</v>
      </c>
      <c r="E374" t="s">
        <v>80</v>
      </c>
      <c r="F374" t="s">
        <v>72</v>
      </c>
      <c r="G374" t="s">
        <v>3093</v>
      </c>
      <c r="H374" t="s">
        <v>3094</v>
      </c>
      <c r="I374" t="s">
        <v>3095</v>
      </c>
      <c r="J374" t="s">
        <v>89</v>
      </c>
      <c r="K374" t="s">
        <v>89</v>
      </c>
      <c r="L374" t="s">
        <v>89</v>
      </c>
      <c r="M374" t="s">
        <v>2433</v>
      </c>
      <c r="N374" t="s">
        <v>2607</v>
      </c>
      <c r="O374" t="s">
        <v>89</v>
      </c>
      <c r="P374" t="s">
        <v>3096</v>
      </c>
      <c r="Q374" t="s">
        <v>3097</v>
      </c>
      <c r="R374" t="s">
        <v>2448</v>
      </c>
      <c r="S374" t="s">
        <v>93</v>
      </c>
      <c r="T374" t="s">
        <v>2173</v>
      </c>
      <c r="U374" t="s">
        <v>2436</v>
      </c>
      <c r="V374" t="s">
        <v>2607</v>
      </c>
      <c r="W374" t="s">
        <v>89</v>
      </c>
      <c r="X374" t="s">
        <v>3098</v>
      </c>
      <c r="Y374" t="s">
        <v>3099</v>
      </c>
      <c r="Z374" t="s">
        <v>2511</v>
      </c>
      <c r="AA374" t="s">
        <v>93</v>
      </c>
      <c r="AB374" t="s">
        <v>2081</v>
      </c>
      <c r="AC374" t="s">
        <v>3100</v>
      </c>
    </row>
    <row r="375" spans="1:29" x14ac:dyDescent="0.25">
      <c r="A375" t="s">
        <v>57</v>
      </c>
      <c r="B375" t="s">
        <v>273</v>
      </c>
      <c r="C375" t="s">
        <v>79</v>
      </c>
      <c r="D375" t="s">
        <v>274</v>
      </c>
      <c r="E375" t="s">
        <v>80</v>
      </c>
      <c r="F375" t="s">
        <v>73</v>
      </c>
      <c r="G375" t="s">
        <v>3101</v>
      </c>
      <c r="H375" t="s">
        <v>3102</v>
      </c>
      <c r="I375" t="s">
        <v>2571</v>
      </c>
      <c r="J375" t="s">
        <v>89</v>
      </c>
      <c r="K375" t="s">
        <v>2431</v>
      </c>
      <c r="L375" t="s">
        <v>2432</v>
      </c>
      <c r="M375" t="s">
        <v>2433</v>
      </c>
      <c r="N375" t="s">
        <v>2607</v>
      </c>
      <c r="O375" t="s">
        <v>89</v>
      </c>
      <c r="P375" t="s">
        <v>3103</v>
      </c>
      <c r="Q375" t="s">
        <v>3104</v>
      </c>
      <c r="R375" t="s">
        <v>2519</v>
      </c>
      <c r="S375" t="s">
        <v>93</v>
      </c>
      <c r="T375" t="s">
        <v>2187</v>
      </c>
      <c r="U375" t="s">
        <v>2433</v>
      </c>
      <c r="V375" t="s">
        <v>2443</v>
      </c>
      <c r="W375" t="s">
        <v>89</v>
      </c>
      <c r="X375" t="s">
        <v>3105</v>
      </c>
      <c r="Y375" t="s">
        <v>3106</v>
      </c>
      <c r="Z375" t="s">
        <v>2522</v>
      </c>
      <c r="AA375" t="s">
        <v>93</v>
      </c>
      <c r="AB375" t="s">
        <v>2523</v>
      </c>
      <c r="AC375" t="s">
        <v>3107</v>
      </c>
    </row>
    <row r="376" spans="1:29" x14ac:dyDescent="0.25">
      <c r="A376" t="s">
        <v>57</v>
      </c>
      <c r="B376" t="s">
        <v>273</v>
      </c>
      <c r="C376" t="s">
        <v>79</v>
      </c>
      <c r="D376" t="s">
        <v>274</v>
      </c>
      <c r="E376" t="s">
        <v>80</v>
      </c>
      <c r="F376" t="s">
        <v>74</v>
      </c>
      <c r="G376" t="s">
        <v>3108</v>
      </c>
      <c r="H376" t="s">
        <v>3109</v>
      </c>
      <c r="I376" t="s">
        <v>685</v>
      </c>
      <c r="J376" t="s">
        <v>89</v>
      </c>
      <c r="K376" t="s">
        <v>2431</v>
      </c>
      <c r="L376" t="s">
        <v>2432</v>
      </c>
      <c r="M376" t="s">
        <v>2433</v>
      </c>
      <c r="N376" t="s">
        <v>2443</v>
      </c>
      <c r="O376" t="s">
        <v>89</v>
      </c>
      <c r="P376" t="s">
        <v>3110</v>
      </c>
      <c r="Q376" t="s">
        <v>3111</v>
      </c>
      <c r="R376" t="s">
        <v>2551</v>
      </c>
      <c r="S376" t="s">
        <v>93</v>
      </c>
      <c r="T376" t="s">
        <v>1860</v>
      </c>
      <c r="U376" t="s">
        <v>2433</v>
      </c>
      <c r="V376" t="s">
        <v>2607</v>
      </c>
      <c r="W376" t="s">
        <v>89</v>
      </c>
      <c r="X376" t="s">
        <v>3112</v>
      </c>
      <c r="Y376" t="s">
        <v>3113</v>
      </c>
      <c r="Z376" t="s">
        <v>2531</v>
      </c>
      <c r="AA376" t="s">
        <v>93</v>
      </c>
      <c r="AB376" t="s">
        <v>2098</v>
      </c>
      <c r="AC376" t="s">
        <v>3114</v>
      </c>
    </row>
    <row r="377" spans="1:29" x14ac:dyDescent="0.25">
      <c r="A377" t="s">
        <v>57</v>
      </c>
      <c r="B377" t="s">
        <v>273</v>
      </c>
      <c r="C377" t="s">
        <v>79</v>
      </c>
      <c r="D377" t="s">
        <v>274</v>
      </c>
      <c r="E377" t="s">
        <v>80</v>
      </c>
      <c r="F377" t="s">
        <v>75</v>
      </c>
      <c r="G377" t="s">
        <v>1730</v>
      </c>
      <c r="H377" t="s">
        <v>3115</v>
      </c>
      <c r="I377" t="s">
        <v>3116</v>
      </c>
      <c r="J377" t="s">
        <v>89</v>
      </c>
      <c r="K377" t="s">
        <v>2431</v>
      </c>
      <c r="L377" t="s">
        <v>2506</v>
      </c>
      <c r="M377" t="s">
        <v>2498</v>
      </c>
      <c r="N377" t="s">
        <v>2443</v>
      </c>
      <c r="O377" t="s">
        <v>89</v>
      </c>
      <c r="P377" t="s">
        <v>3117</v>
      </c>
      <c r="Q377" t="s">
        <v>3118</v>
      </c>
      <c r="R377" t="s">
        <v>2567</v>
      </c>
      <c r="S377" t="s">
        <v>93</v>
      </c>
      <c r="T377" t="s">
        <v>2108</v>
      </c>
      <c r="U377" t="s">
        <v>2498</v>
      </c>
      <c r="V377" t="s">
        <v>2607</v>
      </c>
      <c r="W377" t="s">
        <v>89</v>
      </c>
      <c r="X377" t="s">
        <v>3119</v>
      </c>
      <c r="Y377" t="s">
        <v>3120</v>
      </c>
      <c r="Z377" t="s">
        <v>2844</v>
      </c>
      <c r="AA377" t="s">
        <v>93</v>
      </c>
      <c r="AB377" t="s">
        <v>2299</v>
      </c>
      <c r="AC377" t="s">
        <v>3121</v>
      </c>
    </row>
    <row r="378" spans="1:29" x14ac:dyDescent="0.25">
      <c r="A378" t="s">
        <v>57</v>
      </c>
      <c r="B378" t="s">
        <v>273</v>
      </c>
      <c r="C378" t="s">
        <v>79</v>
      </c>
      <c r="D378" t="s">
        <v>274</v>
      </c>
      <c r="E378" t="s">
        <v>80</v>
      </c>
      <c r="F378" t="s">
        <v>76</v>
      </c>
      <c r="G378" t="s">
        <v>3122</v>
      </c>
      <c r="H378" t="s">
        <v>3123</v>
      </c>
      <c r="I378" t="s">
        <v>1435</v>
      </c>
      <c r="J378" t="s">
        <v>89</v>
      </c>
      <c r="K378" t="s">
        <v>89</v>
      </c>
      <c r="L378" t="s">
        <v>2432</v>
      </c>
      <c r="M378" t="s">
        <v>2433</v>
      </c>
      <c r="N378" t="s">
        <v>2443</v>
      </c>
      <c r="O378" t="s">
        <v>89</v>
      </c>
      <c r="P378" t="s">
        <v>1435</v>
      </c>
      <c r="Q378" t="s">
        <v>3124</v>
      </c>
      <c r="R378" t="s">
        <v>3125</v>
      </c>
      <c r="S378" t="s">
        <v>93</v>
      </c>
      <c r="T378" t="s">
        <v>1412</v>
      </c>
      <c r="U378" t="s">
        <v>2433</v>
      </c>
      <c r="V378" t="s">
        <v>2443</v>
      </c>
      <c r="W378" t="s">
        <v>89</v>
      </c>
      <c r="X378" t="s">
        <v>1435</v>
      </c>
      <c r="Y378" t="s">
        <v>3126</v>
      </c>
      <c r="Z378" t="s">
        <v>1367</v>
      </c>
      <c r="AA378" t="s">
        <v>93</v>
      </c>
      <c r="AB378" t="s">
        <v>1303</v>
      </c>
      <c r="AC378" t="s">
        <v>3127</v>
      </c>
    </row>
    <row r="379" spans="1:29" x14ac:dyDescent="0.25">
      <c r="A379" t="s">
        <v>57</v>
      </c>
      <c r="B379" t="s">
        <v>78</v>
      </c>
      <c r="C379" t="s">
        <v>666</v>
      </c>
      <c r="D379" t="s">
        <v>274</v>
      </c>
      <c r="E379" t="s">
        <v>80</v>
      </c>
      <c r="F379" t="s">
        <v>58</v>
      </c>
      <c r="G379" t="s">
        <v>3128</v>
      </c>
      <c r="H379" t="s">
        <v>3129</v>
      </c>
      <c r="I379" t="s">
        <v>3130</v>
      </c>
      <c r="J379" t="s">
        <v>89</v>
      </c>
      <c r="K379" t="s">
        <v>89</v>
      </c>
      <c r="L379" t="s">
        <v>2966</v>
      </c>
      <c r="M379" t="s">
        <v>2498</v>
      </c>
      <c r="N379" t="s">
        <v>2443</v>
      </c>
      <c r="O379" t="s">
        <v>89</v>
      </c>
      <c r="P379" t="s">
        <v>3131</v>
      </c>
      <c r="Q379" t="s">
        <v>3132</v>
      </c>
      <c r="R379" t="s">
        <v>3017</v>
      </c>
      <c r="S379" t="s">
        <v>93</v>
      </c>
      <c r="T379" t="s">
        <v>2376</v>
      </c>
      <c r="U379" t="s">
        <v>3133</v>
      </c>
      <c r="V379" t="s">
        <v>3134</v>
      </c>
      <c r="W379" t="s">
        <v>3135</v>
      </c>
      <c r="X379" t="s">
        <v>160</v>
      </c>
      <c r="Y379" t="s">
        <v>3136</v>
      </c>
      <c r="Z379" t="s">
        <v>2714</v>
      </c>
      <c r="AA379" t="s">
        <v>93</v>
      </c>
      <c r="AB379" t="s">
        <v>2379</v>
      </c>
      <c r="AC379" t="s">
        <v>3137</v>
      </c>
    </row>
    <row r="380" spans="1:29" x14ac:dyDescent="0.25">
      <c r="A380" t="s">
        <v>57</v>
      </c>
      <c r="B380" t="s">
        <v>78</v>
      </c>
      <c r="C380" t="s">
        <v>666</v>
      </c>
      <c r="D380" t="s">
        <v>274</v>
      </c>
      <c r="E380" t="s">
        <v>80</v>
      </c>
      <c r="F380" t="s">
        <v>59</v>
      </c>
      <c r="G380" t="s">
        <v>3138</v>
      </c>
      <c r="H380" t="s">
        <v>3139</v>
      </c>
      <c r="I380" t="s">
        <v>3140</v>
      </c>
      <c r="J380" t="s">
        <v>89</v>
      </c>
      <c r="K380" t="s">
        <v>89</v>
      </c>
      <c r="L380" t="s">
        <v>2472</v>
      </c>
      <c r="M380" t="s">
        <v>2498</v>
      </c>
      <c r="N380" t="s">
        <v>2607</v>
      </c>
      <c r="O380" t="s">
        <v>89</v>
      </c>
      <c r="P380" t="s">
        <v>3141</v>
      </c>
      <c r="Q380" t="s">
        <v>3142</v>
      </c>
      <c r="R380" t="s">
        <v>2475</v>
      </c>
      <c r="S380" t="s">
        <v>93</v>
      </c>
      <c r="T380" t="s">
        <v>2476</v>
      </c>
      <c r="U380" t="s">
        <v>3133</v>
      </c>
      <c r="V380" t="s">
        <v>3143</v>
      </c>
      <c r="W380" t="s">
        <v>3135</v>
      </c>
      <c r="X380" t="s">
        <v>160</v>
      </c>
      <c r="Y380" t="s">
        <v>3144</v>
      </c>
      <c r="Z380" t="s">
        <v>2479</v>
      </c>
      <c r="AA380" t="s">
        <v>93</v>
      </c>
      <c r="AB380" t="s">
        <v>2198</v>
      </c>
      <c r="AC380" t="s">
        <v>3145</v>
      </c>
    </row>
    <row r="381" spans="1:29" x14ac:dyDescent="0.25">
      <c r="A381" t="s">
        <v>57</v>
      </c>
      <c r="B381" t="s">
        <v>78</v>
      </c>
      <c r="C381" t="s">
        <v>666</v>
      </c>
      <c r="D381" t="s">
        <v>274</v>
      </c>
      <c r="E381" t="s">
        <v>80</v>
      </c>
      <c r="F381" t="s">
        <v>60</v>
      </c>
      <c r="G381" t="s">
        <v>3146</v>
      </c>
      <c r="H381" t="s">
        <v>3147</v>
      </c>
      <c r="I381" t="s">
        <v>1308</v>
      </c>
      <c r="J381" t="s">
        <v>89</v>
      </c>
      <c r="K381" t="s">
        <v>89</v>
      </c>
      <c r="L381" t="s">
        <v>2432</v>
      </c>
      <c r="M381" t="s">
        <v>2498</v>
      </c>
      <c r="N381" t="s">
        <v>2443</v>
      </c>
      <c r="O381" t="s">
        <v>89</v>
      </c>
      <c r="P381" t="s">
        <v>3148</v>
      </c>
      <c r="Q381" t="s">
        <v>3149</v>
      </c>
      <c r="R381" t="s">
        <v>2486</v>
      </c>
      <c r="S381" t="s">
        <v>93</v>
      </c>
      <c r="T381" t="s">
        <v>281</v>
      </c>
      <c r="U381" t="s">
        <v>3133</v>
      </c>
      <c r="V381" t="s">
        <v>3134</v>
      </c>
      <c r="W381" t="s">
        <v>3135</v>
      </c>
      <c r="X381" t="s">
        <v>160</v>
      </c>
      <c r="Y381" t="s">
        <v>3150</v>
      </c>
      <c r="Z381" t="s">
        <v>2489</v>
      </c>
      <c r="AA381" t="s">
        <v>93</v>
      </c>
      <c r="AB381" t="s">
        <v>285</v>
      </c>
      <c r="AC381" t="s">
        <v>3151</v>
      </c>
    </row>
    <row r="382" spans="1:29" x14ac:dyDescent="0.25">
      <c r="A382" t="s">
        <v>57</v>
      </c>
      <c r="B382" t="s">
        <v>78</v>
      </c>
      <c r="C382" t="s">
        <v>666</v>
      </c>
      <c r="D382" t="s">
        <v>274</v>
      </c>
      <c r="E382" t="s">
        <v>80</v>
      </c>
      <c r="F382" t="s">
        <v>61</v>
      </c>
      <c r="G382" t="s">
        <v>3152</v>
      </c>
      <c r="H382" t="s">
        <v>3153</v>
      </c>
      <c r="I382" t="s">
        <v>1702</v>
      </c>
      <c r="J382" t="s">
        <v>2516</v>
      </c>
      <c r="K382" t="s">
        <v>89</v>
      </c>
      <c r="L382" t="s">
        <v>2640</v>
      </c>
      <c r="M382" t="s">
        <v>2433</v>
      </c>
      <c r="N382" t="s">
        <v>2443</v>
      </c>
      <c r="O382" t="s">
        <v>89</v>
      </c>
      <c r="P382" t="s">
        <v>3141</v>
      </c>
      <c r="Q382" t="s">
        <v>3154</v>
      </c>
      <c r="R382" t="s">
        <v>2981</v>
      </c>
      <c r="S382" t="s">
        <v>93</v>
      </c>
      <c r="T382" t="s">
        <v>1309</v>
      </c>
      <c r="U382" t="s">
        <v>3133</v>
      </c>
      <c r="V382" t="s">
        <v>3155</v>
      </c>
      <c r="W382" t="s">
        <v>3135</v>
      </c>
      <c r="X382" t="s">
        <v>160</v>
      </c>
      <c r="Y382" t="s">
        <v>3156</v>
      </c>
      <c r="Z382" t="s">
        <v>2465</v>
      </c>
      <c r="AA382" t="s">
        <v>93</v>
      </c>
      <c r="AB382" t="s">
        <v>1568</v>
      </c>
      <c r="AC382" t="s">
        <v>3157</v>
      </c>
    </row>
    <row r="383" spans="1:29" x14ac:dyDescent="0.25">
      <c r="A383" t="s">
        <v>57</v>
      </c>
      <c r="B383" t="s">
        <v>78</v>
      </c>
      <c r="C383" t="s">
        <v>666</v>
      </c>
      <c r="D383" t="s">
        <v>274</v>
      </c>
      <c r="E383" t="s">
        <v>80</v>
      </c>
      <c r="F383" t="s">
        <v>62</v>
      </c>
      <c r="G383" t="s">
        <v>1929</v>
      </c>
      <c r="H383" t="s">
        <v>3158</v>
      </c>
      <c r="I383" t="s">
        <v>3159</v>
      </c>
      <c r="J383" t="s">
        <v>89</v>
      </c>
      <c r="K383" t="s">
        <v>89</v>
      </c>
      <c r="L383" t="s">
        <v>2966</v>
      </c>
      <c r="M383" t="s">
        <v>2498</v>
      </c>
      <c r="N383" t="s">
        <v>2443</v>
      </c>
      <c r="O383" t="s">
        <v>89</v>
      </c>
      <c r="P383" t="s">
        <v>3160</v>
      </c>
      <c r="Q383" t="s">
        <v>3161</v>
      </c>
      <c r="R383" t="s">
        <v>3043</v>
      </c>
      <c r="S383" t="s">
        <v>93</v>
      </c>
      <c r="T383" t="s">
        <v>2140</v>
      </c>
      <c r="U383" t="s">
        <v>3133</v>
      </c>
      <c r="V383" t="s">
        <v>3143</v>
      </c>
      <c r="W383" t="s">
        <v>3135</v>
      </c>
      <c r="X383" t="s">
        <v>160</v>
      </c>
      <c r="Y383" t="s">
        <v>3162</v>
      </c>
      <c r="Z383" t="s">
        <v>2936</v>
      </c>
      <c r="AA383" t="s">
        <v>93</v>
      </c>
      <c r="AB383" t="s">
        <v>2937</v>
      </c>
      <c r="AC383" t="s">
        <v>3163</v>
      </c>
    </row>
    <row r="384" spans="1:29" x14ac:dyDescent="0.25">
      <c r="A384" t="s">
        <v>57</v>
      </c>
      <c r="B384" t="s">
        <v>78</v>
      </c>
      <c r="C384" t="s">
        <v>666</v>
      </c>
      <c r="D384" t="s">
        <v>274</v>
      </c>
      <c r="E384" t="s">
        <v>80</v>
      </c>
      <c r="F384" t="s">
        <v>63</v>
      </c>
      <c r="G384" t="s">
        <v>3164</v>
      </c>
      <c r="H384" t="s">
        <v>3165</v>
      </c>
      <c r="I384" t="s">
        <v>3166</v>
      </c>
      <c r="J384" t="s">
        <v>89</v>
      </c>
      <c r="K384" t="s">
        <v>89</v>
      </c>
      <c r="L384" t="s">
        <v>2472</v>
      </c>
      <c r="M384" t="s">
        <v>2498</v>
      </c>
      <c r="N384" t="s">
        <v>2607</v>
      </c>
      <c r="O384" t="s">
        <v>89</v>
      </c>
      <c r="P384" t="s">
        <v>3167</v>
      </c>
      <c r="Q384" t="s">
        <v>3168</v>
      </c>
      <c r="R384" t="s">
        <v>2448</v>
      </c>
      <c r="S384" t="s">
        <v>93</v>
      </c>
      <c r="T384" t="s">
        <v>2173</v>
      </c>
      <c r="U384" t="s">
        <v>3133</v>
      </c>
      <c r="V384" t="s">
        <v>3155</v>
      </c>
      <c r="W384" t="s">
        <v>3135</v>
      </c>
      <c r="X384" t="s">
        <v>160</v>
      </c>
      <c r="Y384" t="s">
        <v>3169</v>
      </c>
      <c r="Z384" t="s">
        <v>2511</v>
      </c>
      <c r="AA384" t="s">
        <v>93</v>
      </c>
      <c r="AB384" t="s">
        <v>2081</v>
      </c>
      <c r="AC384" t="s">
        <v>3170</v>
      </c>
    </row>
    <row r="385" spans="1:29" x14ac:dyDescent="0.25">
      <c r="A385" t="s">
        <v>57</v>
      </c>
      <c r="B385" t="s">
        <v>78</v>
      </c>
      <c r="C385" t="s">
        <v>666</v>
      </c>
      <c r="D385" t="s">
        <v>274</v>
      </c>
      <c r="E385" t="s">
        <v>80</v>
      </c>
      <c r="F385" t="s">
        <v>64</v>
      </c>
      <c r="G385" t="s">
        <v>275</v>
      </c>
      <c r="H385" t="s">
        <v>3171</v>
      </c>
      <c r="I385" t="s">
        <v>278</v>
      </c>
      <c r="J385" t="s">
        <v>89</v>
      </c>
      <c r="K385" t="s">
        <v>89</v>
      </c>
      <c r="L385" t="s">
        <v>2506</v>
      </c>
      <c r="M385" t="s">
        <v>2498</v>
      </c>
      <c r="N385" t="s">
        <v>89</v>
      </c>
      <c r="O385" t="s">
        <v>89</v>
      </c>
      <c r="P385" t="s">
        <v>3148</v>
      </c>
      <c r="Q385" t="s">
        <v>3172</v>
      </c>
      <c r="R385" t="s">
        <v>2519</v>
      </c>
      <c r="S385" t="s">
        <v>93</v>
      </c>
      <c r="T385" t="s">
        <v>2187</v>
      </c>
      <c r="U385" t="s">
        <v>3006</v>
      </c>
      <c r="V385" t="s">
        <v>89</v>
      </c>
      <c r="W385" t="s">
        <v>3173</v>
      </c>
      <c r="X385" t="s">
        <v>1606</v>
      </c>
      <c r="Y385" t="s">
        <v>3174</v>
      </c>
      <c r="Z385" t="s">
        <v>2522</v>
      </c>
      <c r="AA385" t="s">
        <v>93</v>
      </c>
      <c r="AB385" t="s">
        <v>2523</v>
      </c>
      <c r="AC385" t="s">
        <v>3175</v>
      </c>
    </row>
    <row r="386" spans="1:29" x14ac:dyDescent="0.25">
      <c r="A386" t="s">
        <v>57</v>
      </c>
      <c r="B386" t="s">
        <v>78</v>
      </c>
      <c r="C386" t="s">
        <v>666</v>
      </c>
      <c r="D386" t="s">
        <v>274</v>
      </c>
      <c r="E386" t="s">
        <v>80</v>
      </c>
      <c r="F386" t="s">
        <v>65</v>
      </c>
      <c r="G386" t="s">
        <v>3176</v>
      </c>
      <c r="H386" t="s">
        <v>3177</v>
      </c>
      <c r="I386" t="s">
        <v>278</v>
      </c>
      <c r="J386" t="s">
        <v>89</v>
      </c>
      <c r="K386" t="s">
        <v>89</v>
      </c>
      <c r="L386" t="s">
        <v>2966</v>
      </c>
      <c r="M386" t="s">
        <v>3006</v>
      </c>
      <c r="N386" t="s">
        <v>89</v>
      </c>
      <c r="O386" t="s">
        <v>89</v>
      </c>
      <c r="P386" t="s">
        <v>1018</v>
      </c>
      <c r="Q386" t="s">
        <v>3178</v>
      </c>
      <c r="R386" t="s">
        <v>2479</v>
      </c>
      <c r="S386" t="s">
        <v>93</v>
      </c>
      <c r="T386" t="s">
        <v>2198</v>
      </c>
      <c r="U386" t="s">
        <v>3179</v>
      </c>
      <c r="V386" t="s">
        <v>89</v>
      </c>
      <c r="W386" t="s">
        <v>89</v>
      </c>
      <c r="X386" t="s">
        <v>3180</v>
      </c>
      <c r="Y386" t="s">
        <v>3181</v>
      </c>
      <c r="Z386" t="s">
        <v>2445</v>
      </c>
      <c r="AA386" t="s">
        <v>93</v>
      </c>
      <c r="AB386" t="s">
        <v>2446</v>
      </c>
      <c r="AC386" t="s">
        <v>3182</v>
      </c>
    </row>
    <row r="387" spans="1:29" x14ac:dyDescent="0.25">
      <c r="A387" t="s">
        <v>57</v>
      </c>
      <c r="B387" t="s">
        <v>78</v>
      </c>
      <c r="C387" t="s">
        <v>666</v>
      </c>
      <c r="D387" t="s">
        <v>274</v>
      </c>
      <c r="E387" t="s">
        <v>80</v>
      </c>
      <c r="F387" t="s">
        <v>66</v>
      </c>
      <c r="G387" t="s">
        <v>3183</v>
      </c>
      <c r="H387" t="s">
        <v>3184</v>
      </c>
      <c r="I387" t="s">
        <v>1191</v>
      </c>
      <c r="J387" t="s">
        <v>3185</v>
      </c>
      <c r="K387" t="s">
        <v>89</v>
      </c>
      <c r="L387" t="s">
        <v>2472</v>
      </c>
      <c r="M387" t="s">
        <v>3006</v>
      </c>
      <c r="N387" t="s">
        <v>89</v>
      </c>
      <c r="O387" t="s">
        <v>3186</v>
      </c>
      <c r="P387" t="s">
        <v>3187</v>
      </c>
      <c r="Q387" t="s">
        <v>3188</v>
      </c>
      <c r="R387" t="s">
        <v>2456</v>
      </c>
      <c r="S387" t="s">
        <v>93</v>
      </c>
      <c r="T387" t="s">
        <v>2257</v>
      </c>
      <c r="U387" t="s">
        <v>3179</v>
      </c>
      <c r="V387" t="s">
        <v>89</v>
      </c>
      <c r="W387" t="s">
        <v>3186</v>
      </c>
      <c r="X387" t="s">
        <v>3189</v>
      </c>
      <c r="Y387" t="s">
        <v>3190</v>
      </c>
      <c r="Z387" t="s">
        <v>2459</v>
      </c>
      <c r="AA387" t="s">
        <v>93</v>
      </c>
      <c r="AB387" t="s">
        <v>2460</v>
      </c>
      <c r="AC387" t="s">
        <v>3191</v>
      </c>
    </row>
    <row r="388" spans="1:29" x14ac:dyDescent="0.25">
      <c r="A388" t="s">
        <v>57</v>
      </c>
      <c r="B388" t="s">
        <v>78</v>
      </c>
      <c r="C388" t="s">
        <v>666</v>
      </c>
      <c r="D388" t="s">
        <v>274</v>
      </c>
      <c r="E388" t="s">
        <v>80</v>
      </c>
      <c r="F388" t="s">
        <v>67</v>
      </c>
      <c r="G388" t="s">
        <v>3192</v>
      </c>
      <c r="H388" t="s">
        <v>3193</v>
      </c>
      <c r="I388" t="s">
        <v>278</v>
      </c>
      <c r="J388" t="s">
        <v>89</v>
      </c>
      <c r="K388" t="s">
        <v>89</v>
      </c>
      <c r="L388" t="s">
        <v>2506</v>
      </c>
      <c r="M388" t="s">
        <v>3006</v>
      </c>
      <c r="N388" t="s">
        <v>89</v>
      </c>
      <c r="O388" t="s">
        <v>89</v>
      </c>
      <c r="P388" t="s">
        <v>980</v>
      </c>
      <c r="Q388" t="s">
        <v>3194</v>
      </c>
      <c r="R388" t="s">
        <v>2548</v>
      </c>
      <c r="S388" t="s">
        <v>93</v>
      </c>
      <c r="T388" t="s">
        <v>101</v>
      </c>
      <c r="U388" t="s">
        <v>3006</v>
      </c>
      <c r="V388" t="s">
        <v>89</v>
      </c>
      <c r="W388" t="s">
        <v>3186</v>
      </c>
      <c r="X388" t="s">
        <v>3195</v>
      </c>
      <c r="Y388" t="s">
        <v>3196</v>
      </c>
      <c r="Z388" t="s">
        <v>2551</v>
      </c>
      <c r="AA388" t="s">
        <v>93</v>
      </c>
      <c r="AB388" t="s">
        <v>1860</v>
      </c>
      <c r="AC388" t="s">
        <v>3197</v>
      </c>
    </row>
    <row r="389" spans="1:29" x14ac:dyDescent="0.25">
      <c r="A389" t="s">
        <v>57</v>
      </c>
      <c r="B389" t="s">
        <v>78</v>
      </c>
      <c r="C389" t="s">
        <v>666</v>
      </c>
      <c r="D389" t="s">
        <v>274</v>
      </c>
      <c r="E389" t="s">
        <v>80</v>
      </c>
      <c r="F389" t="s">
        <v>68</v>
      </c>
      <c r="G389" t="s">
        <v>3198</v>
      </c>
      <c r="H389" t="s">
        <v>3199</v>
      </c>
      <c r="I389" t="s">
        <v>278</v>
      </c>
      <c r="J389" t="s">
        <v>89</v>
      </c>
      <c r="K389" t="s">
        <v>89</v>
      </c>
      <c r="L389" t="s">
        <v>2472</v>
      </c>
      <c r="M389" t="s">
        <v>3179</v>
      </c>
      <c r="N389" t="s">
        <v>89</v>
      </c>
      <c r="O389" t="s">
        <v>3186</v>
      </c>
      <c r="P389" t="s">
        <v>3200</v>
      </c>
      <c r="Q389" t="s">
        <v>3201</v>
      </c>
      <c r="R389" t="s">
        <v>2511</v>
      </c>
      <c r="S389" t="s">
        <v>93</v>
      </c>
      <c r="T389" t="s">
        <v>2081</v>
      </c>
      <c r="U389" t="s">
        <v>3006</v>
      </c>
      <c r="V389" t="s">
        <v>89</v>
      </c>
      <c r="W389" t="s">
        <v>3186</v>
      </c>
      <c r="X389" t="s">
        <v>3202</v>
      </c>
      <c r="Y389" t="s">
        <v>3203</v>
      </c>
      <c r="Z389" t="s">
        <v>2486</v>
      </c>
      <c r="AA389" t="s">
        <v>93</v>
      </c>
      <c r="AB389" t="s">
        <v>281</v>
      </c>
      <c r="AC389" t="s">
        <v>3204</v>
      </c>
    </row>
    <row r="390" spans="1:29" x14ac:dyDescent="0.25">
      <c r="A390" t="s">
        <v>57</v>
      </c>
      <c r="B390" t="s">
        <v>78</v>
      </c>
      <c r="C390" t="s">
        <v>666</v>
      </c>
      <c r="D390" t="s">
        <v>274</v>
      </c>
      <c r="E390" t="s">
        <v>80</v>
      </c>
      <c r="F390" t="s">
        <v>69</v>
      </c>
      <c r="G390" t="s">
        <v>3205</v>
      </c>
      <c r="H390" t="s">
        <v>3206</v>
      </c>
      <c r="I390" t="s">
        <v>1113</v>
      </c>
      <c r="J390" t="s">
        <v>89</v>
      </c>
      <c r="K390" t="s">
        <v>89</v>
      </c>
      <c r="L390" t="s">
        <v>2472</v>
      </c>
      <c r="M390" t="s">
        <v>3006</v>
      </c>
      <c r="N390" t="s">
        <v>89</v>
      </c>
      <c r="O390" t="s">
        <v>89</v>
      </c>
      <c r="P390" t="s">
        <v>3207</v>
      </c>
      <c r="Q390" t="s">
        <v>3208</v>
      </c>
      <c r="R390" t="s">
        <v>2522</v>
      </c>
      <c r="S390" t="s">
        <v>93</v>
      </c>
      <c r="T390" t="s">
        <v>2523</v>
      </c>
      <c r="U390" t="s">
        <v>3006</v>
      </c>
      <c r="V390" t="s">
        <v>89</v>
      </c>
      <c r="W390" t="s">
        <v>3186</v>
      </c>
      <c r="X390" t="s">
        <v>3209</v>
      </c>
      <c r="Y390" t="s">
        <v>3210</v>
      </c>
      <c r="Z390" t="s">
        <v>2496</v>
      </c>
      <c r="AA390" t="s">
        <v>93</v>
      </c>
      <c r="AB390" t="s">
        <v>2497</v>
      </c>
      <c r="AC390" t="s">
        <v>3211</v>
      </c>
    </row>
    <row r="391" spans="1:29" x14ac:dyDescent="0.25">
      <c r="A391" t="s">
        <v>57</v>
      </c>
      <c r="B391" t="s">
        <v>78</v>
      </c>
      <c r="C391" t="s">
        <v>666</v>
      </c>
      <c r="D391" t="s">
        <v>274</v>
      </c>
      <c r="E391" t="s">
        <v>80</v>
      </c>
      <c r="F391" t="s">
        <v>70</v>
      </c>
      <c r="G391" t="s">
        <v>3212</v>
      </c>
      <c r="H391" t="s">
        <v>3213</v>
      </c>
      <c r="I391" t="s">
        <v>663</v>
      </c>
      <c r="J391" t="s">
        <v>89</v>
      </c>
      <c r="K391" t="s">
        <v>89</v>
      </c>
      <c r="L391" t="s">
        <v>2432</v>
      </c>
      <c r="M391" t="s">
        <v>2433</v>
      </c>
      <c r="N391" t="s">
        <v>89</v>
      </c>
      <c r="O391" t="s">
        <v>89</v>
      </c>
      <c r="P391" t="s">
        <v>3214</v>
      </c>
      <c r="Q391" t="s">
        <v>3215</v>
      </c>
      <c r="R391" t="s">
        <v>2533</v>
      </c>
      <c r="S391" t="s">
        <v>93</v>
      </c>
      <c r="T391" t="s">
        <v>2534</v>
      </c>
      <c r="U391" t="s">
        <v>3179</v>
      </c>
      <c r="V391" t="s">
        <v>89</v>
      </c>
      <c r="W391" t="s">
        <v>3186</v>
      </c>
      <c r="X391" t="s">
        <v>3216</v>
      </c>
      <c r="Y391" t="s">
        <v>3217</v>
      </c>
      <c r="Z391" t="s">
        <v>2585</v>
      </c>
      <c r="AA391" t="s">
        <v>93</v>
      </c>
      <c r="AB391" t="s">
        <v>820</v>
      </c>
      <c r="AC391" t="s">
        <v>3218</v>
      </c>
    </row>
    <row r="392" spans="1:29" x14ac:dyDescent="0.25">
      <c r="A392" t="s">
        <v>57</v>
      </c>
      <c r="B392" t="s">
        <v>78</v>
      </c>
      <c r="C392" t="s">
        <v>666</v>
      </c>
      <c r="D392" t="s">
        <v>274</v>
      </c>
      <c r="E392" t="s">
        <v>80</v>
      </c>
      <c r="F392" t="s">
        <v>71</v>
      </c>
      <c r="G392" t="s">
        <v>3219</v>
      </c>
      <c r="H392" t="s">
        <v>3220</v>
      </c>
      <c r="I392" t="s">
        <v>278</v>
      </c>
      <c r="J392" t="s">
        <v>89</v>
      </c>
      <c r="K392" t="s">
        <v>89</v>
      </c>
      <c r="L392" t="s">
        <v>2966</v>
      </c>
      <c r="M392" t="s">
        <v>2498</v>
      </c>
      <c r="N392" t="s">
        <v>2443</v>
      </c>
      <c r="O392" t="s">
        <v>89</v>
      </c>
      <c r="P392" t="s">
        <v>3221</v>
      </c>
      <c r="Q392" t="s">
        <v>3222</v>
      </c>
      <c r="R392" t="s">
        <v>3223</v>
      </c>
      <c r="S392" t="s">
        <v>93</v>
      </c>
      <c r="T392" t="s">
        <v>1705</v>
      </c>
      <c r="U392" t="s">
        <v>3133</v>
      </c>
      <c r="V392" t="s">
        <v>3143</v>
      </c>
      <c r="W392" t="s">
        <v>3135</v>
      </c>
      <c r="X392" t="s">
        <v>160</v>
      </c>
      <c r="Y392" t="s">
        <v>3224</v>
      </c>
      <c r="Z392" t="s">
        <v>2565</v>
      </c>
      <c r="AA392" t="s">
        <v>93</v>
      </c>
      <c r="AB392" t="s">
        <v>2089</v>
      </c>
      <c r="AC392" t="s">
        <v>3225</v>
      </c>
    </row>
    <row r="393" spans="1:29" x14ac:dyDescent="0.25">
      <c r="A393" t="s">
        <v>57</v>
      </c>
      <c r="B393" t="s">
        <v>78</v>
      </c>
      <c r="C393" t="s">
        <v>666</v>
      </c>
      <c r="D393" t="s">
        <v>274</v>
      </c>
      <c r="E393" t="s">
        <v>80</v>
      </c>
      <c r="F393" t="s">
        <v>72</v>
      </c>
      <c r="G393" t="s">
        <v>3226</v>
      </c>
      <c r="H393" t="s">
        <v>3227</v>
      </c>
      <c r="I393" t="s">
        <v>3116</v>
      </c>
      <c r="J393" t="s">
        <v>89</v>
      </c>
      <c r="K393" t="s">
        <v>2431</v>
      </c>
      <c r="L393" t="s">
        <v>89</v>
      </c>
      <c r="M393" t="s">
        <v>2433</v>
      </c>
      <c r="N393" t="s">
        <v>2443</v>
      </c>
      <c r="O393" t="s">
        <v>89</v>
      </c>
      <c r="P393" t="s">
        <v>3214</v>
      </c>
      <c r="Q393" t="s">
        <v>3228</v>
      </c>
      <c r="R393" t="s">
        <v>2456</v>
      </c>
      <c r="S393" t="s">
        <v>93</v>
      </c>
      <c r="T393" t="s">
        <v>2257</v>
      </c>
      <c r="U393" t="s">
        <v>3133</v>
      </c>
      <c r="V393" t="s">
        <v>3143</v>
      </c>
      <c r="W393" t="s">
        <v>3229</v>
      </c>
      <c r="X393" t="s">
        <v>160</v>
      </c>
      <c r="Y393" t="s">
        <v>3230</v>
      </c>
      <c r="Z393" t="s">
        <v>2459</v>
      </c>
      <c r="AA393" t="s">
        <v>93</v>
      </c>
      <c r="AB393" t="s">
        <v>2460</v>
      </c>
      <c r="AC393" t="s">
        <v>3231</v>
      </c>
    </row>
    <row r="394" spans="1:29" x14ac:dyDescent="0.25">
      <c r="A394" t="s">
        <v>57</v>
      </c>
      <c r="B394" t="s">
        <v>78</v>
      </c>
      <c r="C394" t="s">
        <v>666</v>
      </c>
      <c r="D394" t="s">
        <v>274</v>
      </c>
      <c r="E394" t="s">
        <v>80</v>
      </c>
      <c r="F394" t="s">
        <v>73</v>
      </c>
      <c r="G394" t="s">
        <v>3232</v>
      </c>
      <c r="H394" t="s">
        <v>3233</v>
      </c>
      <c r="I394" t="s">
        <v>305</v>
      </c>
      <c r="J394" t="s">
        <v>89</v>
      </c>
      <c r="K394" t="s">
        <v>89</v>
      </c>
      <c r="L394" t="s">
        <v>89</v>
      </c>
      <c r="M394" t="s">
        <v>2433</v>
      </c>
      <c r="N394" t="s">
        <v>2443</v>
      </c>
      <c r="O394" t="s">
        <v>89</v>
      </c>
      <c r="P394" t="s">
        <v>3148</v>
      </c>
      <c r="Q394" t="s">
        <v>3234</v>
      </c>
      <c r="R394" t="s">
        <v>2551</v>
      </c>
      <c r="S394" t="s">
        <v>93</v>
      </c>
      <c r="T394" t="s">
        <v>1860</v>
      </c>
      <c r="U394" t="s">
        <v>3133</v>
      </c>
      <c r="V394" t="s">
        <v>3235</v>
      </c>
      <c r="W394" t="s">
        <v>3229</v>
      </c>
      <c r="X394" t="s">
        <v>160</v>
      </c>
      <c r="Y394" t="s">
        <v>3236</v>
      </c>
      <c r="Z394" t="s">
        <v>2531</v>
      </c>
      <c r="AA394" t="s">
        <v>93</v>
      </c>
      <c r="AB394" t="s">
        <v>2098</v>
      </c>
      <c r="AC394" t="s">
        <v>3237</v>
      </c>
    </row>
    <row r="395" spans="1:29" x14ac:dyDescent="0.25">
      <c r="A395" t="s">
        <v>57</v>
      </c>
      <c r="B395" t="s">
        <v>78</v>
      </c>
      <c r="C395" t="s">
        <v>666</v>
      </c>
      <c r="D395" t="s">
        <v>274</v>
      </c>
      <c r="E395" t="s">
        <v>80</v>
      </c>
      <c r="F395" t="s">
        <v>74</v>
      </c>
      <c r="G395" t="s">
        <v>3238</v>
      </c>
      <c r="H395" t="s">
        <v>3239</v>
      </c>
      <c r="I395" t="s">
        <v>1056</v>
      </c>
      <c r="J395" t="s">
        <v>89</v>
      </c>
      <c r="K395" t="s">
        <v>89</v>
      </c>
      <c r="L395" t="s">
        <v>2432</v>
      </c>
      <c r="M395" t="s">
        <v>2433</v>
      </c>
      <c r="N395" t="s">
        <v>2443</v>
      </c>
      <c r="O395" t="s">
        <v>89</v>
      </c>
      <c r="P395" t="s">
        <v>1704</v>
      </c>
      <c r="Q395" t="s">
        <v>3240</v>
      </c>
      <c r="R395" t="s">
        <v>2559</v>
      </c>
      <c r="S395" t="s">
        <v>93</v>
      </c>
      <c r="T395" t="s">
        <v>109</v>
      </c>
      <c r="U395" t="s">
        <v>3133</v>
      </c>
      <c r="V395" t="s">
        <v>3241</v>
      </c>
      <c r="W395" t="s">
        <v>3229</v>
      </c>
      <c r="X395" t="s">
        <v>160</v>
      </c>
      <c r="Y395" t="s">
        <v>3242</v>
      </c>
      <c r="Z395" t="s">
        <v>2719</v>
      </c>
      <c r="AA395" t="s">
        <v>93</v>
      </c>
      <c r="AB395" t="s">
        <v>113</v>
      </c>
      <c r="AC395" t="s">
        <v>3243</v>
      </c>
    </row>
    <row r="396" spans="1:29" x14ac:dyDescent="0.25">
      <c r="A396" t="s">
        <v>57</v>
      </c>
      <c r="B396" t="s">
        <v>78</v>
      </c>
      <c r="C396" t="s">
        <v>666</v>
      </c>
      <c r="D396" t="s">
        <v>274</v>
      </c>
      <c r="E396" t="s">
        <v>80</v>
      </c>
      <c r="F396" t="s">
        <v>75</v>
      </c>
      <c r="G396" t="s">
        <v>3244</v>
      </c>
      <c r="H396" t="s">
        <v>3245</v>
      </c>
      <c r="I396" t="s">
        <v>127</v>
      </c>
      <c r="J396" t="s">
        <v>89</v>
      </c>
      <c r="K396" t="s">
        <v>89</v>
      </c>
      <c r="L396" t="s">
        <v>2966</v>
      </c>
      <c r="M396" t="s">
        <v>2498</v>
      </c>
      <c r="N396" t="s">
        <v>2607</v>
      </c>
      <c r="O396" t="s">
        <v>89</v>
      </c>
      <c r="P396" t="s">
        <v>3246</v>
      </c>
      <c r="Q396" t="s">
        <v>3247</v>
      </c>
      <c r="R396" t="s">
        <v>2714</v>
      </c>
      <c r="S396" t="s">
        <v>93</v>
      </c>
      <c r="T396" t="s">
        <v>2379</v>
      </c>
      <c r="U396" t="s">
        <v>3133</v>
      </c>
      <c r="V396" t="s">
        <v>3155</v>
      </c>
      <c r="W396" t="s">
        <v>3135</v>
      </c>
      <c r="X396" t="s">
        <v>160</v>
      </c>
      <c r="Y396" t="s">
        <v>3248</v>
      </c>
      <c r="Z396" t="s">
        <v>2435</v>
      </c>
      <c r="AA396" t="s">
        <v>93</v>
      </c>
      <c r="AB396" t="s">
        <v>1950</v>
      </c>
      <c r="AC396" t="s">
        <v>3249</v>
      </c>
    </row>
    <row r="397" spans="1:29" x14ac:dyDescent="0.25">
      <c r="A397" t="s">
        <v>57</v>
      </c>
      <c r="B397" t="s">
        <v>78</v>
      </c>
      <c r="C397" t="s">
        <v>666</v>
      </c>
      <c r="D397" t="s">
        <v>274</v>
      </c>
      <c r="E397" t="s">
        <v>80</v>
      </c>
      <c r="F397" t="s">
        <v>76</v>
      </c>
      <c r="G397" t="s">
        <v>3250</v>
      </c>
      <c r="H397" t="s">
        <v>3251</v>
      </c>
      <c r="I397" t="s">
        <v>278</v>
      </c>
      <c r="J397" t="s">
        <v>89</v>
      </c>
      <c r="K397" t="s">
        <v>89</v>
      </c>
      <c r="L397" t="s">
        <v>2506</v>
      </c>
      <c r="M397" t="s">
        <v>2498</v>
      </c>
      <c r="N397" t="s">
        <v>2607</v>
      </c>
      <c r="O397" t="s">
        <v>89</v>
      </c>
      <c r="P397" t="s">
        <v>3252</v>
      </c>
      <c r="Q397" t="s">
        <v>3253</v>
      </c>
      <c r="R397" t="s">
        <v>1545</v>
      </c>
      <c r="S397" t="s">
        <v>93</v>
      </c>
      <c r="T397" t="s">
        <v>1222</v>
      </c>
      <c r="U397" t="s">
        <v>3133</v>
      </c>
      <c r="V397" t="s">
        <v>3254</v>
      </c>
      <c r="W397" t="s">
        <v>3135</v>
      </c>
      <c r="X397" t="s">
        <v>160</v>
      </c>
      <c r="Y397" t="s">
        <v>3255</v>
      </c>
      <c r="Z397" t="s">
        <v>2610</v>
      </c>
      <c r="AA397" t="s">
        <v>93</v>
      </c>
      <c r="AB397" t="s">
        <v>1578</v>
      </c>
      <c r="AC397" t="s">
        <v>3256</v>
      </c>
    </row>
    <row r="398" spans="1:29" x14ac:dyDescent="0.25">
      <c r="A398" t="s">
        <v>57</v>
      </c>
      <c r="B398" t="s">
        <v>814</v>
      </c>
      <c r="C398" t="s">
        <v>666</v>
      </c>
      <c r="D398" t="s">
        <v>79</v>
      </c>
      <c r="E398" t="s">
        <v>80</v>
      </c>
      <c r="F398" t="s">
        <v>58</v>
      </c>
      <c r="G398" t="s">
        <v>3257</v>
      </c>
      <c r="H398" t="s">
        <v>3258</v>
      </c>
      <c r="I398" t="s">
        <v>140</v>
      </c>
      <c r="J398" t="s">
        <v>3259</v>
      </c>
      <c r="K398" t="s">
        <v>89</v>
      </c>
      <c r="L398" t="s">
        <v>89</v>
      </c>
      <c r="M398" t="s">
        <v>2433</v>
      </c>
      <c r="N398" t="s">
        <v>2443</v>
      </c>
      <c r="O398" t="s">
        <v>89</v>
      </c>
      <c r="P398" t="s">
        <v>3260</v>
      </c>
      <c r="Q398" t="s">
        <v>3261</v>
      </c>
      <c r="R398" t="s">
        <v>2936</v>
      </c>
      <c r="S398" t="s">
        <v>93</v>
      </c>
      <c r="T398" t="s">
        <v>2937</v>
      </c>
      <c r="U398" t="s">
        <v>3133</v>
      </c>
      <c r="V398" t="s">
        <v>3262</v>
      </c>
      <c r="W398" t="s">
        <v>3229</v>
      </c>
      <c r="X398" t="s">
        <v>160</v>
      </c>
      <c r="Y398" t="s">
        <v>3263</v>
      </c>
      <c r="Z398" t="s">
        <v>2475</v>
      </c>
      <c r="AA398" t="s">
        <v>93</v>
      </c>
      <c r="AB398" t="s">
        <v>2476</v>
      </c>
      <c r="AC398" t="s">
        <v>3264</v>
      </c>
    </row>
    <row r="399" spans="1:29" x14ac:dyDescent="0.25">
      <c r="A399" t="s">
        <v>57</v>
      </c>
      <c r="B399" t="s">
        <v>814</v>
      </c>
      <c r="C399" t="s">
        <v>666</v>
      </c>
      <c r="D399" t="s">
        <v>79</v>
      </c>
      <c r="E399" t="s">
        <v>80</v>
      </c>
      <c r="F399" t="s">
        <v>59</v>
      </c>
      <c r="G399" t="s">
        <v>3265</v>
      </c>
      <c r="H399" t="s">
        <v>3266</v>
      </c>
      <c r="I399" t="s">
        <v>1113</v>
      </c>
      <c r="J399" t="s">
        <v>89</v>
      </c>
      <c r="K399" t="s">
        <v>89</v>
      </c>
      <c r="L399" t="s">
        <v>89</v>
      </c>
      <c r="M399" t="s">
        <v>89</v>
      </c>
      <c r="N399" t="s">
        <v>2443</v>
      </c>
      <c r="O399" t="s">
        <v>89</v>
      </c>
      <c r="P399" t="s">
        <v>3267</v>
      </c>
      <c r="Q399" t="s">
        <v>3268</v>
      </c>
      <c r="R399" t="s">
        <v>2486</v>
      </c>
      <c r="S399" t="s">
        <v>93</v>
      </c>
      <c r="T399" t="s">
        <v>281</v>
      </c>
      <c r="U399" t="s">
        <v>3133</v>
      </c>
      <c r="V399" t="s">
        <v>3241</v>
      </c>
      <c r="W399" t="s">
        <v>3229</v>
      </c>
      <c r="X399" t="s">
        <v>160</v>
      </c>
      <c r="Y399" t="s">
        <v>3269</v>
      </c>
      <c r="Z399" t="s">
        <v>2489</v>
      </c>
      <c r="AA399" t="s">
        <v>93</v>
      </c>
      <c r="AB399" t="s">
        <v>285</v>
      </c>
      <c r="AC399" t="s">
        <v>3270</v>
      </c>
    </row>
    <row r="400" spans="1:29" x14ac:dyDescent="0.25">
      <c r="A400" t="s">
        <v>57</v>
      </c>
      <c r="B400" t="s">
        <v>814</v>
      </c>
      <c r="C400" t="s">
        <v>666</v>
      </c>
      <c r="D400" t="s">
        <v>79</v>
      </c>
      <c r="E400" t="s">
        <v>80</v>
      </c>
      <c r="F400" t="s">
        <v>60</v>
      </c>
      <c r="G400" t="s">
        <v>3271</v>
      </c>
      <c r="H400" t="s">
        <v>3272</v>
      </c>
      <c r="I400" t="s">
        <v>1024</v>
      </c>
      <c r="J400" t="s">
        <v>89</v>
      </c>
      <c r="K400" t="s">
        <v>89</v>
      </c>
      <c r="L400" t="s">
        <v>2432</v>
      </c>
      <c r="M400" t="s">
        <v>2433</v>
      </c>
      <c r="N400" t="s">
        <v>2443</v>
      </c>
      <c r="O400" t="s">
        <v>89</v>
      </c>
      <c r="P400" t="s">
        <v>3148</v>
      </c>
      <c r="Q400" t="s">
        <v>3273</v>
      </c>
      <c r="R400" t="s">
        <v>2496</v>
      </c>
      <c r="S400" t="s">
        <v>93</v>
      </c>
      <c r="T400" t="s">
        <v>2497</v>
      </c>
      <c r="U400" t="s">
        <v>3133</v>
      </c>
      <c r="V400" t="s">
        <v>3143</v>
      </c>
      <c r="W400" t="s">
        <v>3229</v>
      </c>
      <c r="X400" t="s">
        <v>160</v>
      </c>
      <c r="Y400" t="s">
        <v>3274</v>
      </c>
      <c r="Z400" t="s">
        <v>2501</v>
      </c>
      <c r="AA400" t="s">
        <v>93</v>
      </c>
      <c r="AB400" t="s">
        <v>94</v>
      </c>
      <c r="AC400" t="s">
        <v>3275</v>
      </c>
    </row>
    <row r="401" spans="1:29" x14ac:dyDescent="0.25">
      <c r="A401" t="s">
        <v>57</v>
      </c>
      <c r="B401" t="s">
        <v>814</v>
      </c>
      <c r="C401" t="s">
        <v>666</v>
      </c>
      <c r="D401" t="s">
        <v>79</v>
      </c>
      <c r="E401" t="s">
        <v>80</v>
      </c>
      <c r="F401" t="s">
        <v>61</v>
      </c>
      <c r="G401" t="s">
        <v>3276</v>
      </c>
      <c r="H401" t="s">
        <v>3277</v>
      </c>
      <c r="I401" t="s">
        <v>812</v>
      </c>
      <c r="J401" t="s">
        <v>89</v>
      </c>
      <c r="K401" t="s">
        <v>89</v>
      </c>
      <c r="L401" t="s">
        <v>89</v>
      </c>
      <c r="M401" t="s">
        <v>2433</v>
      </c>
      <c r="N401" t="s">
        <v>2443</v>
      </c>
      <c r="O401" t="s">
        <v>89</v>
      </c>
      <c r="P401" t="s">
        <v>3278</v>
      </c>
      <c r="Q401" t="s">
        <v>3279</v>
      </c>
      <c r="R401" t="s">
        <v>3089</v>
      </c>
      <c r="S401" t="s">
        <v>93</v>
      </c>
      <c r="T401" t="s">
        <v>1592</v>
      </c>
      <c r="U401" t="s">
        <v>3133</v>
      </c>
      <c r="V401" t="s">
        <v>3254</v>
      </c>
      <c r="W401" t="s">
        <v>3229</v>
      </c>
      <c r="X401" t="s">
        <v>160</v>
      </c>
      <c r="Y401" t="s">
        <v>3280</v>
      </c>
      <c r="Z401" t="s">
        <v>2652</v>
      </c>
      <c r="AA401" t="s">
        <v>93</v>
      </c>
      <c r="AB401" t="s">
        <v>2021</v>
      </c>
      <c r="AC401" t="s">
        <v>3281</v>
      </c>
    </row>
    <row r="402" spans="1:29" x14ac:dyDescent="0.25">
      <c r="A402" t="s">
        <v>57</v>
      </c>
      <c r="B402" t="s">
        <v>814</v>
      </c>
      <c r="C402" t="s">
        <v>666</v>
      </c>
      <c r="D402" t="s">
        <v>79</v>
      </c>
      <c r="E402" t="s">
        <v>80</v>
      </c>
      <c r="F402" t="s">
        <v>62</v>
      </c>
      <c r="G402" t="s">
        <v>3282</v>
      </c>
      <c r="H402" t="s">
        <v>3283</v>
      </c>
      <c r="I402" t="s">
        <v>775</v>
      </c>
      <c r="J402" t="s">
        <v>3185</v>
      </c>
      <c r="K402" t="s">
        <v>89</v>
      </c>
      <c r="L402" t="s">
        <v>89</v>
      </c>
      <c r="M402" t="s">
        <v>2433</v>
      </c>
      <c r="N402" t="s">
        <v>2443</v>
      </c>
      <c r="O402" t="s">
        <v>89</v>
      </c>
      <c r="P402" t="s">
        <v>3160</v>
      </c>
      <c r="Q402" t="s">
        <v>3284</v>
      </c>
      <c r="R402" t="s">
        <v>2448</v>
      </c>
      <c r="S402" t="s">
        <v>93</v>
      </c>
      <c r="T402" t="s">
        <v>2173</v>
      </c>
      <c r="U402" t="s">
        <v>3133</v>
      </c>
      <c r="V402" t="s">
        <v>3241</v>
      </c>
      <c r="W402" t="s">
        <v>3229</v>
      </c>
      <c r="X402" t="s">
        <v>160</v>
      </c>
      <c r="Y402" t="s">
        <v>3285</v>
      </c>
      <c r="Z402" t="s">
        <v>2511</v>
      </c>
      <c r="AA402" t="s">
        <v>93</v>
      </c>
      <c r="AB402" t="s">
        <v>2081</v>
      </c>
      <c r="AC402" t="s">
        <v>3286</v>
      </c>
    </row>
    <row r="403" spans="1:29" x14ac:dyDescent="0.25">
      <c r="A403" t="s">
        <v>57</v>
      </c>
      <c r="B403" t="s">
        <v>814</v>
      </c>
      <c r="C403" t="s">
        <v>666</v>
      </c>
      <c r="D403" t="s">
        <v>79</v>
      </c>
      <c r="E403" t="s">
        <v>80</v>
      </c>
      <c r="F403" t="s">
        <v>63</v>
      </c>
      <c r="G403" t="s">
        <v>3287</v>
      </c>
      <c r="H403" t="s">
        <v>3288</v>
      </c>
      <c r="I403" t="s">
        <v>1798</v>
      </c>
      <c r="J403" t="s">
        <v>3185</v>
      </c>
      <c r="K403" t="s">
        <v>89</v>
      </c>
      <c r="L403" t="s">
        <v>2432</v>
      </c>
      <c r="M403" t="s">
        <v>2433</v>
      </c>
      <c r="N403" t="s">
        <v>2443</v>
      </c>
      <c r="O403" t="s">
        <v>89</v>
      </c>
      <c r="P403" t="s">
        <v>3267</v>
      </c>
      <c r="Q403" t="s">
        <v>3289</v>
      </c>
      <c r="R403" t="s">
        <v>2519</v>
      </c>
      <c r="S403" t="s">
        <v>93</v>
      </c>
      <c r="T403" t="s">
        <v>2187</v>
      </c>
      <c r="U403" t="s">
        <v>3133</v>
      </c>
      <c r="V403" t="s">
        <v>3290</v>
      </c>
      <c r="W403" t="s">
        <v>3229</v>
      </c>
      <c r="X403" t="s">
        <v>160</v>
      </c>
      <c r="Y403" t="s">
        <v>3291</v>
      </c>
      <c r="Z403" t="s">
        <v>2522</v>
      </c>
      <c r="AA403" t="s">
        <v>93</v>
      </c>
      <c r="AB403" t="s">
        <v>2523</v>
      </c>
      <c r="AC403" t="s">
        <v>3292</v>
      </c>
    </row>
    <row r="404" spans="1:29" x14ac:dyDescent="0.25">
      <c r="A404" t="s">
        <v>57</v>
      </c>
      <c r="B404" t="s">
        <v>814</v>
      </c>
      <c r="C404" t="s">
        <v>666</v>
      </c>
      <c r="D404" t="s">
        <v>79</v>
      </c>
      <c r="E404" t="s">
        <v>80</v>
      </c>
      <c r="F404" t="s">
        <v>64</v>
      </c>
      <c r="G404" t="s">
        <v>3293</v>
      </c>
      <c r="H404" t="s">
        <v>3294</v>
      </c>
      <c r="I404" t="s">
        <v>257</v>
      </c>
      <c r="J404" t="s">
        <v>89</v>
      </c>
      <c r="K404" t="s">
        <v>89</v>
      </c>
      <c r="L404" t="s">
        <v>89</v>
      </c>
      <c r="M404" t="s">
        <v>89</v>
      </c>
      <c r="N404" t="s">
        <v>2443</v>
      </c>
      <c r="O404" t="s">
        <v>89</v>
      </c>
      <c r="P404" t="s">
        <v>3295</v>
      </c>
      <c r="Q404" t="s">
        <v>3296</v>
      </c>
      <c r="R404" t="s">
        <v>2531</v>
      </c>
      <c r="S404" t="s">
        <v>93</v>
      </c>
      <c r="T404" t="s">
        <v>2098</v>
      </c>
      <c r="U404" t="s">
        <v>3133</v>
      </c>
      <c r="V404" t="s">
        <v>3290</v>
      </c>
      <c r="W404" t="s">
        <v>3229</v>
      </c>
      <c r="X404" t="s">
        <v>160</v>
      </c>
      <c r="Y404" t="s">
        <v>3297</v>
      </c>
      <c r="Z404" t="s">
        <v>2533</v>
      </c>
      <c r="AA404" t="s">
        <v>93</v>
      </c>
      <c r="AB404" t="s">
        <v>2534</v>
      </c>
      <c r="AC404" t="s">
        <v>3298</v>
      </c>
    </row>
    <row r="405" spans="1:29" x14ac:dyDescent="0.25">
      <c r="A405" t="s">
        <v>57</v>
      </c>
      <c r="B405" t="s">
        <v>814</v>
      </c>
      <c r="C405" t="s">
        <v>666</v>
      </c>
      <c r="D405" t="s">
        <v>79</v>
      </c>
      <c r="E405" t="s">
        <v>80</v>
      </c>
      <c r="F405" t="s">
        <v>65</v>
      </c>
      <c r="G405" t="s">
        <v>3299</v>
      </c>
      <c r="H405" t="s">
        <v>3300</v>
      </c>
      <c r="I405" t="s">
        <v>1948</v>
      </c>
      <c r="J405" t="s">
        <v>89</v>
      </c>
      <c r="K405" t="s">
        <v>89</v>
      </c>
      <c r="L405" t="s">
        <v>2506</v>
      </c>
      <c r="M405" t="s">
        <v>2498</v>
      </c>
      <c r="N405" t="s">
        <v>2443</v>
      </c>
      <c r="O405" t="s">
        <v>89</v>
      </c>
      <c r="P405" t="s">
        <v>3301</v>
      </c>
      <c r="Q405" t="s">
        <v>3302</v>
      </c>
      <c r="R405" t="s">
        <v>2456</v>
      </c>
      <c r="S405" t="s">
        <v>93</v>
      </c>
      <c r="T405" t="s">
        <v>2257</v>
      </c>
      <c r="U405" t="s">
        <v>3133</v>
      </c>
      <c r="V405" t="s">
        <v>3235</v>
      </c>
      <c r="W405" t="s">
        <v>3229</v>
      </c>
      <c r="X405" t="s">
        <v>160</v>
      </c>
      <c r="Y405" t="s">
        <v>3303</v>
      </c>
      <c r="Z405" t="s">
        <v>2459</v>
      </c>
      <c r="AA405" t="s">
        <v>93</v>
      </c>
      <c r="AB405" t="s">
        <v>2460</v>
      </c>
      <c r="AC405" t="s">
        <v>3304</v>
      </c>
    </row>
    <row r="406" spans="1:29" x14ac:dyDescent="0.25">
      <c r="A406" t="s">
        <v>57</v>
      </c>
      <c r="B406" t="s">
        <v>814</v>
      </c>
      <c r="C406" t="s">
        <v>666</v>
      </c>
      <c r="D406" t="s">
        <v>79</v>
      </c>
      <c r="E406" t="s">
        <v>80</v>
      </c>
      <c r="F406" t="s">
        <v>66</v>
      </c>
      <c r="G406" t="s">
        <v>3305</v>
      </c>
      <c r="H406" t="s">
        <v>3306</v>
      </c>
      <c r="I406" t="s">
        <v>639</v>
      </c>
      <c r="J406" t="s">
        <v>2580</v>
      </c>
      <c r="K406" t="s">
        <v>89</v>
      </c>
      <c r="L406" t="s">
        <v>2472</v>
      </c>
      <c r="M406" t="s">
        <v>2433</v>
      </c>
      <c r="N406" t="s">
        <v>2443</v>
      </c>
      <c r="O406" t="s">
        <v>89</v>
      </c>
      <c r="P406" t="s">
        <v>3307</v>
      </c>
      <c r="Q406" t="s">
        <v>3308</v>
      </c>
      <c r="R406" t="s">
        <v>2548</v>
      </c>
      <c r="S406" t="s">
        <v>93</v>
      </c>
      <c r="T406" t="s">
        <v>101</v>
      </c>
      <c r="U406" t="s">
        <v>3133</v>
      </c>
      <c r="V406" t="s">
        <v>3241</v>
      </c>
      <c r="W406" t="s">
        <v>3229</v>
      </c>
      <c r="X406" t="s">
        <v>160</v>
      </c>
      <c r="Y406" t="s">
        <v>3309</v>
      </c>
      <c r="Z406" t="s">
        <v>2551</v>
      </c>
      <c r="AA406" t="s">
        <v>93</v>
      </c>
      <c r="AB406" t="s">
        <v>1860</v>
      </c>
      <c r="AC406" t="s">
        <v>3310</v>
      </c>
    </row>
    <row r="407" spans="1:29" x14ac:dyDescent="0.25">
      <c r="A407" t="s">
        <v>57</v>
      </c>
      <c r="B407" t="s">
        <v>814</v>
      </c>
      <c r="C407" t="s">
        <v>666</v>
      </c>
      <c r="D407" t="s">
        <v>79</v>
      </c>
      <c r="E407" t="s">
        <v>80</v>
      </c>
      <c r="F407" t="s">
        <v>67</v>
      </c>
      <c r="G407" t="s">
        <v>3311</v>
      </c>
      <c r="H407" t="s">
        <v>3312</v>
      </c>
      <c r="I407" t="s">
        <v>1113</v>
      </c>
      <c r="J407" t="s">
        <v>89</v>
      </c>
      <c r="K407" t="s">
        <v>89</v>
      </c>
      <c r="L407" t="s">
        <v>2472</v>
      </c>
      <c r="M407" t="s">
        <v>2498</v>
      </c>
      <c r="N407" t="s">
        <v>2443</v>
      </c>
      <c r="O407" t="s">
        <v>89</v>
      </c>
      <c r="P407" t="s">
        <v>3313</v>
      </c>
      <c r="Q407" t="s">
        <v>3314</v>
      </c>
      <c r="R407" t="s">
        <v>2557</v>
      </c>
      <c r="S407" t="s">
        <v>93</v>
      </c>
      <c r="T407" t="s">
        <v>374</v>
      </c>
      <c r="U407" t="s">
        <v>3133</v>
      </c>
      <c r="V407" t="s">
        <v>3254</v>
      </c>
      <c r="W407" t="s">
        <v>3315</v>
      </c>
      <c r="X407" t="s">
        <v>160</v>
      </c>
      <c r="Y407" t="s">
        <v>3316</v>
      </c>
      <c r="Z407" t="s">
        <v>2559</v>
      </c>
      <c r="AA407" t="s">
        <v>93</v>
      </c>
      <c r="AB407" t="s">
        <v>109</v>
      </c>
      <c r="AC407" t="s">
        <v>3317</v>
      </c>
    </row>
    <row r="408" spans="1:29" x14ac:dyDescent="0.25">
      <c r="A408" t="s">
        <v>57</v>
      </c>
      <c r="B408" t="s">
        <v>814</v>
      </c>
      <c r="C408" t="s">
        <v>666</v>
      </c>
      <c r="D408" t="s">
        <v>79</v>
      </c>
      <c r="E408" t="s">
        <v>80</v>
      </c>
      <c r="F408" t="s">
        <v>68</v>
      </c>
      <c r="G408" t="s">
        <v>3318</v>
      </c>
      <c r="H408" t="s">
        <v>3319</v>
      </c>
      <c r="I408" t="s">
        <v>1644</v>
      </c>
      <c r="J408" t="s">
        <v>89</v>
      </c>
      <c r="K408" t="s">
        <v>89</v>
      </c>
      <c r="L408" t="s">
        <v>2432</v>
      </c>
      <c r="M408" t="s">
        <v>2433</v>
      </c>
      <c r="N408" t="s">
        <v>2443</v>
      </c>
      <c r="O408" t="s">
        <v>89</v>
      </c>
      <c r="P408" t="s">
        <v>3267</v>
      </c>
      <c r="Q408" t="s">
        <v>3320</v>
      </c>
      <c r="R408" t="s">
        <v>2522</v>
      </c>
      <c r="S408" t="s">
        <v>93</v>
      </c>
      <c r="T408" t="s">
        <v>2523</v>
      </c>
      <c r="U408" t="s">
        <v>3133</v>
      </c>
      <c r="V408" t="s">
        <v>3241</v>
      </c>
      <c r="W408" t="s">
        <v>3229</v>
      </c>
      <c r="X408" t="s">
        <v>160</v>
      </c>
      <c r="Y408" t="s">
        <v>3321</v>
      </c>
      <c r="Z408" t="s">
        <v>2496</v>
      </c>
      <c r="AA408" t="s">
        <v>93</v>
      </c>
      <c r="AB408" t="s">
        <v>2497</v>
      </c>
      <c r="AC408" t="s">
        <v>3322</v>
      </c>
    </row>
    <row r="409" spans="1:29" x14ac:dyDescent="0.25">
      <c r="A409" t="s">
        <v>57</v>
      </c>
      <c r="B409" t="s">
        <v>814</v>
      </c>
      <c r="C409" t="s">
        <v>666</v>
      </c>
      <c r="D409" t="s">
        <v>79</v>
      </c>
      <c r="E409" t="s">
        <v>80</v>
      </c>
      <c r="F409" t="s">
        <v>69</v>
      </c>
      <c r="G409" t="s">
        <v>3323</v>
      </c>
      <c r="H409" t="s">
        <v>3324</v>
      </c>
      <c r="I409" t="s">
        <v>930</v>
      </c>
      <c r="J409" t="s">
        <v>89</v>
      </c>
      <c r="K409" t="s">
        <v>89</v>
      </c>
      <c r="L409" t="s">
        <v>2432</v>
      </c>
      <c r="M409" t="s">
        <v>2433</v>
      </c>
      <c r="N409" t="s">
        <v>2443</v>
      </c>
      <c r="O409" t="s">
        <v>89</v>
      </c>
      <c r="P409" t="s">
        <v>3246</v>
      </c>
      <c r="Q409" t="s">
        <v>3325</v>
      </c>
      <c r="R409" t="s">
        <v>2585</v>
      </c>
      <c r="S409" t="s">
        <v>93</v>
      </c>
      <c r="T409" t="s">
        <v>820</v>
      </c>
      <c r="U409" t="s">
        <v>3133</v>
      </c>
      <c r="V409" t="s">
        <v>3241</v>
      </c>
      <c r="W409" t="s">
        <v>3229</v>
      </c>
      <c r="X409" t="s">
        <v>160</v>
      </c>
      <c r="Y409" t="s">
        <v>3326</v>
      </c>
      <c r="Z409" t="s">
        <v>2688</v>
      </c>
      <c r="AA409" t="s">
        <v>93</v>
      </c>
      <c r="AB409" t="s">
        <v>823</v>
      </c>
      <c r="AC409" t="s">
        <v>3327</v>
      </c>
    </row>
    <row r="410" spans="1:29" x14ac:dyDescent="0.25">
      <c r="A410" t="s">
        <v>57</v>
      </c>
      <c r="B410" t="s">
        <v>814</v>
      </c>
      <c r="C410" t="s">
        <v>666</v>
      </c>
      <c r="D410" t="s">
        <v>79</v>
      </c>
      <c r="E410" t="s">
        <v>80</v>
      </c>
      <c r="F410" t="s">
        <v>70</v>
      </c>
      <c r="G410" t="s">
        <v>3328</v>
      </c>
      <c r="H410" t="s">
        <v>3329</v>
      </c>
      <c r="I410" t="s">
        <v>544</v>
      </c>
      <c r="J410" t="s">
        <v>89</v>
      </c>
      <c r="K410" t="s">
        <v>89</v>
      </c>
      <c r="L410" t="s">
        <v>2472</v>
      </c>
      <c r="M410" t="s">
        <v>2433</v>
      </c>
      <c r="N410" t="s">
        <v>2443</v>
      </c>
      <c r="O410" t="s">
        <v>89</v>
      </c>
      <c r="P410" t="s">
        <v>3148</v>
      </c>
      <c r="Q410" t="s">
        <v>3330</v>
      </c>
      <c r="R410" t="s">
        <v>2596</v>
      </c>
      <c r="S410" t="s">
        <v>93</v>
      </c>
      <c r="T410" t="s">
        <v>2597</v>
      </c>
      <c r="U410" t="s">
        <v>3133</v>
      </c>
      <c r="V410" t="s">
        <v>3331</v>
      </c>
      <c r="W410" t="s">
        <v>3229</v>
      </c>
      <c r="X410" t="s">
        <v>160</v>
      </c>
      <c r="Y410" t="s">
        <v>3332</v>
      </c>
      <c r="Z410" t="s">
        <v>2778</v>
      </c>
      <c r="AA410" t="s">
        <v>93</v>
      </c>
      <c r="AB410" t="s">
        <v>2779</v>
      </c>
      <c r="AC410" t="s">
        <v>3333</v>
      </c>
    </row>
    <row r="411" spans="1:29" x14ac:dyDescent="0.25">
      <c r="A411" t="s">
        <v>57</v>
      </c>
      <c r="B411" t="s">
        <v>814</v>
      </c>
      <c r="C411" t="s">
        <v>666</v>
      </c>
      <c r="D411" t="s">
        <v>79</v>
      </c>
      <c r="E411" t="s">
        <v>80</v>
      </c>
      <c r="F411" t="s">
        <v>71</v>
      </c>
      <c r="G411" t="s">
        <v>3334</v>
      </c>
      <c r="H411" t="s">
        <v>3335</v>
      </c>
      <c r="I411" t="s">
        <v>544</v>
      </c>
      <c r="J411" t="s">
        <v>89</v>
      </c>
      <c r="K411" t="s">
        <v>89</v>
      </c>
      <c r="L411" t="s">
        <v>89</v>
      </c>
      <c r="M411" t="s">
        <v>2433</v>
      </c>
      <c r="N411" t="s">
        <v>2443</v>
      </c>
      <c r="O411" t="s">
        <v>89</v>
      </c>
      <c r="P411" t="s">
        <v>3336</v>
      </c>
      <c r="Q411" t="s">
        <v>3337</v>
      </c>
      <c r="R411" t="s">
        <v>3338</v>
      </c>
      <c r="S411" t="s">
        <v>93</v>
      </c>
      <c r="T411" t="s">
        <v>3339</v>
      </c>
      <c r="U411" t="s">
        <v>3133</v>
      </c>
      <c r="V411" t="s">
        <v>3155</v>
      </c>
      <c r="W411" t="s">
        <v>3229</v>
      </c>
      <c r="X411" t="s">
        <v>160</v>
      </c>
      <c r="Y411" t="s">
        <v>3340</v>
      </c>
      <c r="Z411" t="s">
        <v>3017</v>
      </c>
      <c r="AA411" t="s">
        <v>93</v>
      </c>
      <c r="AB411" t="s">
        <v>2376</v>
      </c>
      <c r="AC411" t="s">
        <v>3341</v>
      </c>
    </row>
    <row r="412" spans="1:29" x14ac:dyDescent="0.25">
      <c r="A412" t="s">
        <v>57</v>
      </c>
      <c r="B412" t="s">
        <v>814</v>
      </c>
      <c r="C412" t="s">
        <v>666</v>
      </c>
      <c r="D412" t="s">
        <v>79</v>
      </c>
      <c r="E412" t="s">
        <v>80</v>
      </c>
      <c r="F412" t="s">
        <v>72</v>
      </c>
      <c r="G412" t="s">
        <v>3342</v>
      </c>
      <c r="H412" t="s">
        <v>3343</v>
      </c>
      <c r="I412" t="s">
        <v>156</v>
      </c>
      <c r="J412" t="s">
        <v>3185</v>
      </c>
      <c r="K412" t="s">
        <v>89</v>
      </c>
      <c r="L412" t="s">
        <v>89</v>
      </c>
      <c r="M412" t="s">
        <v>2433</v>
      </c>
      <c r="N412" t="s">
        <v>2443</v>
      </c>
      <c r="O412" t="s">
        <v>89</v>
      </c>
      <c r="P412" t="s">
        <v>3295</v>
      </c>
      <c r="Q412" t="s">
        <v>3344</v>
      </c>
      <c r="R412" t="s">
        <v>2551</v>
      </c>
      <c r="S412" t="s">
        <v>93</v>
      </c>
      <c r="T412" t="s">
        <v>1860</v>
      </c>
      <c r="U412" t="s">
        <v>3133</v>
      </c>
      <c r="V412" t="s">
        <v>3345</v>
      </c>
      <c r="W412" t="s">
        <v>3229</v>
      </c>
      <c r="X412" t="s">
        <v>160</v>
      </c>
      <c r="Y412" t="s">
        <v>3346</v>
      </c>
      <c r="Z412" t="s">
        <v>2531</v>
      </c>
      <c r="AA412" t="s">
        <v>93</v>
      </c>
      <c r="AB412" t="s">
        <v>2098</v>
      </c>
      <c r="AC412" t="s">
        <v>3347</v>
      </c>
    </row>
    <row r="413" spans="1:29" x14ac:dyDescent="0.25">
      <c r="A413" t="s">
        <v>57</v>
      </c>
      <c r="B413" t="s">
        <v>814</v>
      </c>
      <c r="C413" t="s">
        <v>666</v>
      </c>
      <c r="D413" t="s">
        <v>79</v>
      </c>
      <c r="E413" t="s">
        <v>80</v>
      </c>
      <c r="F413" t="s">
        <v>73</v>
      </c>
      <c r="G413" t="s">
        <v>3348</v>
      </c>
      <c r="H413" t="s">
        <v>3349</v>
      </c>
      <c r="I413" t="s">
        <v>3350</v>
      </c>
      <c r="J413" t="s">
        <v>89</v>
      </c>
      <c r="K413" t="s">
        <v>89</v>
      </c>
      <c r="L413" t="s">
        <v>89</v>
      </c>
      <c r="M413" t="s">
        <v>2433</v>
      </c>
      <c r="N413" t="s">
        <v>2443</v>
      </c>
      <c r="O413" t="s">
        <v>89</v>
      </c>
      <c r="P413" t="s">
        <v>3351</v>
      </c>
      <c r="Q413" t="s">
        <v>3352</v>
      </c>
      <c r="R413" t="s">
        <v>2719</v>
      </c>
      <c r="S413" t="s">
        <v>93</v>
      </c>
      <c r="T413" t="s">
        <v>113</v>
      </c>
      <c r="U413" t="s">
        <v>3133</v>
      </c>
      <c r="V413" t="s">
        <v>3345</v>
      </c>
      <c r="W413" t="s">
        <v>3229</v>
      </c>
      <c r="X413" t="s">
        <v>160</v>
      </c>
      <c r="Y413" t="s">
        <v>3353</v>
      </c>
      <c r="Z413" t="s">
        <v>2592</v>
      </c>
      <c r="AA413" t="s">
        <v>93</v>
      </c>
      <c r="AB413" t="s">
        <v>2593</v>
      </c>
      <c r="AC413" t="s">
        <v>3354</v>
      </c>
    </row>
    <row r="414" spans="1:29" x14ac:dyDescent="0.25">
      <c r="A414" t="s">
        <v>57</v>
      </c>
      <c r="B414" t="s">
        <v>814</v>
      </c>
      <c r="C414" t="s">
        <v>666</v>
      </c>
      <c r="D414" t="s">
        <v>79</v>
      </c>
      <c r="E414" t="s">
        <v>80</v>
      </c>
      <c r="F414" t="s">
        <v>74</v>
      </c>
      <c r="G414" t="s">
        <v>3355</v>
      </c>
      <c r="H414" t="s">
        <v>3356</v>
      </c>
      <c r="I414" t="s">
        <v>927</v>
      </c>
      <c r="J414" t="s">
        <v>2516</v>
      </c>
      <c r="K414" t="s">
        <v>89</v>
      </c>
      <c r="L414" t="s">
        <v>2432</v>
      </c>
      <c r="M414" t="s">
        <v>2433</v>
      </c>
      <c r="N414" t="s">
        <v>2443</v>
      </c>
      <c r="O414" t="s">
        <v>89</v>
      </c>
      <c r="P414" t="s">
        <v>3357</v>
      </c>
      <c r="Q414" t="s">
        <v>3358</v>
      </c>
      <c r="R414" t="s">
        <v>2750</v>
      </c>
      <c r="S414" t="s">
        <v>93</v>
      </c>
      <c r="T414" t="s">
        <v>2751</v>
      </c>
      <c r="U414" t="s">
        <v>3359</v>
      </c>
      <c r="V414" t="s">
        <v>3331</v>
      </c>
      <c r="W414" t="s">
        <v>3360</v>
      </c>
      <c r="X414" t="s">
        <v>160</v>
      </c>
      <c r="Y414" t="s">
        <v>3361</v>
      </c>
      <c r="Z414" t="s">
        <v>2896</v>
      </c>
      <c r="AA414" t="s">
        <v>93</v>
      </c>
      <c r="AB414" t="s">
        <v>123</v>
      </c>
      <c r="AC414" t="s">
        <v>3362</v>
      </c>
    </row>
    <row r="415" spans="1:29" x14ac:dyDescent="0.25">
      <c r="A415" t="s">
        <v>57</v>
      </c>
      <c r="B415" t="s">
        <v>814</v>
      </c>
      <c r="C415" t="s">
        <v>666</v>
      </c>
      <c r="D415" t="s">
        <v>79</v>
      </c>
      <c r="E415" t="s">
        <v>80</v>
      </c>
      <c r="F415" t="s">
        <v>75</v>
      </c>
      <c r="G415" t="s">
        <v>3363</v>
      </c>
      <c r="H415" t="s">
        <v>3364</v>
      </c>
      <c r="I415" t="s">
        <v>3365</v>
      </c>
      <c r="J415" t="s">
        <v>89</v>
      </c>
      <c r="K415" t="s">
        <v>89</v>
      </c>
      <c r="L415" t="s">
        <v>89</v>
      </c>
      <c r="M415" t="s">
        <v>2433</v>
      </c>
      <c r="N415" t="s">
        <v>2443</v>
      </c>
      <c r="O415" t="s">
        <v>89</v>
      </c>
      <c r="P415" t="s">
        <v>3160</v>
      </c>
      <c r="Q415" t="s">
        <v>3366</v>
      </c>
      <c r="R415" t="s">
        <v>2475</v>
      </c>
      <c r="S415" t="s">
        <v>93</v>
      </c>
      <c r="T415" t="s">
        <v>2476</v>
      </c>
      <c r="U415" t="s">
        <v>3133</v>
      </c>
      <c r="V415" t="s">
        <v>3290</v>
      </c>
      <c r="W415" t="s">
        <v>3229</v>
      </c>
      <c r="X415" t="s">
        <v>160</v>
      </c>
      <c r="Y415" t="s">
        <v>3367</v>
      </c>
      <c r="Z415" t="s">
        <v>2479</v>
      </c>
      <c r="AA415" t="s">
        <v>93</v>
      </c>
      <c r="AB415" t="s">
        <v>2198</v>
      </c>
      <c r="AC415" t="s">
        <v>3368</v>
      </c>
    </row>
    <row r="416" spans="1:29" x14ac:dyDescent="0.25">
      <c r="A416" t="s">
        <v>57</v>
      </c>
      <c r="B416" t="s">
        <v>814</v>
      </c>
      <c r="C416" t="s">
        <v>666</v>
      </c>
      <c r="D416" t="s">
        <v>79</v>
      </c>
      <c r="E416" t="s">
        <v>80</v>
      </c>
      <c r="F416" t="s">
        <v>76</v>
      </c>
      <c r="G416" t="s">
        <v>3369</v>
      </c>
      <c r="H416" t="s">
        <v>3370</v>
      </c>
      <c r="I416" t="s">
        <v>187</v>
      </c>
      <c r="J416" t="s">
        <v>89</v>
      </c>
      <c r="K416" t="s">
        <v>89</v>
      </c>
      <c r="L416" t="s">
        <v>2432</v>
      </c>
      <c r="M416" t="s">
        <v>2433</v>
      </c>
      <c r="N416" t="s">
        <v>2443</v>
      </c>
      <c r="O416" t="s">
        <v>89</v>
      </c>
      <c r="P416" t="s">
        <v>3371</v>
      </c>
      <c r="Q416" t="s">
        <v>3372</v>
      </c>
      <c r="R416" t="s">
        <v>3373</v>
      </c>
      <c r="S416" t="s">
        <v>93</v>
      </c>
      <c r="T416" t="s">
        <v>1397</v>
      </c>
      <c r="U416" t="s">
        <v>3133</v>
      </c>
      <c r="V416" t="s">
        <v>3241</v>
      </c>
      <c r="W416" t="s">
        <v>3229</v>
      </c>
      <c r="X416" t="s">
        <v>160</v>
      </c>
      <c r="Y416" t="s">
        <v>3374</v>
      </c>
      <c r="Z416" t="s">
        <v>2807</v>
      </c>
      <c r="AA416" t="s">
        <v>93</v>
      </c>
      <c r="AB416" t="s">
        <v>1671</v>
      </c>
      <c r="AC416" t="s">
        <v>3375</v>
      </c>
    </row>
    <row r="417" spans="1:29" x14ac:dyDescent="0.25">
      <c r="A417" t="s">
        <v>57</v>
      </c>
      <c r="B417" t="s">
        <v>897</v>
      </c>
      <c r="C417" t="s">
        <v>666</v>
      </c>
      <c r="D417" t="s">
        <v>898</v>
      </c>
      <c r="E417" t="s">
        <v>80</v>
      </c>
      <c r="F417" t="s">
        <v>58</v>
      </c>
      <c r="G417" t="s">
        <v>3376</v>
      </c>
      <c r="H417" t="s">
        <v>3377</v>
      </c>
      <c r="I417" t="s">
        <v>3378</v>
      </c>
      <c r="J417" t="s">
        <v>2670</v>
      </c>
      <c r="K417" t="s">
        <v>2682</v>
      </c>
      <c r="L417" t="s">
        <v>2695</v>
      </c>
      <c r="M417" t="s">
        <v>2433</v>
      </c>
      <c r="N417" t="s">
        <v>2443</v>
      </c>
      <c r="O417" t="s">
        <v>89</v>
      </c>
      <c r="P417" t="s">
        <v>3379</v>
      </c>
      <c r="Q417" t="s">
        <v>3380</v>
      </c>
      <c r="R417" t="s">
        <v>2511</v>
      </c>
      <c r="S417" t="s">
        <v>93</v>
      </c>
      <c r="T417" t="s">
        <v>2081</v>
      </c>
      <c r="U417" t="s">
        <v>3133</v>
      </c>
      <c r="V417" t="s">
        <v>3345</v>
      </c>
      <c r="W417" t="s">
        <v>3229</v>
      </c>
      <c r="X417" t="s">
        <v>160</v>
      </c>
      <c r="Y417" t="s">
        <v>3381</v>
      </c>
      <c r="Z417" t="s">
        <v>2486</v>
      </c>
      <c r="AA417" t="s">
        <v>93</v>
      </c>
      <c r="AB417" t="s">
        <v>281</v>
      </c>
      <c r="AC417" t="s">
        <v>3382</v>
      </c>
    </row>
    <row r="418" spans="1:29" x14ac:dyDescent="0.25">
      <c r="A418" t="s">
        <v>57</v>
      </c>
      <c r="B418" t="s">
        <v>897</v>
      </c>
      <c r="C418" t="s">
        <v>666</v>
      </c>
      <c r="D418" t="s">
        <v>898</v>
      </c>
      <c r="E418" t="s">
        <v>80</v>
      </c>
      <c r="F418" t="s">
        <v>59</v>
      </c>
      <c r="G418" t="s">
        <v>3383</v>
      </c>
      <c r="H418" t="s">
        <v>3384</v>
      </c>
      <c r="I418" t="s">
        <v>3385</v>
      </c>
      <c r="J418" t="s">
        <v>3386</v>
      </c>
      <c r="K418" t="s">
        <v>2682</v>
      </c>
      <c r="L418" t="s">
        <v>2620</v>
      </c>
      <c r="M418" t="s">
        <v>2433</v>
      </c>
      <c r="N418" t="s">
        <v>2443</v>
      </c>
      <c r="O418" t="s">
        <v>89</v>
      </c>
      <c r="P418" t="s">
        <v>3387</v>
      </c>
      <c r="Q418" t="s">
        <v>3388</v>
      </c>
      <c r="R418" t="s">
        <v>2522</v>
      </c>
      <c r="S418" t="s">
        <v>93</v>
      </c>
      <c r="T418" t="s">
        <v>2523</v>
      </c>
      <c r="U418" t="s">
        <v>3133</v>
      </c>
      <c r="V418" t="s">
        <v>3290</v>
      </c>
      <c r="W418" t="s">
        <v>3229</v>
      </c>
      <c r="X418" t="s">
        <v>160</v>
      </c>
      <c r="Y418" t="s">
        <v>3389</v>
      </c>
      <c r="Z418" t="s">
        <v>2496</v>
      </c>
      <c r="AA418" t="s">
        <v>93</v>
      </c>
      <c r="AB418" t="s">
        <v>2497</v>
      </c>
      <c r="AC418" t="s">
        <v>3390</v>
      </c>
    </row>
    <row r="419" spans="1:29" x14ac:dyDescent="0.25">
      <c r="A419" t="s">
        <v>57</v>
      </c>
      <c r="B419" t="s">
        <v>897</v>
      </c>
      <c r="C419" t="s">
        <v>666</v>
      </c>
      <c r="D419" t="s">
        <v>898</v>
      </c>
      <c r="E419" t="s">
        <v>80</v>
      </c>
      <c r="F419" t="s">
        <v>60</v>
      </c>
      <c r="G419" t="s">
        <v>3391</v>
      </c>
      <c r="H419" t="s">
        <v>3392</v>
      </c>
      <c r="I419" t="s">
        <v>3393</v>
      </c>
      <c r="J419" t="s">
        <v>2660</v>
      </c>
      <c r="K419" t="s">
        <v>2619</v>
      </c>
      <c r="L419" t="s">
        <v>2641</v>
      </c>
      <c r="M419" t="s">
        <v>2498</v>
      </c>
      <c r="N419" t="s">
        <v>2443</v>
      </c>
      <c r="O419" t="s">
        <v>89</v>
      </c>
      <c r="P419" t="s">
        <v>3295</v>
      </c>
      <c r="Q419" t="s">
        <v>3394</v>
      </c>
      <c r="R419" t="s">
        <v>2533</v>
      </c>
      <c r="S419" t="s">
        <v>93</v>
      </c>
      <c r="T419" t="s">
        <v>2534</v>
      </c>
      <c r="U419" t="s">
        <v>3179</v>
      </c>
      <c r="V419" t="s">
        <v>2607</v>
      </c>
      <c r="W419" t="s">
        <v>3395</v>
      </c>
      <c r="X419" t="s">
        <v>160</v>
      </c>
      <c r="Y419" t="s">
        <v>3396</v>
      </c>
      <c r="Z419" t="s">
        <v>2585</v>
      </c>
      <c r="AA419" t="s">
        <v>93</v>
      </c>
      <c r="AB419" t="s">
        <v>820</v>
      </c>
      <c r="AC419" t="s">
        <v>3397</v>
      </c>
    </row>
    <row r="420" spans="1:29" x14ac:dyDescent="0.25">
      <c r="A420" t="s">
        <v>57</v>
      </c>
      <c r="B420" t="s">
        <v>897</v>
      </c>
      <c r="C420" t="s">
        <v>666</v>
      </c>
      <c r="D420" t="s">
        <v>898</v>
      </c>
      <c r="E420" t="s">
        <v>80</v>
      </c>
      <c r="F420" t="s">
        <v>61</v>
      </c>
      <c r="G420" t="s">
        <v>3398</v>
      </c>
      <c r="H420" t="s">
        <v>3399</v>
      </c>
      <c r="I420" t="s">
        <v>3400</v>
      </c>
      <c r="J420" t="s">
        <v>89</v>
      </c>
      <c r="K420" t="s">
        <v>89</v>
      </c>
      <c r="L420" t="s">
        <v>89</v>
      </c>
      <c r="M420" t="s">
        <v>2433</v>
      </c>
      <c r="N420" t="s">
        <v>2443</v>
      </c>
      <c r="O420" t="s">
        <v>89</v>
      </c>
      <c r="P420" t="s">
        <v>3401</v>
      </c>
      <c r="Q420" t="s">
        <v>3402</v>
      </c>
      <c r="R420" t="s">
        <v>2565</v>
      </c>
      <c r="S420" t="s">
        <v>93</v>
      </c>
      <c r="T420" t="s">
        <v>2089</v>
      </c>
      <c r="U420" t="s">
        <v>3133</v>
      </c>
      <c r="V420" t="s">
        <v>3345</v>
      </c>
      <c r="W420" t="s">
        <v>3229</v>
      </c>
      <c r="X420" t="s">
        <v>160</v>
      </c>
      <c r="Y420" t="s">
        <v>3403</v>
      </c>
      <c r="Z420" t="s">
        <v>2567</v>
      </c>
      <c r="AA420" t="s">
        <v>93</v>
      </c>
      <c r="AB420" t="s">
        <v>2108</v>
      </c>
      <c r="AC420" t="s">
        <v>3404</v>
      </c>
    </row>
    <row r="421" spans="1:29" x14ac:dyDescent="0.25">
      <c r="A421" t="s">
        <v>57</v>
      </c>
      <c r="B421" t="s">
        <v>897</v>
      </c>
      <c r="C421" t="s">
        <v>666</v>
      </c>
      <c r="D421" t="s">
        <v>898</v>
      </c>
      <c r="E421" t="s">
        <v>80</v>
      </c>
      <c r="F421" t="s">
        <v>62</v>
      </c>
      <c r="G421" t="s">
        <v>3405</v>
      </c>
      <c r="H421" t="s">
        <v>3406</v>
      </c>
      <c r="I421" t="s">
        <v>3407</v>
      </c>
      <c r="J421" t="s">
        <v>2660</v>
      </c>
      <c r="K421" t="s">
        <v>2619</v>
      </c>
      <c r="L421" t="s">
        <v>3408</v>
      </c>
      <c r="M421" t="s">
        <v>2498</v>
      </c>
      <c r="N421" t="s">
        <v>2443</v>
      </c>
      <c r="O421" t="s">
        <v>89</v>
      </c>
      <c r="P421" t="s">
        <v>3307</v>
      </c>
      <c r="Q421" t="s">
        <v>3409</v>
      </c>
      <c r="R421" t="s">
        <v>2459</v>
      </c>
      <c r="S421" t="s">
        <v>93</v>
      </c>
      <c r="T421" t="s">
        <v>2460</v>
      </c>
      <c r="U421" t="s">
        <v>3410</v>
      </c>
      <c r="V421" t="s">
        <v>2607</v>
      </c>
      <c r="W421" t="s">
        <v>3411</v>
      </c>
      <c r="X421" t="s">
        <v>160</v>
      </c>
      <c r="Y421" t="s">
        <v>3412</v>
      </c>
      <c r="Z421" t="s">
        <v>2519</v>
      </c>
      <c r="AA421" t="s">
        <v>93</v>
      </c>
      <c r="AB421" t="s">
        <v>2187</v>
      </c>
      <c r="AC421" t="s">
        <v>3413</v>
      </c>
    </row>
    <row r="422" spans="1:29" x14ac:dyDescent="0.25">
      <c r="A422" t="s">
        <v>57</v>
      </c>
      <c r="B422" t="s">
        <v>897</v>
      </c>
      <c r="C422" t="s">
        <v>666</v>
      </c>
      <c r="D422" t="s">
        <v>898</v>
      </c>
      <c r="E422" t="s">
        <v>80</v>
      </c>
      <c r="F422" t="s">
        <v>63</v>
      </c>
      <c r="G422" t="s">
        <v>3414</v>
      </c>
      <c r="H422" t="s">
        <v>3415</v>
      </c>
      <c r="I422" t="s">
        <v>3416</v>
      </c>
      <c r="J422" t="s">
        <v>1575</v>
      </c>
      <c r="K422" t="s">
        <v>2682</v>
      </c>
      <c r="L422" t="s">
        <v>2716</v>
      </c>
      <c r="M422" t="s">
        <v>2498</v>
      </c>
      <c r="N422" t="s">
        <v>2443</v>
      </c>
      <c r="O422" t="s">
        <v>89</v>
      </c>
      <c r="P422" t="s">
        <v>3148</v>
      </c>
      <c r="Q422" t="s">
        <v>3417</v>
      </c>
      <c r="R422" t="s">
        <v>2531</v>
      </c>
      <c r="S422" t="s">
        <v>93</v>
      </c>
      <c r="T422" t="s">
        <v>2098</v>
      </c>
      <c r="U422" t="s">
        <v>3179</v>
      </c>
      <c r="V422" t="s">
        <v>2607</v>
      </c>
      <c r="W422" t="s">
        <v>3395</v>
      </c>
      <c r="X422" t="s">
        <v>160</v>
      </c>
      <c r="Y422" t="s">
        <v>3418</v>
      </c>
      <c r="Z422" t="s">
        <v>2533</v>
      </c>
      <c r="AA422" t="s">
        <v>93</v>
      </c>
      <c r="AB422" t="s">
        <v>2534</v>
      </c>
      <c r="AC422" t="s">
        <v>3419</v>
      </c>
    </row>
    <row r="423" spans="1:29" x14ac:dyDescent="0.25">
      <c r="A423" t="s">
        <v>57</v>
      </c>
      <c r="B423" t="s">
        <v>897</v>
      </c>
      <c r="C423" t="s">
        <v>666</v>
      </c>
      <c r="D423" t="s">
        <v>898</v>
      </c>
      <c r="E423" t="s">
        <v>80</v>
      </c>
      <c r="F423" t="s">
        <v>64</v>
      </c>
      <c r="G423" t="s">
        <v>3420</v>
      </c>
      <c r="H423" t="s">
        <v>3421</v>
      </c>
      <c r="I423" t="s">
        <v>3422</v>
      </c>
      <c r="J423" t="s">
        <v>3423</v>
      </c>
      <c r="K423" t="s">
        <v>2682</v>
      </c>
      <c r="L423" t="s">
        <v>2815</v>
      </c>
      <c r="M423" t="s">
        <v>2498</v>
      </c>
      <c r="N423" t="s">
        <v>2443</v>
      </c>
      <c r="O423" t="s">
        <v>89</v>
      </c>
      <c r="P423" t="s">
        <v>2883</v>
      </c>
      <c r="Q423" t="s">
        <v>3424</v>
      </c>
      <c r="R423" t="s">
        <v>2719</v>
      </c>
      <c r="S423" t="s">
        <v>93</v>
      </c>
      <c r="T423" t="s">
        <v>113</v>
      </c>
      <c r="U423" t="s">
        <v>2436</v>
      </c>
      <c r="V423" t="s">
        <v>2607</v>
      </c>
      <c r="W423" t="s">
        <v>3395</v>
      </c>
      <c r="X423" t="s">
        <v>160</v>
      </c>
      <c r="Y423" t="s">
        <v>3425</v>
      </c>
      <c r="Z423" t="s">
        <v>2592</v>
      </c>
      <c r="AA423" t="s">
        <v>93</v>
      </c>
      <c r="AB423" t="s">
        <v>2593</v>
      </c>
      <c r="AC423" t="s">
        <v>3426</v>
      </c>
    </row>
    <row r="424" spans="1:29" x14ac:dyDescent="0.25">
      <c r="A424" t="s">
        <v>57</v>
      </c>
      <c r="B424" t="s">
        <v>897</v>
      </c>
      <c r="C424" t="s">
        <v>666</v>
      </c>
      <c r="D424" t="s">
        <v>898</v>
      </c>
      <c r="E424" t="s">
        <v>80</v>
      </c>
      <c r="F424" t="s">
        <v>65</v>
      </c>
      <c r="G424" t="s">
        <v>3427</v>
      </c>
      <c r="H424" t="s">
        <v>3428</v>
      </c>
      <c r="I424" t="s">
        <v>3429</v>
      </c>
      <c r="J424" t="s">
        <v>3430</v>
      </c>
      <c r="K424" t="s">
        <v>2619</v>
      </c>
      <c r="L424" t="s">
        <v>2695</v>
      </c>
      <c r="M424" t="s">
        <v>2498</v>
      </c>
      <c r="N424" t="s">
        <v>2443</v>
      </c>
      <c r="O424" t="s">
        <v>89</v>
      </c>
      <c r="P424" t="s">
        <v>3431</v>
      </c>
      <c r="Q424" t="s">
        <v>3432</v>
      </c>
      <c r="R424" t="s">
        <v>2501</v>
      </c>
      <c r="S424" t="s">
        <v>93</v>
      </c>
      <c r="T424" t="s">
        <v>94</v>
      </c>
      <c r="U424" t="s">
        <v>3410</v>
      </c>
      <c r="V424" t="s">
        <v>2607</v>
      </c>
      <c r="W424" t="s">
        <v>3411</v>
      </c>
      <c r="X424" t="s">
        <v>160</v>
      </c>
      <c r="Y424" t="s">
        <v>3433</v>
      </c>
      <c r="Z424" t="s">
        <v>2548</v>
      </c>
      <c r="AA424" t="s">
        <v>93</v>
      </c>
      <c r="AB424" t="s">
        <v>101</v>
      </c>
      <c r="AC424" t="s">
        <v>3434</v>
      </c>
    </row>
    <row r="425" spans="1:29" x14ac:dyDescent="0.25">
      <c r="A425" t="s">
        <v>57</v>
      </c>
      <c r="B425" t="s">
        <v>897</v>
      </c>
      <c r="C425" t="s">
        <v>666</v>
      </c>
      <c r="D425" t="s">
        <v>898</v>
      </c>
      <c r="E425" t="s">
        <v>80</v>
      </c>
      <c r="F425" t="s">
        <v>66</v>
      </c>
      <c r="G425" t="s">
        <v>3435</v>
      </c>
      <c r="H425" t="s">
        <v>3436</v>
      </c>
      <c r="I425" t="s">
        <v>3437</v>
      </c>
      <c r="J425" t="s">
        <v>2814</v>
      </c>
      <c r="K425" t="s">
        <v>2682</v>
      </c>
      <c r="L425" t="s">
        <v>2683</v>
      </c>
      <c r="M425" t="s">
        <v>2498</v>
      </c>
      <c r="N425" t="s">
        <v>2443</v>
      </c>
      <c r="O425" t="s">
        <v>89</v>
      </c>
      <c r="P425" t="s">
        <v>3438</v>
      </c>
      <c r="Q425" t="s">
        <v>3439</v>
      </c>
      <c r="R425" t="s">
        <v>2557</v>
      </c>
      <c r="S425" t="s">
        <v>93</v>
      </c>
      <c r="T425" t="s">
        <v>374</v>
      </c>
      <c r="U425" t="s">
        <v>3440</v>
      </c>
      <c r="V425" t="s">
        <v>2607</v>
      </c>
      <c r="W425" t="s">
        <v>3441</v>
      </c>
      <c r="X425" t="s">
        <v>160</v>
      </c>
      <c r="Y425" t="s">
        <v>3442</v>
      </c>
      <c r="Z425" t="s">
        <v>2559</v>
      </c>
      <c r="AA425" t="s">
        <v>93</v>
      </c>
      <c r="AB425" t="s">
        <v>109</v>
      </c>
      <c r="AC425" t="s">
        <v>3443</v>
      </c>
    </row>
    <row r="426" spans="1:29" x14ac:dyDescent="0.25">
      <c r="A426" t="s">
        <v>57</v>
      </c>
      <c r="B426" t="s">
        <v>897</v>
      </c>
      <c r="C426" t="s">
        <v>666</v>
      </c>
      <c r="D426" t="s">
        <v>898</v>
      </c>
      <c r="E426" t="s">
        <v>80</v>
      </c>
      <c r="F426" t="s">
        <v>67</v>
      </c>
      <c r="G426" t="s">
        <v>3444</v>
      </c>
      <c r="H426" t="s">
        <v>3445</v>
      </c>
      <c r="I426" t="s">
        <v>3338</v>
      </c>
      <c r="J426" t="s">
        <v>3446</v>
      </c>
      <c r="K426" t="s">
        <v>2640</v>
      </c>
      <c r="L426" t="s">
        <v>2815</v>
      </c>
      <c r="M426" t="s">
        <v>2498</v>
      </c>
      <c r="N426" t="s">
        <v>2443</v>
      </c>
      <c r="O426" t="s">
        <v>89</v>
      </c>
      <c r="P426" t="s">
        <v>1007</v>
      </c>
      <c r="Q426" t="s">
        <v>3447</v>
      </c>
      <c r="R426" t="s">
        <v>2747</v>
      </c>
      <c r="S426" t="s">
        <v>93</v>
      </c>
      <c r="T426" t="s">
        <v>558</v>
      </c>
      <c r="U426" t="s">
        <v>2436</v>
      </c>
      <c r="V426" t="s">
        <v>2607</v>
      </c>
      <c r="W426" t="s">
        <v>3448</v>
      </c>
      <c r="X426" t="s">
        <v>160</v>
      </c>
      <c r="Y426" t="s">
        <v>3449</v>
      </c>
      <c r="Z426" t="s">
        <v>2750</v>
      </c>
      <c r="AA426" t="s">
        <v>93</v>
      </c>
      <c r="AB426" t="s">
        <v>2751</v>
      </c>
      <c r="AC426" t="s">
        <v>3450</v>
      </c>
    </row>
    <row r="427" spans="1:29" x14ac:dyDescent="0.25">
      <c r="A427" t="s">
        <v>57</v>
      </c>
      <c r="B427" t="s">
        <v>897</v>
      </c>
      <c r="C427" t="s">
        <v>666</v>
      </c>
      <c r="D427" t="s">
        <v>898</v>
      </c>
      <c r="E427" t="s">
        <v>80</v>
      </c>
      <c r="F427" t="s">
        <v>68</v>
      </c>
      <c r="G427" t="s">
        <v>3451</v>
      </c>
      <c r="H427" t="s">
        <v>3452</v>
      </c>
      <c r="I427" t="s">
        <v>3453</v>
      </c>
      <c r="J427" t="s">
        <v>3430</v>
      </c>
      <c r="K427" t="s">
        <v>2619</v>
      </c>
      <c r="L427" t="s">
        <v>2683</v>
      </c>
      <c r="M427" t="s">
        <v>2498</v>
      </c>
      <c r="N427" t="s">
        <v>2443</v>
      </c>
      <c r="O427" t="s">
        <v>89</v>
      </c>
      <c r="P427" t="s">
        <v>3438</v>
      </c>
      <c r="Q427" t="s">
        <v>3454</v>
      </c>
      <c r="R427" t="s">
        <v>2533</v>
      </c>
      <c r="S427" t="s">
        <v>93</v>
      </c>
      <c r="T427" t="s">
        <v>2534</v>
      </c>
      <c r="U427" t="s">
        <v>3179</v>
      </c>
      <c r="V427" t="s">
        <v>2607</v>
      </c>
      <c r="W427" t="s">
        <v>3441</v>
      </c>
      <c r="X427" t="s">
        <v>160</v>
      </c>
      <c r="Y427" t="s">
        <v>3455</v>
      </c>
      <c r="Z427" t="s">
        <v>2585</v>
      </c>
      <c r="AA427" t="s">
        <v>93</v>
      </c>
      <c r="AB427" t="s">
        <v>820</v>
      </c>
      <c r="AC427" t="s">
        <v>3456</v>
      </c>
    </row>
    <row r="428" spans="1:29" x14ac:dyDescent="0.25">
      <c r="A428" t="s">
        <v>57</v>
      </c>
      <c r="B428" t="s">
        <v>897</v>
      </c>
      <c r="C428" t="s">
        <v>666</v>
      </c>
      <c r="D428" t="s">
        <v>898</v>
      </c>
      <c r="E428" t="s">
        <v>80</v>
      </c>
      <c r="F428" t="s">
        <v>69</v>
      </c>
      <c r="G428" t="s">
        <v>3457</v>
      </c>
      <c r="H428" t="s">
        <v>3458</v>
      </c>
      <c r="I428" t="s">
        <v>3355</v>
      </c>
      <c r="J428" t="s">
        <v>3459</v>
      </c>
      <c r="K428" t="s">
        <v>2619</v>
      </c>
      <c r="L428" t="s">
        <v>2683</v>
      </c>
      <c r="M428" t="s">
        <v>2498</v>
      </c>
      <c r="N428" t="s">
        <v>2443</v>
      </c>
      <c r="O428" t="s">
        <v>89</v>
      </c>
      <c r="P428" t="s">
        <v>2883</v>
      </c>
      <c r="Q428" t="s">
        <v>3460</v>
      </c>
      <c r="R428" t="s">
        <v>2596</v>
      </c>
      <c r="S428" t="s">
        <v>93</v>
      </c>
      <c r="T428" t="s">
        <v>2597</v>
      </c>
      <c r="U428" t="s">
        <v>3440</v>
      </c>
      <c r="V428" t="s">
        <v>2607</v>
      </c>
      <c r="W428" t="s">
        <v>3441</v>
      </c>
      <c r="X428" t="s">
        <v>160</v>
      </c>
      <c r="Y428" t="s">
        <v>3461</v>
      </c>
      <c r="Z428" t="s">
        <v>2778</v>
      </c>
      <c r="AA428" t="s">
        <v>93</v>
      </c>
      <c r="AB428" t="s">
        <v>2779</v>
      </c>
      <c r="AC428" t="s">
        <v>3462</v>
      </c>
    </row>
    <row r="429" spans="1:29" x14ac:dyDescent="0.25">
      <c r="A429" t="s">
        <v>57</v>
      </c>
      <c r="B429" t="s">
        <v>897</v>
      </c>
      <c r="C429" t="s">
        <v>666</v>
      </c>
      <c r="D429" t="s">
        <v>898</v>
      </c>
      <c r="E429" t="s">
        <v>80</v>
      </c>
      <c r="F429" t="s">
        <v>70</v>
      </c>
      <c r="G429" t="s">
        <v>3463</v>
      </c>
      <c r="H429" t="s">
        <v>3464</v>
      </c>
      <c r="I429" t="s">
        <v>3465</v>
      </c>
      <c r="J429" t="s">
        <v>3423</v>
      </c>
      <c r="K429" t="s">
        <v>2619</v>
      </c>
      <c r="L429" t="s">
        <v>2641</v>
      </c>
      <c r="M429" t="s">
        <v>2498</v>
      </c>
      <c r="N429" t="s">
        <v>2443</v>
      </c>
      <c r="O429" t="s">
        <v>89</v>
      </c>
      <c r="P429" t="s">
        <v>3466</v>
      </c>
      <c r="Q429" t="s">
        <v>3467</v>
      </c>
      <c r="R429" t="s">
        <v>2788</v>
      </c>
      <c r="S429" t="s">
        <v>93</v>
      </c>
      <c r="T429" t="s">
        <v>2789</v>
      </c>
      <c r="U429" t="s">
        <v>3179</v>
      </c>
      <c r="V429" t="s">
        <v>2443</v>
      </c>
      <c r="W429" t="s">
        <v>3448</v>
      </c>
      <c r="X429" t="s">
        <v>160</v>
      </c>
      <c r="Y429" t="s">
        <v>3468</v>
      </c>
      <c r="Z429" t="s">
        <v>2792</v>
      </c>
      <c r="AA429" t="s">
        <v>93</v>
      </c>
      <c r="AB429" t="s">
        <v>624</v>
      </c>
      <c r="AC429" t="s">
        <v>3469</v>
      </c>
    </row>
    <row r="430" spans="1:29" x14ac:dyDescent="0.25">
      <c r="A430" t="s">
        <v>57</v>
      </c>
      <c r="B430" t="s">
        <v>897</v>
      </c>
      <c r="C430" t="s">
        <v>666</v>
      </c>
      <c r="D430" t="s">
        <v>898</v>
      </c>
      <c r="E430" t="s">
        <v>80</v>
      </c>
      <c r="F430" t="s">
        <v>71</v>
      </c>
      <c r="G430" t="s">
        <v>3470</v>
      </c>
      <c r="H430" t="s">
        <v>3471</v>
      </c>
      <c r="I430" t="s">
        <v>3472</v>
      </c>
      <c r="J430" t="s">
        <v>89</v>
      </c>
      <c r="K430" t="s">
        <v>89</v>
      </c>
      <c r="L430" t="s">
        <v>2472</v>
      </c>
      <c r="M430" t="s">
        <v>2433</v>
      </c>
      <c r="N430" t="s">
        <v>2443</v>
      </c>
      <c r="O430" t="s">
        <v>89</v>
      </c>
      <c r="P430" t="s">
        <v>3260</v>
      </c>
      <c r="Q430" t="s">
        <v>3473</v>
      </c>
      <c r="R430" t="s">
        <v>3043</v>
      </c>
      <c r="S430" t="s">
        <v>93</v>
      </c>
      <c r="T430" t="s">
        <v>2140</v>
      </c>
      <c r="U430" t="s">
        <v>3133</v>
      </c>
      <c r="V430" t="s">
        <v>3290</v>
      </c>
      <c r="W430" t="s">
        <v>3229</v>
      </c>
      <c r="X430" t="s">
        <v>160</v>
      </c>
      <c r="Y430" t="s">
        <v>3474</v>
      </c>
      <c r="Z430" t="s">
        <v>2936</v>
      </c>
      <c r="AA430" t="s">
        <v>93</v>
      </c>
      <c r="AB430" t="s">
        <v>2937</v>
      </c>
      <c r="AC430" t="s">
        <v>3475</v>
      </c>
    </row>
    <row r="431" spans="1:29" x14ac:dyDescent="0.25">
      <c r="A431" t="s">
        <v>57</v>
      </c>
      <c r="B431" t="s">
        <v>897</v>
      </c>
      <c r="C431" t="s">
        <v>666</v>
      </c>
      <c r="D431" t="s">
        <v>898</v>
      </c>
      <c r="E431" t="s">
        <v>80</v>
      </c>
      <c r="F431" t="s">
        <v>72</v>
      </c>
      <c r="G431" t="s">
        <v>3476</v>
      </c>
      <c r="H431" t="s">
        <v>3477</v>
      </c>
      <c r="I431" t="s">
        <v>3478</v>
      </c>
      <c r="J431" t="s">
        <v>2726</v>
      </c>
      <c r="K431" t="s">
        <v>2682</v>
      </c>
      <c r="L431" t="s">
        <v>2661</v>
      </c>
      <c r="M431" t="s">
        <v>3179</v>
      </c>
      <c r="N431" t="s">
        <v>2443</v>
      </c>
      <c r="O431" t="s">
        <v>89</v>
      </c>
      <c r="P431" t="s">
        <v>3466</v>
      </c>
      <c r="Q431" t="s">
        <v>3479</v>
      </c>
      <c r="R431" t="s">
        <v>2557</v>
      </c>
      <c r="S431" t="s">
        <v>93</v>
      </c>
      <c r="T431" t="s">
        <v>374</v>
      </c>
      <c r="U431" t="s">
        <v>3480</v>
      </c>
      <c r="V431" t="s">
        <v>2897</v>
      </c>
      <c r="W431" t="s">
        <v>3441</v>
      </c>
      <c r="X431" t="s">
        <v>160</v>
      </c>
      <c r="Y431" t="s">
        <v>3481</v>
      </c>
      <c r="Z431" t="s">
        <v>2559</v>
      </c>
      <c r="AA431" t="s">
        <v>93</v>
      </c>
      <c r="AB431" t="s">
        <v>109</v>
      </c>
      <c r="AC431" t="s">
        <v>3482</v>
      </c>
    </row>
    <row r="432" spans="1:29" x14ac:dyDescent="0.25">
      <c r="A432" t="s">
        <v>57</v>
      </c>
      <c r="B432" t="s">
        <v>897</v>
      </c>
      <c r="C432" t="s">
        <v>666</v>
      </c>
      <c r="D432" t="s">
        <v>898</v>
      </c>
      <c r="E432" t="s">
        <v>80</v>
      </c>
      <c r="F432" t="s">
        <v>73</v>
      </c>
      <c r="G432" t="s">
        <v>3483</v>
      </c>
      <c r="H432" t="s">
        <v>3484</v>
      </c>
      <c r="I432" t="s">
        <v>3485</v>
      </c>
      <c r="J432" t="s">
        <v>3446</v>
      </c>
      <c r="K432" t="s">
        <v>2682</v>
      </c>
      <c r="L432" t="s">
        <v>3486</v>
      </c>
      <c r="M432" t="s">
        <v>3179</v>
      </c>
      <c r="N432" t="s">
        <v>2443</v>
      </c>
      <c r="O432" t="s">
        <v>89</v>
      </c>
      <c r="P432" t="s">
        <v>965</v>
      </c>
      <c r="Q432" t="s">
        <v>3487</v>
      </c>
      <c r="R432" t="s">
        <v>2750</v>
      </c>
      <c r="S432" t="s">
        <v>93</v>
      </c>
      <c r="T432" t="s">
        <v>2751</v>
      </c>
      <c r="U432" t="s">
        <v>3488</v>
      </c>
      <c r="V432" t="s">
        <v>2443</v>
      </c>
      <c r="W432" t="s">
        <v>3489</v>
      </c>
      <c r="X432" t="s">
        <v>160</v>
      </c>
      <c r="Y432" t="s">
        <v>3490</v>
      </c>
      <c r="Z432" t="s">
        <v>2896</v>
      </c>
      <c r="AA432" t="s">
        <v>93</v>
      </c>
      <c r="AB432" t="s">
        <v>123</v>
      </c>
      <c r="AC432" t="s">
        <v>3491</v>
      </c>
    </row>
    <row r="433" spans="1:29" x14ac:dyDescent="0.25">
      <c r="A433" t="s">
        <v>57</v>
      </c>
      <c r="B433" t="s">
        <v>897</v>
      </c>
      <c r="C433" t="s">
        <v>666</v>
      </c>
      <c r="D433" t="s">
        <v>898</v>
      </c>
      <c r="E433" t="s">
        <v>80</v>
      </c>
      <c r="F433" t="s">
        <v>74</v>
      </c>
      <c r="G433" t="s">
        <v>3492</v>
      </c>
      <c r="H433" t="s">
        <v>3493</v>
      </c>
      <c r="I433" t="s">
        <v>3494</v>
      </c>
      <c r="J433" t="s">
        <v>2681</v>
      </c>
      <c r="K433" t="s">
        <v>2619</v>
      </c>
      <c r="L433" t="s">
        <v>3495</v>
      </c>
      <c r="M433" t="s">
        <v>89</v>
      </c>
      <c r="N433" t="s">
        <v>2443</v>
      </c>
      <c r="O433" t="s">
        <v>89</v>
      </c>
      <c r="P433" t="s">
        <v>3295</v>
      </c>
      <c r="Q433" t="s">
        <v>3496</v>
      </c>
      <c r="R433" t="s">
        <v>3497</v>
      </c>
      <c r="S433" t="s">
        <v>93</v>
      </c>
      <c r="T433" t="s">
        <v>857</v>
      </c>
      <c r="U433" t="s">
        <v>3488</v>
      </c>
      <c r="V433" t="s">
        <v>2443</v>
      </c>
      <c r="W433" t="s">
        <v>3448</v>
      </c>
      <c r="X433" t="s">
        <v>160</v>
      </c>
      <c r="Y433" t="s">
        <v>3498</v>
      </c>
      <c r="Z433" t="s">
        <v>3499</v>
      </c>
      <c r="AA433" t="s">
        <v>93</v>
      </c>
      <c r="AB433" t="s">
        <v>216</v>
      </c>
      <c r="AC433" t="s">
        <v>3500</v>
      </c>
    </row>
    <row r="434" spans="1:29" x14ac:dyDescent="0.25">
      <c r="A434" t="s">
        <v>57</v>
      </c>
      <c r="B434" t="s">
        <v>897</v>
      </c>
      <c r="C434" t="s">
        <v>666</v>
      </c>
      <c r="D434" t="s">
        <v>898</v>
      </c>
      <c r="E434" t="s">
        <v>80</v>
      </c>
      <c r="F434" t="s">
        <v>75</v>
      </c>
      <c r="G434" t="s">
        <v>237</v>
      </c>
      <c r="H434" t="s">
        <v>3501</v>
      </c>
      <c r="I434" t="s">
        <v>3502</v>
      </c>
      <c r="J434" t="s">
        <v>3259</v>
      </c>
      <c r="K434" t="s">
        <v>89</v>
      </c>
      <c r="L434" t="s">
        <v>2640</v>
      </c>
      <c r="M434" t="s">
        <v>2433</v>
      </c>
      <c r="N434" t="s">
        <v>2443</v>
      </c>
      <c r="O434" t="s">
        <v>89</v>
      </c>
      <c r="P434" t="s">
        <v>3167</v>
      </c>
      <c r="Q434" t="s">
        <v>3503</v>
      </c>
      <c r="R434" t="s">
        <v>2486</v>
      </c>
      <c r="S434" t="s">
        <v>93</v>
      </c>
      <c r="T434" t="s">
        <v>281</v>
      </c>
      <c r="U434" t="s">
        <v>3133</v>
      </c>
      <c r="V434" t="s">
        <v>3155</v>
      </c>
      <c r="W434" t="s">
        <v>3229</v>
      </c>
      <c r="X434" t="s">
        <v>160</v>
      </c>
      <c r="Y434" t="s">
        <v>3504</v>
      </c>
      <c r="Z434" t="s">
        <v>2489</v>
      </c>
      <c r="AA434" t="s">
        <v>93</v>
      </c>
      <c r="AB434" t="s">
        <v>285</v>
      </c>
      <c r="AC434" t="s">
        <v>3505</v>
      </c>
    </row>
    <row r="435" spans="1:29" x14ac:dyDescent="0.25">
      <c r="A435" t="s">
        <v>57</v>
      </c>
      <c r="B435" t="s">
        <v>897</v>
      </c>
      <c r="C435" t="s">
        <v>666</v>
      </c>
      <c r="D435" t="s">
        <v>898</v>
      </c>
      <c r="E435" t="s">
        <v>80</v>
      </c>
      <c r="F435" t="s">
        <v>76</v>
      </c>
      <c r="G435" t="s">
        <v>3506</v>
      </c>
      <c r="H435" t="s">
        <v>3507</v>
      </c>
      <c r="I435" t="s">
        <v>3508</v>
      </c>
      <c r="J435" t="s">
        <v>2797</v>
      </c>
      <c r="K435" t="s">
        <v>89</v>
      </c>
      <c r="L435" t="s">
        <v>2966</v>
      </c>
      <c r="M435" t="s">
        <v>89</v>
      </c>
      <c r="N435" t="s">
        <v>2443</v>
      </c>
      <c r="O435" t="s">
        <v>89</v>
      </c>
      <c r="P435" t="s">
        <v>3371</v>
      </c>
      <c r="Q435" t="s">
        <v>3509</v>
      </c>
      <c r="R435" t="s">
        <v>3011</v>
      </c>
      <c r="S435" t="s">
        <v>93</v>
      </c>
      <c r="T435" t="s">
        <v>1320</v>
      </c>
      <c r="U435" t="s">
        <v>3133</v>
      </c>
      <c r="V435" t="s">
        <v>3254</v>
      </c>
      <c r="W435" t="s">
        <v>3229</v>
      </c>
      <c r="X435" t="s">
        <v>160</v>
      </c>
      <c r="Y435" t="s">
        <v>3510</v>
      </c>
      <c r="Z435" t="s">
        <v>1996</v>
      </c>
      <c r="AA435" t="s">
        <v>93</v>
      </c>
      <c r="AB435" t="s">
        <v>1473</v>
      </c>
      <c r="AC435" t="s">
        <v>3511</v>
      </c>
    </row>
    <row r="436" spans="1:29" x14ac:dyDescent="0.25">
      <c r="A436" t="s">
        <v>57</v>
      </c>
      <c r="B436" t="s">
        <v>959</v>
      </c>
      <c r="C436" t="s">
        <v>666</v>
      </c>
      <c r="D436" t="s">
        <v>666</v>
      </c>
      <c r="E436" t="s">
        <v>80</v>
      </c>
      <c r="F436" t="s">
        <v>58</v>
      </c>
      <c r="G436" t="s">
        <v>3512</v>
      </c>
      <c r="H436" t="s">
        <v>3513</v>
      </c>
      <c r="I436" t="s">
        <v>3514</v>
      </c>
      <c r="J436" t="s">
        <v>3515</v>
      </c>
      <c r="K436" t="s">
        <v>2682</v>
      </c>
      <c r="L436" t="s">
        <v>2630</v>
      </c>
      <c r="M436" t="s">
        <v>2498</v>
      </c>
      <c r="N436" t="s">
        <v>2443</v>
      </c>
      <c r="O436" t="s">
        <v>89</v>
      </c>
      <c r="P436" t="s">
        <v>3167</v>
      </c>
      <c r="Q436" t="s">
        <v>3516</v>
      </c>
      <c r="R436" t="s">
        <v>2459</v>
      </c>
      <c r="S436" t="s">
        <v>93</v>
      </c>
      <c r="T436" t="s">
        <v>2460</v>
      </c>
      <c r="U436" t="s">
        <v>3517</v>
      </c>
      <c r="V436" t="s">
        <v>2886</v>
      </c>
      <c r="W436" t="s">
        <v>3518</v>
      </c>
      <c r="X436" t="s">
        <v>160</v>
      </c>
      <c r="Y436" t="s">
        <v>3519</v>
      </c>
      <c r="Z436" t="s">
        <v>2519</v>
      </c>
      <c r="AA436" t="s">
        <v>93</v>
      </c>
      <c r="AB436" t="s">
        <v>2187</v>
      </c>
      <c r="AC436" t="s">
        <v>3520</v>
      </c>
    </row>
    <row r="437" spans="1:29" x14ac:dyDescent="0.25">
      <c r="A437" t="s">
        <v>57</v>
      </c>
      <c r="B437" t="s">
        <v>959</v>
      </c>
      <c r="C437" t="s">
        <v>666</v>
      </c>
      <c r="D437" t="s">
        <v>666</v>
      </c>
      <c r="E437" t="s">
        <v>80</v>
      </c>
      <c r="F437" t="s">
        <v>59</v>
      </c>
      <c r="G437" t="s">
        <v>3521</v>
      </c>
      <c r="H437" t="s">
        <v>3522</v>
      </c>
      <c r="I437" t="s">
        <v>3523</v>
      </c>
      <c r="J437" t="s">
        <v>2904</v>
      </c>
      <c r="K437" t="s">
        <v>2619</v>
      </c>
      <c r="L437" t="s">
        <v>2716</v>
      </c>
      <c r="M437" t="s">
        <v>2498</v>
      </c>
      <c r="N437" t="s">
        <v>2443</v>
      </c>
      <c r="O437" t="s">
        <v>89</v>
      </c>
      <c r="P437" t="s">
        <v>3379</v>
      </c>
      <c r="Q437" t="s">
        <v>3524</v>
      </c>
      <c r="R437" t="s">
        <v>2531</v>
      </c>
      <c r="S437" t="s">
        <v>93</v>
      </c>
      <c r="T437" t="s">
        <v>2098</v>
      </c>
      <c r="U437" t="s">
        <v>3525</v>
      </c>
      <c r="V437" t="s">
        <v>2886</v>
      </c>
      <c r="W437" t="s">
        <v>3526</v>
      </c>
      <c r="X437" t="s">
        <v>160</v>
      </c>
      <c r="Y437" t="s">
        <v>3527</v>
      </c>
      <c r="Z437" t="s">
        <v>2533</v>
      </c>
      <c r="AA437" t="s">
        <v>93</v>
      </c>
      <c r="AB437" t="s">
        <v>2534</v>
      </c>
      <c r="AC437" t="s">
        <v>3528</v>
      </c>
    </row>
    <row r="438" spans="1:29" x14ac:dyDescent="0.25">
      <c r="A438" t="s">
        <v>57</v>
      </c>
      <c r="B438" t="s">
        <v>959</v>
      </c>
      <c r="C438" t="s">
        <v>666</v>
      </c>
      <c r="D438" t="s">
        <v>666</v>
      </c>
      <c r="E438" t="s">
        <v>80</v>
      </c>
      <c r="F438" t="s">
        <v>60</v>
      </c>
      <c r="G438" t="s">
        <v>3529</v>
      </c>
      <c r="H438" t="s">
        <v>3530</v>
      </c>
      <c r="I438" t="s">
        <v>3531</v>
      </c>
      <c r="J438" t="s">
        <v>3532</v>
      </c>
      <c r="K438" t="s">
        <v>2671</v>
      </c>
      <c r="L438" t="s">
        <v>3533</v>
      </c>
      <c r="M438" t="s">
        <v>89</v>
      </c>
      <c r="N438" t="s">
        <v>89</v>
      </c>
      <c r="O438" t="s">
        <v>89</v>
      </c>
      <c r="P438" t="s">
        <v>3379</v>
      </c>
      <c r="Q438" t="s">
        <v>3534</v>
      </c>
      <c r="R438" t="s">
        <v>2719</v>
      </c>
      <c r="S438" t="s">
        <v>93</v>
      </c>
      <c r="T438" t="s">
        <v>113</v>
      </c>
      <c r="U438" t="s">
        <v>3440</v>
      </c>
      <c r="V438" t="s">
        <v>89</v>
      </c>
      <c r="W438" t="s">
        <v>3448</v>
      </c>
      <c r="X438" t="s">
        <v>160</v>
      </c>
      <c r="Y438" t="s">
        <v>3535</v>
      </c>
      <c r="Z438" t="s">
        <v>2592</v>
      </c>
      <c r="AA438" t="s">
        <v>93</v>
      </c>
      <c r="AB438" t="s">
        <v>2593</v>
      </c>
      <c r="AC438" t="s">
        <v>3536</v>
      </c>
    </row>
    <row r="439" spans="1:29" x14ac:dyDescent="0.25">
      <c r="A439" t="s">
        <v>57</v>
      </c>
      <c r="B439" t="s">
        <v>959</v>
      </c>
      <c r="C439" t="s">
        <v>666</v>
      </c>
      <c r="D439" t="s">
        <v>666</v>
      </c>
      <c r="E439" t="s">
        <v>80</v>
      </c>
      <c r="F439" t="s">
        <v>61</v>
      </c>
      <c r="G439" t="s">
        <v>3537</v>
      </c>
      <c r="H439" t="s">
        <v>3538</v>
      </c>
      <c r="I439" t="s">
        <v>3539</v>
      </c>
      <c r="J439" t="s">
        <v>2839</v>
      </c>
      <c r="K439" t="s">
        <v>2431</v>
      </c>
      <c r="L439" t="s">
        <v>2933</v>
      </c>
      <c r="M439" t="s">
        <v>2498</v>
      </c>
      <c r="N439" t="s">
        <v>2443</v>
      </c>
      <c r="O439" t="s">
        <v>89</v>
      </c>
      <c r="P439" t="s">
        <v>3540</v>
      </c>
      <c r="Q439" t="s">
        <v>3541</v>
      </c>
      <c r="R439" t="s">
        <v>3338</v>
      </c>
      <c r="S439" t="s">
        <v>93</v>
      </c>
      <c r="T439" t="s">
        <v>3339</v>
      </c>
      <c r="U439" t="s">
        <v>3480</v>
      </c>
      <c r="V439" t="s">
        <v>3542</v>
      </c>
      <c r="W439" t="s">
        <v>3526</v>
      </c>
      <c r="X439" t="s">
        <v>160</v>
      </c>
      <c r="Y439" t="s">
        <v>3543</v>
      </c>
      <c r="Z439" t="s">
        <v>3017</v>
      </c>
      <c r="AA439" t="s">
        <v>93</v>
      </c>
      <c r="AB439" t="s">
        <v>2376</v>
      </c>
      <c r="AC439" t="s">
        <v>3544</v>
      </c>
    </row>
    <row r="440" spans="1:29" x14ac:dyDescent="0.25">
      <c r="A440" t="s">
        <v>57</v>
      </c>
      <c r="B440" t="s">
        <v>959</v>
      </c>
      <c r="C440" t="s">
        <v>666</v>
      </c>
      <c r="D440" t="s">
        <v>666</v>
      </c>
      <c r="E440" t="s">
        <v>80</v>
      </c>
      <c r="F440" t="s">
        <v>62</v>
      </c>
      <c r="G440" t="s">
        <v>3545</v>
      </c>
      <c r="H440" t="s">
        <v>3546</v>
      </c>
      <c r="I440" t="s">
        <v>3547</v>
      </c>
      <c r="J440" t="s">
        <v>3548</v>
      </c>
      <c r="K440" t="s">
        <v>2682</v>
      </c>
      <c r="L440" t="s">
        <v>2874</v>
      </c>
      <c r="M440" t="s">
        <v>2498</v>
      </c>
      <c r="N440" t="s">
        <v>89</v>
      </c>
      <c r="O440" t="s">
        <v>89</v>
      </c>
      <c r="P440" t="s">
        <v>3401</v>
      </c>
      <c r="Q440" t="s">
        <v>3549</v>
      </c>
      <c r="R440" t="s">
        <v>2548</v>
      </c>
      <c r="S440" t="s">
        <v>93</v>
      </c>
      <c r="T440" t="s">
        <v>101</v>
      </c>
      <c r="U440" t="s">
        <v>3006</v>
      </c>
      <c r="V440" t="s">
        <v>89</v>
      </c>
      <c r="W440" t="s">
        <v>3518</v>
      </c>
      <c r="X440" t="s">
        <v>2476</v>
      </c>
      <c r="Y440" t="s">
        <v>3550</v>
      </c>
      <c r="Z440" t="s">
        <v>2551</v>
      </c>
      <c r="AA440" t="s">
        <v>93</v>
      </c>
      <c r="AB440" t="s">
        <v>1860</v>
      </c>
      <c r="AC440" t="s">
        <v>3551</v>
      </c>
    </row>
    <row r="441" spans="1:29" x14ac:dyDescent="0.25">
      <c r="A441" t="s">
        <v>57</v>
      </c>
      <c r="B441" t="s">
        <v>959</v>
      </c>
      <c r="C441" t="s">
        <v>666</v>
      </c>
      <c r="D441" t="s">
        <v>666</v>
      </c>
      <c r="E441" t="s">
        <v>80</v>
      </c>
      <c r="F441" t="s">
        <v>63</v>
      </c>
      <c r="G441" t="s">
        <v>3552</v>
      </c>
      <c r="H441" t="s">
        <v>3553</v>
      </c>
      <c r="I441" t="s">
        <v>3554</v>
      </c>
      <c r="J441" t="s">
        <v>3386</v>
      </c>
      <c r="K441" t="s">
        <v>2705</v>
      </c>
      <c r="L441" t="s">
        <v>2672</v>
      </c>
      <c r="M441" t="s">
        <v>2436</v>
      </c>
      <c r="N441" t="s">
        <v>89</v>
      </c>
      <c r="O441" t="s">
        <v>89</v>
      </c>
      <c r="P441" t="s">
        <v>3555</v>
      </c>
      <c r="Q441" t="s">
        <v>3556</v>
      </c>
      <c r="R441" t="s">
        <v>2559</v>
      </c>
      <c r="S441" t="s">
        <v>93</v>
      </c>
      <c r="T441" t="s">
        <v>109</v>
      </c>
      <c r="U441" t="s">
        <v>3006</v>
      </c>
      <c r="V441" t="s">
        <v>89</v>
      </c>
      <c r="W441" t="s">
        <v>3518</v>
      </c>
      <c r="X441" t="s">
        <v>2140</v>
      </c>
      <c r="Y441" t="s">
        <v>3557</v>
      </c>
      <c r="Z441" t="s">
        <v>2719</v>
      </c>
      <c r="AA441" t="s">
        <v>93</v>
      </c>
      <c r="AB441" t="s">
        <v>113</v>
      </c>
      <c r="AC441" t="s">
        <v>3558</v>
      </c>
    </row>
    <row r="442" spans="1:29" x14ac:dyDescent="0.25">
      <c r="A442" t="s">
        <v>57</v>
      </c>
      <c r="B442" t="s">
        <v>959</v>
      </c>
      <c r="C442" t="s">
        <v>666</v>
      </c>
      <c r="D442" t="s">
        <v>666</v>
      </c>
      <c r="E442" t="s">
        <v>80</v>
      </c>
      <c r="F442" t="s">
        <v>64</v>
      </c>
      <c r="G442" t="s">
        <v>3559</v>
      </c>
      <c r="H442" t="s">
        <v>3560</v>
      </c>
      <c r="I442" t="s">
        <v>3561</v>
      </c>
      <c r="J442" t="s">
        <v>2715</v>
      </c>
      <c r="K442" t="s">
        <v>2705</v>
      </c>
      <c r="L442" t="s">
        <v>2661</v>
      </c>
      <c r="M442" t="s">
        <v>2436</v>
      </c>
      <c r="N442" t="s">
        <v>89</v>
      </c>
      <c r="O442" t="s">
        <v>89</v>
      </c>
      <c r="P442" t="s">
        <v>3485</v>
      </c>
      <c r="Q442" t="s">
        <v>3562</v>
      </c>
      <c r="R442" t="s">
        <v>2747</v>
      </c>
      <c r="S442" t="s">
        <v>93</v>
      </c>
      <c r="T442" t="s">
        <v>558</v>
      </c>
      <c r="U442" t="s">
        <v>3179</v>
      </c>
      <c r="V442" t="s">
        <v>89</v>
      </c>
      <c r="W442" t="s">
        <v>3518</v>
      </c>
      <c r="X442" t="s">
        <v>160</v>
      </c>
      <c r="Y442" t="s">
        <v>3563</v>
      </c>
      <c r="Z442" t="s">
        <v>2750</v>
      </c>
      <c r="AA442" t="s">
        <v>93</v>
      </c>
      <c r="AB442" t="s">
        <v>2751</v>
      </c>
      <c r="AC442" t="s">
        <v>3564</v>
      </c>
    </row>
    <row r="443" spans="1:29" x14ac:dyDescent="0.25">
      <c r="A443" t="s">
        <v>57</v>
      </c>
      <c r="B443" t="s">
        <v>959</v>
      </c>
      <c r="C443" t="s">
        <v>666</v>
      </c>
      <c r="D443" t="s">
        <v>666</v>
      </c>
      <c r="E443" t="s">
        <v>80</v>
      </c>
      <c r="F443" t="s">
        <v>65</v>
      </c>
      <c r="G443" t="s">
        <v>3565</v>
      </c>
      <c r="H443" t="s">
        <v>3566</v>
      </c>
      <c r="I443" t="s">
        <v>3567</v>
      </c>
      <c r="J443" t="s">
        <v>3568</v>
      </c>
      <c r="K443" t="s">
        <v>2682</v>
      </c>
      <c r="L443" t="s">
        <v>2874</v>
      </c>
      <c r="M443" t="s">
        <v>2436</v>
      </c>
      <c r="N443" t="s">
        <v>89</v>
      </c>
      <c r="O443" t="s">
        <v>89</v>
      </c>
      <c r="P443" t="s">
        <v>3569</v>
      </c>
      <c r="Q443" t="s">
        <v>3570</v>
      </c>
      <c r="R443" t="s">
        <v>2585</v>
      </c>
      <c r="S443" t="s">
        <v>93</v>
      </c>
      <c r="T443" t="s">
        <v>820</v>
      </c>
      <c r="U443" t="s">
        <v>3179</v>
      </c>
      <c r="V443" t="s">
        <v>89</v>
      </c>
      <c r="W443" t="s">
        <v>3526</v>
      </c>
      <c r="X443" t="s">
        <v>160</v>
      </c>
      <c r="Y443" t="s">
        <v>3571</v>
      </c>
      <c r="Z443" t="s">
        <v>2688</v>
      </c>
      <c r="AA443" t="s">
        <v>93</v>
      </c>
      <c r="AB443" t="s">
        <v>823</v>
      </c>
      <c r="AC443" t="s">
        <v>3572</v>
      </c>
    </row>
    <row r="444" spans="1:29" x14ac:dyDescent="0.25">
      <c r="A444" t="s">
        <v>57</v>
      </c>
      <c r="B444" t="s">
        <v>959</v>
      </c>
      <c r="C444" t="s">
        <v>666</v>
      </c>
      <c r="D444" t="s">
        <v>666</v>
      </c>
      <c r="E444" t="s">
        <v>80</v>
      </c>
      <c r="F444" t="s">
        <v>66</v>
      </c>
      <c r="G444" t="s">
        <v>3573</v>
      </c>
      <c r="H444" t="s">
        <v>3574</v>
      </c>
      <c r="I444" t="s">
        <v>3575</v>
      </c>
      <c r="J444" t="s">
        <v>2715</v>
      </c>
      <c r="K444" t="s">
        <v>2619</v>
      </c>
      <c r="L444" t="s">
        <v>2815</v>
      </c>
      <c r="M444" t="s">
        <v>2436</v>
      </c>
      <c r="N444" t="s">
        <v>89</v>
      </c>
      <c r="O444" t="s">
        <v>89</v>
      </c>
      <c r="P444" t="s">
        <v>3569</v>
      </c>
      <c r="Q444" t="s">
        <v>3576</v>
      </c>
      <c r="R444" t="s">
        <v>2778</v>
      </c>
      <c r="S444" t="s">
        <v>93</v>
      </c>
      <c r="T444" t="s">
        <v>2779</v>
      </c>
      <c r="U444" t="s">
        <v>3179</v>
      </c>
      <c r="V444" t="s">
        <v>89</v>
      </c>
      <c r="W444" t="s">
        <v>3518</v>
      </c>
      <c r="X444" t="s">
        <v>2173</v>
      </c>
      <c r="Y444" t="s">
        <v>3577</v>
      </c>
      <c r="Z444" t="s">
        <v>2915</v>
      </c>
      <c r="AA444" t="s">
        <v>93</v>
      </c>
      <c r="AB444" t="s">
        <v>554</v>
      </c>
      <c r="AC444" t="s">
        <v>3578</v>
      </c>
    </row>
    <row r="445" spans="1:29" x14ac:dyDescent="0.25">
      <c r="A445" t="s">
        <v>57</v>
      </c>
      <c r="B445" t="s">
        <v>959</v>
      </c>
      <c r="C445" t="s">
        <v>666</v>
      </c>
      <c r="D445" t="s">
        <v>666</v>
      </c>
      <c r="E445" t="s">
        <v>80</v>
      </c>
      <c r="F445" t="s">
        <v>67</v>
      </c>
      <c r="G445" t="s">
        <v>3579</v>
      </c>
      <c r="H445" t="s">
        <v>3580</v>
      </c>
      <c r="I445" t="s">
        <v>3581</v>
      </c>
      <c r="J445" t="s">
        <v>3430</v>
      </c>
      <c r="K445" t="s">
        <v>2431</v>
      </c>
      <c r="L445" t="s">
        <v>2620</v>
      </c>
      <c r="M445" t="s">
        <v>2436</v>
      </c>
      <c r="N445" t="s">
        <v>89</v>
      </c>
      <c r="O445" t="s">
        <v>89</v>
      </c>
      <c r="P445" t="s">
        <v>3582</v>
      </c>
      <c r="Q445" t="s">
        <v>3583</v>
      </c>
      <c r="R445" t="s">
        <v>2792</v>
      </c>
      <c r="S445" t="s">
        <v>93</v>
      </c>
      <c r="T445" t="s">
        <v>624</v>
      </c>
      <c r="U445" t="s">
        <v>3179</v>
      </c>
      <c r="V445" t="s">
        <v>89</v>
      </c>
      <c r="W445" t="s">
        <v>3518</v>
      </c>
      <c r="X445" t="s">
        <v>160</v>
      </c>
      <c r="Y445" t="s">
        <v>3584</v>
      </c>
      <c r="Z445" t="s">
        <v>2925</v>
      </c>
      <c r="AA445" t="s">
        <v>93</v>
      </c>
      <c r="AB445" t="s">
        <v>629</v>
      </c>
      <c r="AC445" t="s">
        <v>3585</v>
      </c>
    </row>
    <row r="446" spans="1:29" x14ac:dyDescent="0.25">
      <c r="A446" t="s">
        <v>57</v>
      </c>
      <c r="B446" t="s">
        <v>959</v>
      </c>
      <c r="C446" t="s">
        <v>666</v>
      </c>
      <c r="D446" t="s">
        <v>666</v>
      </c>
      <c r="E446" t="s">
        <v>80</v>
      </c>
      <c r="F446" t="s">
        <v>68</v>
      </c>
      <c r="G446" t="s">
        <v>3586</v>
      </c>
      <c r="H446" t="s">
        <v>3587</v>
      </c>
      <c r="I446" t="s">
        <v>3588</v>
      </c>
      <c r="J446" t="s">
        <v>2912</v>
      </c>
      <c r="K446" t="s">
        <v>2682</v>
      </c>
      <c r="L446" t="s">
        <v>2874</v>
      </c>
      <c r="M446" t="s">
        <v>2433</v>
      </c>
      <c r="N446" t="s">
        <v>89</v>
      </c>
      <c r="O446" t="s">
        <v>89</v>
      </c>
      <c r="P446" t="s">
        <v>3589</v>
      </c>
      <c r="Q446" t="s">
        <v>3590</v>
      </c>
      <c r="R446" t="s">
        <v>2719</v>
      </c>
      <c r="S446" t="s">
        <v>93</v>
      </c>
      <c r="T446" t="s">
        <v>113</v>
      </c>
      <c r="U446" t="s">
        <v>3006</v>
      </c>
      <c r="V446" t="s">
        <v>89</v>
      </c>
      <c r="W446" t="s">
        <v>3518</v>
      </c>
      <c r="X446" t="s">
        <v>160</v>
      </c>
      <c r="Y446" t="s">
        <v>3591</v>
      </c>
      <c r="Z446" t="s">
        <v>2592</v>
      </c>
      <c r="AA446" t="s">
        <v>93</v>
      </c>
      <c r="AB446" t="s">
        <v>2593</v>
      </c>
      <c r="AC446" t="s">
        <v>3592</v>
      </c>
    </row>
    <row r="447" spans="1:29" x14ac:dyDescent="0.25">
      <c r="A447" t="s">
        <v>57</v>
      </c>
      <c r="B447" t="s">
        <v>959</v>
      </c>
      <c r="C447" t="s">
        <v>666</v>
      </c>
      <c r="D447" t="s">
        <v>666</v>
      </c>
      <c r="E447" t="s">
        <v>80</v>
      </c>
      <c r="F447" t="s">
        <v>69</v>
      </c>
      <c r="G447" t="s">
        <v>3593</v>
      </c>
      <c r="H447" t="s">
        <v>3594</v>
      </c>
      <c r="I447" t="s">
        <v>3595</v>
      </c>
      <c r="J447" t="s">
        <v>3596</v>
      </c>
      <c r="K447" t="s">
        <v>2640</v>
      </c>
      <c r="L447" t="s">
        <v>2630</v>
      </c>
      <c r="M447" t="s">
        <v>2436</v>
      </c>
      <c r="N447" t="s">
        <v>89</v>
      </c>
      <c r="O447" t="s">
        <v>89</v>
      </c>
      <c r="P447" t="s">
        <v>3278</v>
      </c>
      <c r="Q447" t="s">
        <v>3597</v>
      </c>
      <c r="R447" t="s">
        <v>2899</v>
      </c>
      <c r="S447" t="s">
        <v>93</v>
      </c>
      <c r="T447" t="s">
        <v>127</v>
      </c>
      <c r="U447" t="s">
        <v>3179</v>
      </c>
      <c r="V447" t="s">
        <v>89</v>
      </c>
      <c r="W447" t="s">
        <v>3518</v>
      </c>
      <c r="X447" t="s">
        <v>160</v>
      </c>
      <c r="Y447" t="s">
        <v>3598</v>
      </c>
      <c r="Z447" t="s">
        <v>2788</v>
      </c>
      <c r="AA447" t="s">
        <v>93</v>
      </c>
      <c r="AB447" t="s">
        <v>2789</v>
      </c>
      <c r="AC447" t="s">
        <v>3599</v>
      </c>
    </row>
    <row r="448" spans="1:29" x14ac:dyDescent="0.25">
      <c r="A448" t="s">
        <v>57</v>
      </c>
      <c r="B448" t="s">
        <v>959</v>
      </c>
      <c r="C448" t="s">
        <v>666</v>
      </c>
      <c r="D448" t="s">
        <v>666</v>
      </c>
      <c r="E448" t="s">
        <v>80</v>
      </c>
      <c r="F448" t="s">
        <v>70</v>
      </c>
      <c r="G448" t="s">
        <v>3600</v>
      </c>
      <c r="H448" t="s">
        <v>3601</v>
      </c>
      <c r="I448" t="s">
        <v>3602</v>
      </c>
      <c r="J448" t="s">
        <v>3603</v>
      </c>
      <c r="K448" t="s">
        <v>2619</v>
      </c>
      <c r="L448" t="s">
        <v>2672</v>
      </c>
      <c r="M448" t="s">
        <v>3179</v>
      </c>
      <c r="N448" t="s">
        <v>89</v>
      </c>
      <c r="O448" t="s">
        <v>3604</v>
      </c>
      <c r="P448" t="s">
        <v>2299</v>
      </c>
      <c r="Q448" t="s">
        <v>3605</v>
      </c>
      <c r="R448" t="s">
        <v>2959</v>
      </c>
      <c r="S448" t="s">
        <v>93</v>
      </c>
      <c r="T448" t="s">
        <v>221</v>
      </c>
      <c r="U448" t="s">
        <v>3179</v>
      </c>
      <c r="V448" t="s">
        <v>89</v>
      </c>
      <c r="W448" t="s">
        <v>3518</v>
      </c>
      <c r="X448" t="s">
        <v>2299</v>
      </c>
      <c r="Y448" t="s">
        <v>3606</v>
      </c>
      <c r="Z448" t="s">
        <v>2961</v>
      </c>
      <c r="AA448" t="s">
        <v>93</v>
      </c>
      <c r="AB448" t="s">
        <v>639</v>
      </c>
      <c r="AC448" t="s">
        <v>3607</v>
      </c>
    </row>
    <row r="449" spans="1:29" x14ac:dyDescent="0.25">
      <c r="A449" t="s">
        <v>57</v>
      </c>
      <c r="B449" t="s">
        <v>959</v>
      </c>
      <c r="C449" t="s">
        <v>666</v>
      </c>
      <c r="D449" t="s">
        <v>666</v>
      </c>
      <c r="E449" t="s">
        <v>80</v>
      </c>
      <c r="F449" t="s">
        <v>71</v>
      </c>
      <c r="G449" t="s">
        <v>3608</v>
      </c>
      <c r="H449" t="s">
        <v>3609</v>
      </c>
      <c r="I449" t="s">
        <v>3610</v>
      </c>
      <c r="J449" t="s">
        <v>3611</v>
      </c>
      <c r="K449" t="s">
        <v>2431</v>
      </c>
      <c r="L449" t="s">
        <v>3612</v>
      </c>
      <c r="M449" t="s">
        <v>89</v>
      </c>
      <c r="N449" t="s">
        <v>2443</v>
      </c>
      <c r="O449" t="s">
        <v>89</v>
      </c>
      <c r="P449" t="s">
        <v>3131</v>
      </c>
      <c r="Q449" t="s">
        <v>3613</v>
      </c>
      <c r="R449" t="s">
        <v>2479</v>
      </c>
      <c r="S449" t="s">
        <v>93</v>
      </c>
      <c r="T449" t="s">
        <v>2198</v>
      </c>
      <c r="U449" t="s">
        <v>3488</v>
      </c>
      <c r="V449" t="s">
        <v>2607</v>
      </c>
      <c r="W449" t="s">
        <v>3395</v>
      </c>
      <c r="X449" t="s">
        <v>160</v>
      </c>
      <c r="Y449" t="s">
        <v>3614</v>
      </c>
      <c r="Z449" t="s">
        <v>2445</v>
      </c>
      <c r="AA449" t="s">
        <v>93</v>
      </c>
      <c r="AB449" t="s">
        <v>2446</v>
      </c>
      <c r="AC449" t="s">
        <v>3615</v>
      </c>
    </row>
    <row r="450" spans="1:29" x14ac:dyDescent="0.25">
      <c r="A450" t="s">
        <v>57</v>
      </c>
      <c r="B450" t="s">
        <v>959</v>
      </c>
      <c r="C450" t="s">
        <v>666</v>
      </c>
      <c r="D450" t="s">
        <v>666</v>
      </c>
      <c r="E450" t="s">
        <v>80</v>
      </c>
      <c r="F450" t="s">
        <v>72</v>
      </c>
      <c r="G450" t="s">
        <v>3616</v>
      </c>
      <c r="H450" t="s">
        <v>3617</v>
      </c>
      <c r="I450" t="s">
        <v>3387</v>
      </c>
      <c r="J450" t="s">
        <v>3568</v>
      </c>
      <c r="K450" t="s">
        <v>2619</v>
      </c>
      <c r="L450" t="s">
        <v>2874</v>
      </c>
      <c r="M450" t="s">
        <v>3006</v>
      </c>
      <c r="N450" t="s">
        <v>89</v>
      </c>
      <c r="O450" t="s">
        <v>89</v>
      </c>
      <c r="P450" t="s">
        <v>3618</v>
      </c>
      <c r="Q450" t="s">
        <v>3619</v>
      </c>
      <c r="R450" t="s">
        <v>2915</v>
      </c>
      <c r="S450" t="s">
        <v>93</v>
      </c>
      <c r="T450" t="s">
        <v>554</v>
      </c>
      <c r="U450" t="s">
        <v>3006</v>
      </c>
      <c r="V450" t="s">
        <v>89</v>
      </c>
      <c r="W450" t="s">
        <v>3441</v>
      </c>
      <c r="X450" t="s">
        <v>160</v>
      </c>
      <c r="Y450" t="s">
        <v>3620</v>
      </c>
      <c r="Z450" t="s">
        <v>2747</v>
      </c>
      <c r="AA450" t="s">
        <v>93</v>
      </c>
      <c r="AB450" t="s">
        <v>558</v>
      </c>
      <c r="AC450" t="s">
        <v>3621</v>
      </c>
    </row>
    <row r="451" spans="1:29" x14ac:dyDescent="0.25">
      <c r="A451" t="s">
        <v>57</v>
      </c>
      <c r="B451" t="s">
        <v>959</v>
      </c>
      <c r="C451" t="s">
        <v>666</v>
      </c>
      <c r="D451" t="s">
        <v>666</v>
      </c>
      <c r="E451" t="s">
        <v>80</v>
      </c>
      <c r="F451" t="s">
        <v>73</v>
      </c>
      <c r="G451" t="s">
        <v>3622</v>
      </c>
      <c r="H451" t="s">
        <v>3623</v>
      </c>
      <c r="I451" t="s">
        <v>3624</v>
      </c>
      <c r="J451" t="s">
        <v>2814</v>
      </c>
      <c r="K451" t="s">
        <v>2671</v>
      </c>
      <c r="L451" t="s">
        <v>2815</v>
      </c>
      <c r="M451" t="s">
        <v>3006</v>
      </c>
      <c r="N451" t="s">
        <v>2607</v>
      </c>
      <c r="O451" t="s">
        <v>89</v>
      </c>
      <c r="P451" t="s">
        <v>3618</v>
      </c>
      <c r="Q451" t="s">
        <v>3625</v>
      </c>
      <c r="R451" t="s">
        <v>2927</v>
      </c>
      <c r="S451" t="s">
        <v>93</v>
      </c>
      <c r="T451" t="s">
        <v>854</v>
      </c>
      <c r="U451" t="s">
        <v>3006</v>
      </c>
      <c r="V451" t="s">
        <v>2607</v>
      </c>
      <c r="W451" t="s">
        <v>3448</v>
      </c>
      <c r="X451" t="s">
        <v>160</v>
      </c>
      <c r="Y451" t="s">
        <v>3626</v>
      </c>
      <c r="Z451" t="s">
        <v>3497</v>
      </c>
      <c r="AA451" t="s">
        <v>93</v>
      </c>
      <c r="AB451" t="s">
        <v>857</v>
      </c>
      <c r="AC451" t="s">
        <v>3627</v>
      </c>
    </row>
    <row r="452" spans="1:29" x14ac:dyDescent="0.25">
      <c r="A452" t="s">
        <v>57</v>
      </c>
      <c r="B452" t="s">
        <v>959</v>
      </c>
      <c r="C452" t="s">
        <v>666</v>
      </c>
      <c r="D452" t="s">
        <v>666</v>
      </c>
      <c r="E452" t="s">
        <v>80</v>
      </c>
      <c r="F452" t="s">
        <v>74</v>
      </c>
      <c r="G452" t="s">
        <v>3628</v>
      </c>
      <c r="H452" t="s">
        <v>3629</v>
      </c>
      <c r="I452" t="s">
        <v>3630</v>
      </c>
      <c r="J452" t="s">
        <v>2912</v>
      </c>
      <c r="K452" t="s">
        <v>3631</v>
      </c>
      <c r="L452" t="s">
        <v>2630</v>
      </c>
      <c r="M452" t="s">
        <v>3006</v>
      </c>
      <c r="N452" t="s">
        <v>2607</v>
      </c>
      <c r="O452" t="s">
        <v>89</v>
      </c>
      <c r="P452" t="s">
        <v>1798</v>
      </c>
      <c r="Q452" t="s">
        <v>3632</v>
      </c>
      <c r="R452" t="s">
        <v>3633</v>
      </c>
      <c r="S452" t="s">
        <v>93</v>
      </c>
      <c r="T452" t="s">
        <v>864</v>
      </c>
      <c r="U452" t="s">
        <v>3006</v>
      </c>
      <c r="V452" t="s">
        <v>3006</v>
      </c>
      <c r="W452" t="s">
        <v>3489</v>
      </c>
      <c r="X452" t="s">
        <v>160</v>
      </c>
      <c r="Y452" t="s">
        <v>3634</v>
      </c>
      <c r="Z452" t="s">
        <v>3635</v>
      </c>
      <c r="AA452" t="s">
        <v>93</v>
      </c>
      <c r="AB452" t="s">
        <v>228</v>
      </c>
      <c r="AC452" t="s">
        <v>3636</v>
      </c>
    </row>
    <row r="453" spans="1:29" x14ac:dyDescent="0.25">
      <c r="A453" t="s">
        <v>57</v>
      </c>
      <c r="B453" t="s">
        <v>959</v>
      </c>
      <c r="C453" t="s">
        <v>666</v>
      </c>
      <c r="D453" t="s">
        <v>666</v>
      </c>
      <c r="E453" t="s">
        <v>80</v>
      </c>
      <c r="F453" t="s">
        <v>75</v>
      </c>
      <c r="G453" t="s">
        <v>3637</v>
      </c>
      <c r="H453" t="s">
        <v>3638</v>
      </c>
      <c r="I453" t="s">
        <v>3639</v>
      </c>
      <c r="J453" t="s">
        <v>3640</v>
      </c>
      <c r="K453" t="s">
        <v>89</v>
      </c>
      <c r="L453" t="s">
        <v>3612</v>
      </c>
      <c r="M453" t="s">
        <v>89</v>
      </c>
      <c r="N453" t="s">
        <v>2443</v>
      </c>
      <c r="O453" t="s">
        <v>89</v>
      </c>
      <c r="P453" t="s">
        <v>3167</v>
      </c>
      <c r="Q453" t="s">
        <v>3641</v>
      </c>
      <c r="R453" t="s">
        <v>2519</v>
      </c>
      <c r="S453" t="s">
        <v>93</v>
      </c>
      <c r="T453" t="s">
        <v>2187</v>
      </c>
      <c r="U453" t="s">
        <v>3525</v>
      </c>
      <c r="V453" t="s">
        <v>2897</v>
      </c>
      <c r="W453" t="s">
        <v>3642</v>
      </c>
      <c r="X453" t="s">
        <v>160</v>
      </c>
      <c r="Y453" t="s">
        <v>3643</v>
      </c>
      <c r="Z453" t="s">
        <v>2522</v>
      </c>
      <c r="AA453" t="s">
        <v>93</v>
      </c>
      <c r="AB453" t="s">
        <v>2523</v>
      </c>
      <c r="AC453" t="s">
        <v>3644</v>
      </c>
    </row>
    <row r="454" spans="1:29" x14ac:dyDescent="0.25">
      <c r="A454" t="s">
        <v>57</v>
      </c>
      <c r="B454" t="s">
        <v>959</v>
      </c>
      <c r="C454" t="s">
        <v>666</v>
      </c>
      <c r="D454" t="s">
        <v>666</v>
      </c>
      <c r="E454" t="s">
        <v>80</v>
      </c>
      <c r="F454" t="s">
        <v>76</v>
      </c>
      <c r="G454" t="s">
        <v>3645</v>
      </c>
      <c r="H454" t="s">
        <v>3646</v>
      </c>
      <c r="I454" t="s">
        <v>3647</v>
      </c>
      <c r="J454" t="s">
        <v>3648</v>
      </c>
      <c r="K454" t="s">
        <v>89</v>
      </c>
      <c r="L454" t="s">
        <v>2640</v>
      </c>
      <c r="M454" t="s">
        <v>89</v>
      </c>
      <c r="N454" t="s">
        <v>2443</v>
      </c>
      <c r="O454" t="s">
        <v>89</v>
      </c>
      <c r="P454" t="s">
        <v>3589</v>
      </c>
      <c r="Q454" t="s">
        <v>3649</v>
      </c>
      <c r="R454" t="s">
        <v>2465</v>
      </c>
      <c r="S454" t="s">
        <v>93</v>
      </c>
      <c r="T454" t="s">
        <v>1568</v>
      </c>
      <c r="U454" t="s">
        <v>2916</v>
      </c>
      <c r="V454" t="s">
        <v>3542</v>
      </c>
      <c r="W454" t="s">
        <v>3650</v>
      </c>
      <c r="X454" t="s">
        <v>160</v>
      </c>
      <c r="Y454" t="s">
        <v>3651</v>
      </c>
      <c r="Z454" t="s">
        <v>2467</v>
      </c>
      <c r="AA454" t="s">
        <v>93</v>
      </c>
      <c r="AB454" t="s">
        <v>1945</v>
      </c>
      <c r="AC454" t="s">
        <v>3652</v>
      </c>
    </row>
    <row r="455" spans="1:29" x14ac:dyDescent="0.25">
      <c r="A455" t="s">
        <v>57</v>
      </c>
      <c r="B455" t="s">
        <v>897</v>
      </c>
      <c r="C455" t="s">
        <v>1026</v>
      </c>
      <c r="D455" t="s">
        <v>274</v>
      </c>
      <c r="E455" t="s">
        <v>80</v>
      </c>
      <c r="F455" t="s">
        <v>58</v>
      </c>
      <c r="G455" t="s">
        <v>2615</v>
      </c>
      <c r="H455" t="s">
        <v>3653</v>
      </c>
      <c r="I455" t="s">
        <v>1176</v>
      </c>
      <c r="J455" t="s">
        <v>89</v>
      </c>
      <c r="K455" t="s">
        <v>89</v>
      </c>
      <c r="L455" t="s">
        <v>2506</v>
      </c>
      <c r="M455" t="s">
        <v>3006</v>
      </c>
      <c r="N455" t="s">
        <v>2607</v>
      </c>
      <c r="O455" t="s">
        <v>89</v>
      </c>
      <c r="P455" t="s">
        <v>1440</v>
      </c>
      <c r="Q455" t="s">
        <v>3654</v>
      </c>
      <c r="R455" t="s">
        <v>2479</v>
      </c>
      <c r="S455" t="s">
        <v>93</v>
      </c>
      <c r="T455" t="s">
        <v>2198</v>
      </c>
      <c r="U455" t="s">
        <v>3517</v>
      </c>
      <c r="V455" t="s">
        <v>2886</v>
      </c>
      <c r="W455" t="s">
        <v>3604</v>
      </c>
      <c r="X455" t="s">
        <v>160</v>
      </c>
      <c r="Y455" t="s">
        <v>3655</v>
      </c>
      <c r="Z455" t="s">
        <v>2445</v>
      </c>
      <c r="AA455" t="s">
        <v>93</v>
      </c>
      <c r="AB455" t="s">
        <v>2446</v>
      </c>
      <c r="AC455" t="s">
        <v>3656</v>
      </c>
    </row>
    <row r="456" spans="1:29" x14ac:dyDescent="0.25">
      <c r="A456" t="s">
        <v>57</v>
      </c>
      <c r="B456" t="s">
        <v>897</v>
      </c>
      <c r="C456" t="s">
        <v>1026</v>
      </c>
      <c r="D456" t="s">
        <v>274</v>
      </c>
      <c r="E456" t="s">
        <v>80</v>
      </c>
      <c r="F456" t="s">
        <v>59</v>
      </c>
      <c r="G456" t="s">
        <v>2626</v>
      </c>
      <c r="H456" t="s">
        <v>3657</v>
      </c>
      <c r="I456" t="s">
        <v>972</v>
      </c>
      <c r="J456" t="s">
        <v>89</v>
      </c>
      <c r="K456" t="s">
        <v>89</v>
      </c>
      <c r="L456" t="s">
        <v>2432</v>
      </c>
      <c r="M456" t="s">
        <v>3179</v>
      </c>
      <c r="N456" t="s">
        <v>2607</v>
      </c>
      <c r="O456" t="s">
        <v>89</v>
      </c>
      <c r="P456" t="s">
        <v>2211</v>
      </c>
      <c r="Q456" t="s">
        <v>3658</v>
      </c>
      <c r="R456" t="s">
        <v>2456</v>
      </c>
      <c r="S456" t="s">
        <v>93</v>
      </c>
      <c r="T456" t="s">
        <v>2257</v>
      </c>
      <c r="U456" t="s">
        <v>3440</v>
      </c>
      <c r="V456" t="s">
        <v>3006</v>
      </c>
      <c r="W456" t="s">
        <v>3411</v>
      </c>
      <c r="X456" t="s">
        <v>160</v>
      </c>
      <c r="Y456" t="s">
        <v>3659</v>
      </c>
      <c r="Z456" t="s">
        <v>2459</v>
      </c>
      <c r="AA456" t="s">
        <v>93</v>
      </c>
      <c r="AB456" t="s">
        <v>2460</v>
      </c>
      <c r="AC456" t="s">
        <v>3660</v>
      </c>
    </row>
    <row r="457" spans="1:29" x14ac:dyDescent="0.25">
      <c r="A457" t="s">
        <v>57</v>
      </c>
      <c r="B457" t="s">
        <v>897</v>
      </c>
      <c r="C457" t="s">
        <v>1026</v>
      </c>
      <c r="D457" t="s">
        <v>274</v>
      </c>
      <c r="E457" t="s">
        <v>80</v>
      </c>
      <c r="F457" t="s">
        <v>60</v>
      </c>
      <c r="G457" t="s">
        <v>2636</v>
      </c>
      <c r="H457" t="s">
        <v>3661</v>
      </c>
      <c r="I457" t="s">
        <v>2098</v>
      </c>
      <c r="J457" t="s">
        <v>89</v>
      </c>
      <c r="K457" t="s">
        <v>2431</v>
      </c>
      <c r="L457" t="s">
        <v>2472</v>
      </c>
      <c r="M457" t="s">
        <v>3006</v>
      </c>
      <c r="N457" t="s">
        <v>2607</v>
      </c>
      <c r="O457" t="s">
        <v>89</v>
      </c>
      <c r="P457" t="s">
        <v>3618</v>
      </c>
      <c r="Q457" t="s">
        <v>3662</v>
      </c>
      <c r="R457" t="s">
        <v>2501</v>
      </c>
      <c r="S457" t="s">
        <v>93</v>
      </c>
      <c r="T457" t="s">
        <v>94</v>
      </c>
      <c r="U457" t="s">
        <v>3440</v>
      </c>
      <c r="V457" t="s">
        <v>2607</v>
      </c>
      <c r="W457" t="s">
        <v>3395</v>
      </c>
      <c r="X457" t="s">
        <v>160</v>
      </c>
      <c r="Y457" t="s">
        <v>3663</v>
      </c>
      <c r="Z457" t="s">
        <v>2548</v>
      </c>
      <c r="AA457" t="s">
        <v>93</v>
      </c>
      <c r="AB457" t="s">
        <v>101</v>
      </c>
      <c r="AC457" t="s">
        <v>3664</v>
      </c>
    </row>
    <row r="458" spans="1:29" x14ac:dyDescent="0.25">
      <c r="A458" t="s">
        <v>57</v>
      </c>
      <c r="B458" t="s">
        <v>897</v>
      </c>
      <c r="C458" t="s">
        <v>1026</v>
      </c>
      <c r="D458" t="s">
        <v>274</v>
      </c>
      <c r="E458" t="s">
        <v>80</v>
      </c>
      <c r="F458" t="s">
        <v>61</v>
      </c>
      <c r="G458" t="s">
        <v>2647</v>
      </c>
      <c r="H458" t="s">
        <v>3665</v>
      </c>
      <c r="I458" t="s">
        <v>1705</v>
      </c>
      <c r="J458" t="s">
        <v>89</v>
      </c>
      <c r="K458" t="s">
        <v>2431</v>
      </c>
      <c r="L458" t="s">
        <v>2472</v>
      </c>
      <c r="M458" t="s">
        <v>3006</v>
      </c>
      <c r="N458" t="s">
        <v>2607</v>
      </c>
      <c r="O458" t="s">
        <v>89</v>
      </c>
      <c r="P458" t="s">
        <v>3666</v>
      </c>
      <c r="Q458" t="s">
        <v>3667</v>
      </c>
      <c r="R458" t="s">
        <v>2652</v>
      </c>
      <c r="S458" t="s">
        <v>93</v>
      </c>
      <c r="T458" t="s">
        <v>2021</v>
      </c>
      <c r="U458" t="s">
        <v>3668</v>
      </c>
      <c r="V458" t="s">
        <v>3134</v>
      </c>
      <c r="W458" t="s">
        <v>3669</v>
      </c>
      <c r="X458" t="s">
        <v>160</v>
      </c>
      <c r="Y458" t="s">
        <v>3670</v>
      </c>
      <c r="Z458" t="s">
        <v>2655</v>
      </c>
      <c r="AA458" t="s">
        <v>93</v>
      </c>
      <c r="AB458" t="s">
        <v>1702</v>
      </c>
      <c r="AC458" t="s">
        <v>3671</v>
      </c>
    </row>
    <row r="459" spans="1:29" x14ac:dyDescent="0.25">
      <c r="A459" t="s">
        <v>57</v>
      </c>
      <c r="B459" t="s">
        <v>897</v>
      </c>
      <c r="C459" t="s">
        <v>1026</v>
      </c>
      <c r="D459" t="s">
        <v>274</v>
      </c>
      <c r="E459" t="s">
        <v>80</v>
      </c>
      <c r="F459" t="s">
        <v>62</v>
      </c>
      <c r="G459" t="s">
        <v>2657</v>
      </c>
      <c r="H459" t="s">
        <v>3672</v>
      </c>
      <c r="I459" t="s">
        <v>3673</v>
      </c>
      <c r="J459" t="s">
        <v>89</v>
      </c>
      <c r="K459" t="s">
        <v>2431</v>
      </c>
      <c r="L459" t="s">
        <v>2432</v>
      </c>
      <c r="M459" t="s">
        <v>3006</v>
      </c>
      <c r="N459" t="s">
        <v>2607</v>
      </c>
      <c r="O459" t="s">
        <v>89</v>
      </c>
      <c r="P459" t="s">
        <v>2211</v>
      </c>
      <c r="Q459" t="s">
        <v>3674</v>
      </c>
      <c r="R459" t="s">
        <v>2486</v>
      </c>
      <c r="S459" t="s">
        <v>93</v>
      </c>
      <c r="T459" t="s">
        <v>281</v>
      </c>
      <c r="U459" t="s">
        <v>3675</v>
      </c>
      <c r="V459" t="s">
        <v>3525</v>
      </c>
      <c r="W459" t="s">
        <v>3676</v>
      </c>
      <c r="X459" t="s">
        <v>160</v>
      </c>
      <c r="Y459" t="s">
        <v>3677</v>
      </c>
      <c r="Z459" t="s">
        <v>2489</v>
      </c>
      <c r="AA459" t="s">
        <v>93</v>
      </c>
      <c r="AB459" t="s">
        <v>285</v>
      </c>
      <c r="AC459" t="s">
        <v>3678</v>
      </c>
    </row>
    <row r="460" spans="1:29" x14ac:dyDescent="0.25">
      <c r="A460" t="s">
        <v>57</v>
      </c>
      <c r="B460" t="s">
        <v>897</v>
      </c>
      <c r="C460" t="s">
        <v>1026</v>
      </c>
      <c r="D460" t="s">
        <v>274</v>
      </c>
      <c r="E460" t="s">
        <v>80</v>
      </c>
      <c r="F460" t="s">
        <v>63</v>
      </c>
      <c r="G460" t="s">
        <v>2667</v>
      </c>
      <c r="H460" t="s">
        <v>3679</v>
      </c>
      <c r="I460" t="s">
        <v>178</v>
      </c>
      <c r="J460" t="s">
        <v>89</v>
      </c>
      <c r="K460" t="s">
        <v>2431</v>
      </c>
      <c r="L460" t="s">
        <v>2506</v>
      </c>
      <c r="M460" t="s">
        <v>3006</v>
      </c>
      <c r="N460" t="s">
        <v>2607</v>
      </c>
      <c r="O460" t="s">
        <v>89</v>
      </c>
      <c r="P460" t="s">
        <v>2211</v>
      </c>
      <c r="Q460" t="s">
        <v>3680</v>
      </c>
      <c r="R460" t="s">
        <v>2496</v>
      </c>
      <c r="S460" t="s">
        <v>93</v>
      </c>
      <c r="T460" t="s">
        <v>2497</v>
      </c>
      <c r="U460" t="s">
        <v>3006</v>
      </c>
      <c r="V460" t="s">
        <v>2607</v>
      </c>
      <c r="W460" t="s">
        <v>3441</v>
      </c>
      <c r="X460" t="s">
        <v>160</v>
      </c>
      <c r="Y460" t="s">
        <v>3681</v>
      </c>
      <c r="Z460" t="s">
        <v>2501</v>
      </c>
      <c r="AA460" t="s">
        <v>93</v>
      </c>
      <c r="AB460" t="s">
        <v>94</v>
      </c>
      <c r="AC460" t="s">
        <v>3682</v>
      </c>
    </row>
    <row r="461" spans="1:29" x14ac:dyDescent="0.25">
      <c r="A461" t="s">
        <v>57</v>
      </c>
      <c r="B461" t="s">
        <v>897</v>
      </c>
      <c r="C461" t="s">
        <v>1026</v>
      </c>
      <c r="D461" t="s">
        <v>274</v>
      </c>
      <c r="E461" t="s">
        <v>80</v>
      </c>
      <c r="F461" t="s">
        <v>64</v>
      </c>
      <c r="G461" t="s">
        <v>2678</v>
      </c>
      <c r="H461" t="s">
        <v>3683</v>
      </c>
      <c r="I461" t="s">
        <v>823</v>
      </c>
      <c r="J461" t="s">
        <v>89</v>
      </c>
      <c r="K461" t="s">
        <v>89</v>
      </c>
      <c r="L461" t="s">
        <v>2506</v>
      </c>
      <c r="M461" t="s">
        <v>3006</v>
      </c>
      <c r="N461" t="s">
        <v>2607</v>
      </c>
      <c r="O461" t="s">
        <v>89</v>
      </c>
      <c r="P461" t="s">
        <v>3618</v>
      </c>
      <c r="Q461" t="s">
        <v>3684</v>
      </c>
      <c r="R461" t="s">
        <v>2585</v>
      </c>
      <c r="S461" t="s">
        <v>93</v>
      </c>
      <c r="T461" t="s">
        <v>820</v>
      </c>
      <c r="U461" t="s">
        <v>3006</v>
      </c>
      <c r="V461" t="s">
        <v>3006</v>
      </c>
      <c r="W461" t="s">
        <v>3395</v>
      </c>
      <c r="X461" t="s">
        <v>160</v>
      </c>
      <c r="Y461" t="s">
        <v>3685</v>
      </c>
      <c r="Z461" t="s">
        <v>2688</v>
      </c>
      <c r="AA461" t="s">
        <v>93</v>
      </c>
      <c r="AB461" t="s">
        <v>823</v>
      </c>
      <c r="AC461" t="s">
        <v>3686</v>
      </c>
    </row>
    <row r="462" spans="1:29" x14ac:dyDescent="0.25">
      <c r="A462" t="s">
        <v>57</v>
      </c>
      <c r="B462" t="s">
        <v>897</v>
      </c>
      <c r="C462" t="s">
        <v>1026</v>
      </c>
      <c r="D462" t="s">
        <v>274</v>
      </c>
      <c r="E462" t="s">
        <v>80</v>
      </c>
      <c r="F462" t="s">
        <v>65</v>
      </c>
      <c r="G462" t="s">
        <v>2690</v>
      </c>
      <c r="H462" t="s">
        <v>3687</v>
      </c>
      <c r="I462" t="s">
        <v>345</v>
      </c>
      <c r="J462" t="s">
        <v>89</v>
      </c>
      <c r="K462" t="s">
        <v>89</v>
      </c>
      <c r="L462" t="s">
        <v>2432</v>
      </c>
      <c r="M462" t="s">
        <v>3006</v>
      </c>
      <c r="N462" t="s">
        <v>2443</v>
      </c>
      <c r="O462" t="s">
        <v>89</v>
      </c>
      <c r="P462" t="s">
        <v>2211</v>
      </c>
      <c r="Q462" t="s">
        <v>3688</v>
      </c>
      <c r="R462" t="s">
        <v>2519</v>
      </c>
      <c r="S462" t="s">
        <v>93</v>
      </c>
      <c r="T462" t="s">
        <v>2187</v>
      </c>
      <c r="U462" t="s">
        <v>3006</v>
      </c>
      <c r="V462" t="s">
        <v>3006</v>
      </c>
      <c r="W462" t="s">
        <v>3395</v>
      </c>
      <c r="X462" t="s">
        <v>160</v>
      </c>
      <c r="Y462" t="s">
        <v>3689</v>
      </c>
      <c r="Z462" t="s">
        <v>2522</v>
      </c>
      <c r="AA462" t="s">
        <v>93</v>
      </c>
      <c r="AB462" t="s">
        <v>2523</v>
      </c>
      <c r="AC462" t="s">
        <v>3690</v>
      </c>
    </row>
    <row r="463" spans="1:29" x14ac:dyDescent="0.25">
      <c r="A463" t="s">
        <v>57</v>
      </c>
      <c r="B463" t="s">
        <v>897</v>
      </c>
      <c r="C463" t="s">
        <v>1026</v>
      </c>
      <c r="D463" t="s">
        <v>274</v>
      </c>
      <c r="E463" t="s">
        <v>80</v>
      </c>
      <c r="F463" t="s">
        <v>66</v>
      </c>
      <c r="G463" t="s">
        <v>2701</v>
      </c>
      <c r="H463" t="s">
        <v>3691</v>
      </c>
      <c r="I463" t="s">
        <v>1118</v>
      </c>
      <c r="J463" t="s">
        <v>89</v>
      </c>
      <c r="K463" t="s">
        <v>89</v>
      </c>
      <c r="L463" t="s">
        <v>2966</v>
      </c>
      <c r="M463" t="s">
        <v>3006</v>
      </c>
      <c r="N463" t="s">
        <v>2607</v>
      </c>
      <c r="O463" t="s">
        <v>89</v>
      </c>
      <c r="P463" t="s">
        <v>3618</v>
      </c>
      <c r="Q463" t="s">
        <v>3692</v>
      </c>
      <c r="R463" t="s">
        <v>2531</v>
      </c>
      <c r="S463" t="s">
        <v>93</v>
      </c>
      <c r="T463" t="s">
        <v>2098</v>
      </c>
      <c r="U463" t="s">
        <v>3006</v>
      </c>
      <c r="V463" t="s">
        <v>2607</v>
      </c>
      <c r="W463" t="s">
        <v>3448</v>
      </c>
      <c r="X463" t="s">
        <v>160</v>
      </c>
      <c r="Y463" t="s">
        <v>3693</v>
      </c>
      <c r="Z463" t="s">
        <v>2533</v>
      </c>
      <c r="AA463" t="s">
        <v>93</v>
      </c>
      <c r="AB463" t="s">
        <v>2534</v>
      </c>
      <c r="AC463" t="s">
        <v>3694</v>
      </c>
    </row>
    <row r="464" spans="1:29" x14ac:dyDescent="0.25">
      <c r="A464" t="s">
        <v>57</v>
      </c>
      <c r="B464" t="s">
        <v>897</v>
      </c>
      <c r="C464" t="s">
        <v>1026</v>
      </c>
      <c r="D464" t="s">
        <v>274</v>
      </c>
      <c r="E464" t="s">
        <v>80</v>
      </c>
      <c r="F464" t="s">
        <v>67</v>
      </c>
      <c r="G464" t="s">
        <v>2712</v>
      </c>
      <c r="H464" t="s">
        <v>3695</v>
      </c>
      <c r="I464" t="s">
        <v>109</v>
      </c>
      <c r="J464" t="s">
        <v>89</v>
      </c>
      <c r="K464" t="s">
        <v>2431</v>
      </c>
      <c r="L464" t="s">
        <v>2432</v>
      </c>
      <c r="M464" t="s">
        <v>3006</v>
      </c>
      <c r="N464" t="s">
        <v>2607</v>
      </c>
      <c r="O464" t="s">
        <v>89</v>
      </c>
      <c r="P464" t="s">
        <v>3618</v>
      </c>
      <c r="Q464" t="s">
        <v>3696</v>
      </c>
      <c r="R464" t="s">
        <v>2719</v>
      </c>
      <c r="S464" t="s">
        <v>93</v>
      </c>
      <c r="T464" t="s">
        <v>113</v>
      </c>
      <c r="U464" t="s">
        <v>3488</v>
      </c>
      <c r="V464" t="s">
        <v>2886</v>
      </c>
      <c r="W464" t="s">
        <v>3604</v>
      </c>
      <c r="X464" t="s">
        <v>160</v>
      </c>
      <c r="Y464" t="s">
        <v>3697</v>
      </c>
      <c r="Z464" t="s">
        <v>2592</v>
      </c>
      <c r="AA464" t="s">
        <v>93</v>
      </c>
      <c r="AB464" t="s">
        <v>2593</v>
      </c>
      <c r="AC464" t="s">
        <v>3698</v>
      </c>
    </row>
    <row r="465" spans="1:29" x14ac:dyDescent="0.25">
      <c r="A465" t="s">
        <v>57</v>
      </c>
      <c r="B465" t="s">
        <v>897</v>
      </c>
      <c r="C465" t="s">
        <v>1026</v>
      </c>
      <c r="D465" t="s">
        <v>274</v>
      </c>
      <c r="E465" t="s">
        <v>80</v>
      </c>
      <c r="F465" t="s">
        <v>68</v>
      </c>
      <c r="G465" t="s">
        <v>2723</v>
      </c>
      <c r="H465" t="s">
        <v>3699</v>
      </c>
      <c r="I465" t="s">
        <v>702</v>
      </c>
      <c r="J465" t="s">
        <v>89</v>
      </c>
      <c r="K465" t="s">
        <v>89</v>
      </c>
      <c r="L465" t="s">
        <v>2506</v>
      </c>
      <c r="M465" t="s">
        <v>3006</v>
      </c>
      <c r="N465" t="s">
        <v>2607</v>
      </c>
      <c r="O465" t="s">
        <v>89</v>
      </c>
      <c r="P465" t="s">
        <v>3618</v>
      </c>
      <c r="Q465" t="s">
        <v>3700</v>
      </c>
      <c r="R465" t="s">
        <v>2501</v>
      </c>
      <c r="S465" t="s">
        <v>93</v>
      </c>
      <c r="T465" t="s">
        <v>94</v>
      </c>
      <c r="U465" t="s">
        <v>3440</v>
      </c>
      <c r="V465" t="s">
        <v>3006</v>
      </c>
      <c r="W465" t="s">
        <v>3441</v>
      </c>
      <c r="X465" t="s">
        <v>160</v>
      </c>
      <c r="Y465" t="s">
        <v>3701</v>
      </c>
      <c r="Z465" t="s">
        <v>2548</v>
      </c>
      <c r="AA465" t="s">
        <v>93</v>
      </c>
      <c r="AB465" t="s">
        <v>101</v>
      </c>
      <c r="AC465" t="s">
        <v>3702</v>
      </c>
    </row>
    <row r="466" spans="1:29" x14ac:dyDescent="0.25">
      <c r="A466" t="s">
        <v>57</v>
      </c>
      <c r="B466" t="s">
        <v>897</v>
      </c>
      <c r="C466" t="s">
        <v>1026</v>
      </c>
      <c r="D466" t="s">
        <v>274</v>
      </c>
      <c r="E466" t="s">
        <v>80</v>
      </c>
      <c r="F466" t="s">
        <v>69</v>
      </c>
      <c r="G466" t="s">
        <v>2732</v>
      </c>
      <c r="H466" t="s">
        <v>3703</v>
      </c>
      <c r="I466" t="s">
        <v>1411</v>
      </c>
      <c r="J466" t="s">
        <v>89</v>
      </c>
      <c r="K466" t="s">
        <v>2431</v>
      </c>
      <c r="L466" t="s">
        <v>89</v>
      </c>
      <c r="M466" t="s">
        <v>3006</v>
      </c>
      <c r="N466" t="s">
        <v>2607</v>
      </c>
      <c r="O466" t="s">
        <v>89</v>
      </c>
      <c r="P466" t="s">
        <v>3618</v>
      </c>
      <c r="Q466" t="s">
        <v>3704</v>
      </c>
      <c r="R466" t="s">
        <v>2557</v>
      </c>
      <c r="S466" t="s">
        <v>93</v>
      </c>
      <c r="T466" t="s">
        <v>374</v>
      </c>
      <c r="U466" t="s">
        <v>3488</v>
      </c>
      <c r="V466" t="s">
        <v>3006</v>
      </c>
      <c r="W466" t="s">
        <v>3604</v>
      </c>
      <c r="X466" t="s">
        <v>160</v>
      </c>
      <c r="Y466" t="s">
        <v>3705</v>
      </c>
      <c r="Z466" t="s">
        <v>2559</v>
      </c>
      <c r="AA466" t="s">
        <v>93</v>
      </c>
      <c r="AB466" t="s">
        <v>109</v>
      </c>
      <c r="AC466" t="s">
        <v>3706</v>
      </c>
    </row>
    <row r="467" spans="1:29" x14ac:dyDescent="0.25">
      <c r="A467" t="s">
        <v>57</v>
      </c>
      <c r="B467" t="s">
        <v>897</v>
      </c>
      <c r="C467" t="s">
        <v>1026</v>
      </c>
      <c r="D467" t="s">
        <v>274</v>
      </c>
      <c r="E467" t="s">
        <v>80</v>
      </c>
      <c r="F467" t="s">
        <v>70</v>
      </c>
      <c r="G467" t="s">
        <v>2741</v>
      </c>
      <c r="H467" t="s">
        <v>3707</v>
      </c>
      <c r="I467" t="s">
        <v>3339</v>
      </c>
      <c r="J467" t="s">
        <v>89</v>
      </c>
      <c r="K467" t="s">
        <v>89</v>
      </c>
      <c r="L467" t="s">
        <v>2432</v>
      </c>
      <c r="M467" t="s">
        <v>3006</v>
      </c>
      <c r="N467" t="s">
        <v>2607</v>
      </c>
      <c r="O467" t="s">
        <v>89</v>
      </c>
      <c r="P467" t="s">
        <v>1798</v>
      </c>
      <c r="Q467" t="s">
        <v>3708</v>
      </c>
      <c r="R467" t="s">
        <v>2747</v>
      </c>
      <c r="S467" t="s">
        <v>93</v>
      </c>
      <c r="T467" t="s">
        <v>558</v>
      </c>
      <c r="U467" t="s">
        <v>3006</v>
      </c>
      <c r="V467" t="s">
        <v>2607</v>
      </c>
      <c r="W467" t="s">
        <v>3395</v>
      </c>
      <c r="X467" t="s">
        <v>160</v>
      </c>
      <c r="Y467" t="s">
        <v>3709</v>
      </c>
      <c r="Z467" t="s">
        <v>2750</v>
      </c>
      <c r="AA467" t="s">
        <v>93</v>
      </c>
      <c r="AB467" t="s">
        <v>2751</v>
      </c>
      <c r="AC467" t="s">
        <v>3710</v>
      </c>
    </row>
    <row r="468" spans="1:29" x14ac:dyDescent="0.25">
      <c r="A468" t="s">
        <v>57</v>
      </c>
      <c r="B468" t="s">
        <v>897</v>
      </c>
      <c r="C468" t="s">
        <v>1026</v>
      </c>
      <c r="D468" t="s">
        <v>274</v>
      </c>
      <c r="E468" t="s">
        <v>80</v>
      </c>
      <c r="F468" t="s">
        <v>71</v>
      </c>
      <c r="G468" t="s">
        <v>2753</v>
      </c>
      <c r="H468" t="s">
        <v>3711</v>
      </c>
      <c r="I468" t="s">
        <v>1222</v>
      </c>
      <c r="J468" t="s">
        <v>89</v>
      </c>
      <c r="K468" t="s">
        <v>89</v>
      </c>
      <c r="L468" t="s">
        <v>2432</v>
      </c>
      <c r="M468" t="s">
        <v>3006</v>
      </c>
      <c r="N468" t="s">
        <v>2607</v>
      </c>
      <c r="O468" t="s">
        <v>89</v>
      </c>
      <c r="P468" t="s">
        <v>2211</v>
      </c>
      <c r="Q468" t="s">
        <v>3712</v>
      </c>
      <c r="R468" t="s">
        <v>2714</v>
      </c>
      <c r="S468" t="s">
        <v>93</v>
      </c>
      <c r="T468" t="s">
        <v>2379</v>
      </c>
      <c r="U468" t="s">
        <v>3668</v>
      </c>
      <c r="V468" t="s">
        <v>3134</v>
      </c>
      <c r="W468" t="s">
        <v>3713</v>
      </c>
      <c r="X468" t="s">
        <v>160</v>
      </c>
      <c r="Y468" t="s">
        <v>3714</v>
      </c>
      <c r="Z468" t="s">
        <v>2435</v>
      </c>
      <c r="AA468" t="s">
        <v>93</v>
      </c>
      <c r="AB468" t="s">
        <v>1950</v>
      </c>
      <c r="AC468" t="s">
        <v>3715</v>
      </c>
    </row>
    <row r="469" spans="1:29" x14ac:dyDescent="0.25">
      <c r="A469" t="s">
        <v>57</v>
      </c>
      <c r="B469" t="s">
        <v>897</v>
      </c>
      <c r="C469" t="s">
        <v>1026</v>
      </c>
      <c r="D469" t="s">
        <v>274</v>
      </c>
      <c r="E469" t="s">
        <v>80</v>
      </c>
      <c r="F469" t="s">
        <v>72</v>
      </c>
      <c r="G469" t="s">
        <v>2761</v>
      </c>
      <c r="H469" t="s">
        <v>3716</v>
      </c>
      <c r="I469" t="s">
        <v>1191</v>
      </c>
      <c r="J469" t="s">
        <v>89</v>
      </c>
      <c r="K469" t="s">
        <v>2431</v>
      </c>
      <c r="L469" t="s">
        <v>89</v>
      </c>
      <c r="M469" t="s">
        <v>3006</v>
      </c>
      <c r="N469" t="s">
        <v>2607</v>
      </c>
      <c r="O469" t="s">
        <v>89</v>
      </c>
      <c r="P469" t="s">
        <v>3618</v>
      </c>
      <c r="Q469" t="s">
        <v>3717</v>
      </c>
      <c r="R469" t="s">
        <v>2533</v>
      </c>
      <c r="S469" t="s">
        <v>93</v>
      </c>
      <c r="T469" t="s">
        <v>2534</v>
      </c>
      <c r="U469" t="s">
        <v>3006</v>
      </c>
      <c r="V469" t="s">
        <v>2607</v>
      </c>
      <c r="W469" t="s">
        <v>3395</v>
      </c>
      <c r="X469" t="s">
        <v>160</v>
      </c>
      <c r="Y469" t="s">
        <v>3718</v>
      </c>
      <c r="Z469" t="s">
        <v>2585</v>
      </c>
      <c r="AA469" t="s">
        <v>93</v>
      </c>
      <c r="AB469" t="s">
        <v>820</v>
      </c>
      <c r="AC469" t="s">
        <v>3719</v>
      </c>
    </row>
    <row r="470" spans="1:29" x14ac:dyDescent="0.25">
      <c r="A470" t="s">
        <v>57</v>
      </c>
      <c r="B470" t="s">
        <v>897</v>
      </c>
      <c r="C470" t="s">
        <v>1026</v>
      </c>
      <c r="D470" t="s">
        <v>274</v>
      </c>
      <c r="E470" t="s">
        <v>80</v>
      </c>
      <c r="F470" t="s">
        <v>73</v>
      </c>
      <c r="G470" t="s">
        <v>2771</v>
      </c>
      <c r="H470" t="s">
        <v>3720</v>
      </c>
      <c r="I470" t="s">
        <v>1191</v>
      </c>
      <c r="J470" t="s">
        <v>89</v>
      </c>
      <c r="K470" t="s">
        <v>89</v>
      </c>
      <c r="L470" t="s">
        <v>89</v>
      </c>
      <c r="M470" t="s">
        <v>3006</v>
      </c>
      <c r="N470" t="s">
        <v>2607</v>
      </c>
      <c r="O470" t="s">
        <v>89</v>
      </c>
      <c r="P470" t="s">
        <v>3618</v>
      </c>
      <c r="Q470" t="s">
        <v>3721</v>
      </c>
      <c r="R470" t="s">
        <v>2596</v>
      </c>
      <c r="S470" t="s">
        <v>93</v>
      </c>
      <c r="T470" t="s">
        <v>2597</v>
      </c>
      <c r="U470" t="s">
        <v>3006</v>
      </c>
      <c r="V470" t="s">
        <v>2607</v>
      </c>
      <c r="W470" t="s">
        <v>3395</v>
      </c>
      <c r="X470" t="s">
        <v>160</v>
      </c>
      <c r="Y470" t="s">
        <v>3722</v>
      </c>
      <c r="Z470" t="s">
        <v>2778</v>
      </c>
      <c r="AA470" t="s">
        <v>93</v>
      </c>
      <c r="AB470" t="s">
        <v>2779</v>
      </c>
      <c r="AC470" t="s">
        <v>3723</v>
      </c>
    </row>
    <row r="471" spans="1:29" x14ac:dyDescent="0.25">
      <c r="A471" t="s">
        <v>57</v>
      </c>
      <c r="B471" t="s">
        <v>897</v>
      </c>
      <c r="C471" t="s">
        <v>1026</v>
      </c>
      <c r="D471" t="s">
        <v>274</v>
      </c>
      <c r="E471" t="s">
        <v>80</v>
      </c>
      <c r="F471" t="s">
        <v>74</v>
      </c>
      <c r="G471" t="s">
        <v>2781</v>
      </c>
      <c r="H471" t="s">
        <v>3724</v>
      </c>
      <c r="I471" t="s">
        <v>140</v>
      </c>
      <c r="J471" t="s">
        <v>89</v>
      </c>
      <c r="K471" t="s">
        <v>89</v>
      </c>
      <c r="L471" t="s">
        <v>2506</v>
      </c>
      <c r="M471" t="s">
        <v>3006</v>
      </c>
      <c r="N471" t="s">
        <v>2607</v>
      </c>
      <c r="O471" t="s">
        <v>89</v>
      </c>
      <c r="P471" t="s">
        <v>3618</v>
      </c>
      <c r="Q471" t="s">
        <v>3725</v>
      </c>
      <c r="R471" t="s">
        <v>2788</v>
      </c>
      <c r="S471" t="s">
        <v>93</v>
      </c>
      <c r="T471" t="s">
        <v>2789</v>
      </c>
      <c r="U471" t="s">
        <v>3440</v>
      </c>
      <c r="V471" t="s">
        <v>3006</v>
      </c>
      <c r="W471" t="s">
        <v>3395</v>
      </c>
      <c r="X471" t="s">
        <v>160</v>
      </c>
      <c r="Y471" t="s">
        <v>3726</v>
      </c>
      <c r="Z471" t="s">
        <v>2792</v>
      </c>
      <c r="AA471" t="s">
        <v>93</v>
      </c>
      <c r="AB471" t="s">
        <v>624</v>
      </c>
      <c r="AC471" t="s">
        <v>3727</v>
      </c>
    </row>
    <row r="472" spans="1:29" x14ac:dyDescent="0.25">
      <c r="A472" t="s">
        <v>57</v>
      </c>
      <c r="B472" t="s">
        <v>897</v>
      </c>
      <c r="C472" t="s">
        <v>1026</v>
      </c>
      <c r="D472" t="s">
        <v>274</v>
      </c>
      <c r="E472" t="s">
        <v>80</v>
      </c>
      <c r="F472" t="s">
        <v>75</v>
      </c>
      <c r="G472" t="s">
        <v>2794</v>
      </c>
      <c r="H472" t="s">
        <v>3728</v>
      </c>
      <c r="I472" t="s">
        <v>1309</v>
      </c>
      <c r="J472" t="s">
        <v>89</v>
      </c>
      <c r="K472" t="s">
        <v>89</v>
      </c>
      <c r="L472" t="s">
        <v>2432</v>
      </c>
      <c r="M472" t="s">
        <v>3006</v>
      </c>
      <c r="N472" t="s">
        <v>2607</v>
      </c>
      <c r="O472" t="s">
        <v>89</v>
      </c>
      <c r="P472" t="s">
        <v>2211</v>
      </c>
      <c r="Q472" t="s">
        <v>3729</v>
      </c>
      <c r="R472" t="s">
        <v>2479</v>
      </c>
      <c r="S472" t="s">
        <v>93</v>
      </c>
      <c r="T472" t="s">
        <v>2198</v>
      </c>
      <c r="U472" t="s">
        <v>2916</v>
      </c>
      <c r="V472" t="s">
        <v>3525</v>
      </c>
      <c r="W472" t="s">
        <v>3730</v>
      </c>
      <c r="X472" t="s">
        <v>160</v>
      </c>
      <c r="Y472" t="s">
        <v>3731</v>
      </c>
      <c r="Z472" t="s">
        <v>2445</v>
      </c>
      <c r="AA472" t="s">
        <v>93</v>
      </c>
      <c r="AB472" t="s">
        <v>2446</v>
      </c>
      <c r="AC472" t="s">
        <v>3732</v>
      </c>
    </row>
    <row r="473" spans="1:29" x14ac:dyDescent="0.25">
      <c r="A473" t="s">
        <v>57</v>
      </c>
      <c r="B473" t="s">
        <v>897</v>
      </c>
      <c r="C473" t="s">
        <v>1026</v>
      </c>
      <c r="D473" t="s">
        <v>274</v>
      </c>
      <c r="E473" t="s">
        <v>80</v>
      </c>
      <c r="F473" t="s">
        <v>76</v>
      </c>
      <c r="G473" t="s">
        <v>2802</v>
      </c>
      <c r="H473" t="s">
        <v>3733</v>
      </c>
      <c r="I473" t="s">
        <v>2299</v>
      </c>
      <c r="J473" t="s">
        <v>89</v>
      </c>
      <c r="K473" t="s">
        <v>89</v>
      </c>
      <c r="L473" t="s">
        <v>2506</v>
      </c>
      <c r="M473" t="s">
        <v>3006</v>
      </c>
      <c r="N473" t="s">
        <v>2607</v>
      </c>
      <c r="O473" t="s">
        <v>89</v>
      </c>
      <c r="P473" t="s">
        <v>2110</v>
      </c>
      <c r="Q473" t="s">
        <v>3734</v>
      </c>
      <c r="R473" t="s">
        <v>2807</v>
      </c>
      <c r="S473" t="s">
        <v>93</v>
      </c>
      <c r="T473" t="s">
        <v>1671</v>
      </c>
      <c r="U473" t="s">
        <v>3735</v>
      </c>
      <c r="V473" t="s">
        <v>3134</v>
      </c>
      <c r="W473" t="s">
        <v>3736</v>
      </c>
      <c r="X473" t="s">
        <v>160</v>
      </c>
      <c r="Y473" t="s">
        <v>3737</v>
      </c>
      <c r="Z473" t="s">
        <v>2809</v>
      </c>
      <c r="AA473" t="s">
        <v>93</v>
      </c>
      <c r="AB473" t="s">
        <v>1453</v>
      </c>
      <c r="AC473" t="s">
        <v>3738</v>
      </c>
    </row>
    <row r="474" spans="1:29" x14ac:dyDescent="0.25">
      <c r="A474" t="s">
        <v>57</v>
      </c>
      <c r="B474" t="s">
        <v>959</v>
      </c>
      <c r="C474" t="s">
        <v>1026</v>
      </c>
      <c r="D474" t="s">
        <v>79</v>
      </c>
      <c r="E474" t="s">
        <v>80</v>
      </c>
      <c r="F474" t="s">
        <v>58</v>
      </c>
      <c r="G474" t="s">
        <v>2811</v>
      </c>
      <c r="H474" t="s">
        <v>3739</v>
      </c>
      <c r="I474" t="s">
        <v>930</v>
      </c>
      <c r="J474" t="s">
        <v>89</v>
      </c>
      <c r="K474" t="s">
        <v>2431</v>
      </c>
      <c r="L474" t="s">
        <v>2506</v>
      </c>
      <c r="M474" t="s">
        <v>3006</v>
      </c>
      <c r="N474" t="s">
        <v>2607</v>
      </c>
      <c r="O474" t="s">
        <v>89</v>
      </c>
      <c r="P474" t="s">
        <v>2211</v>
      </c>
      <c r="Q474" t="s">
        <v>3740</v>
      </c>
      <c r="R474" t="s">
        <v>2486</v>
      </c>
      <c r="S474" t="s">
        <v>93</v>
      </c>
      <c r="T474" t="s">
        <v>281</v>
      </c>
      <c r="U474" t="s">
        <v>3440</v>
      </c>
      <c r="V474" t="s">
        <v>2607</v>
      </c>
      <c r="W474" t="s">
        <v>3441</v>
      </c>
      <c r="X474" t="s">
        <v>160</v>
      </c>
      <c r="Y474" t="s">
        <v>3741</v>
      </c>
      <c r="Z474" t="s">
        <v>2489</v>
      </c>
      <c r="AA474" t="s">
        <v>93</v>
      </c>
      <c r="AB474" t="s">
        <v>285</v>
      </c>
      <c r="AC474" t="s">
        <v>3742</v>
      </c>
    </row>
    <row r="475" spans="1:29" x14ac:dyDescent="0.25">
      <c r="A475" t="s">
        <v>57</v>
      </c>
      <c r="B475" t="s">
        <v>959</v>
      </c>
      <c r="C475" t="s">
        <v>1026</v>
      </c>
      <c r="D475" t="s">
        <v>79</v>
      </c>
      <c r="E475" t="s">
        <v>80</v>
      </c>
      <c r="F475" t="s">
        <v>59</v>
      </c>
      <c r="G475" t="s">
        <v>2483</v>
      </c>
      <c r="H475" t="s">
        <v>3743</v>
      </c>
      <c r="I475" t="s">
        <v>698</v>
      </c>
      <c r="J475" t="s">
        <v>89</v>
      </c>
      <c r="K475" t="s">
        <v>89</v>
      </c>
      <c r="L475" t="s">
        <v>2432</v>
      </c>
      <c r="M475" t="s">
        <v>3006</v>
      </c>
      <c r="N475" t="s">
        <v>2607</v>
      </c>
      <c r="O475" t="s">
        <v>89</v>
      </c>
      <c r="P475" t="s">
        <v>3618</v>
      </c>
      <c r="Q475" t="s">
        <v>3744</v>
      </c>
      <c r="R475" t="s">
        <v>2501</v>
      </c>
      <c r="S475" t="s">
        <v>93</v>
      </c>
      <c r="T475" t="s">
        <v>94</v>
      </c>
      <c r="U475" t="s">
        <v>3006</v>
      </c>
      <c r="V475" t="s">
        <v>3006</v>
      </c>
      <c r="W475" t="s">
        <v>3395</v>
      </c>
      <c r="X475" t="s">
        <v>160</v>
      </c>
      <c r="Y475" t="s">
        <v>3745</v>
      </c>
      <c r="Z475" t="s">
        <v>2548</v>
      </c>
      <c r="AA475" t="s">
        <v>93</v>
      </c>
      <c r="AB475" t="s">
        <v>101</v>
      </c>
      <c r="AC475" t="s">
        <v>3746</v>
      </c>
    </row>
    <row r="476" spans="1:29" x14ac:dyDescent="0.25">
      <c r="A476" t="s">
        <v>57</v>
      </c>
      <c r="B476" t="s">
        <v>959</v>
      </c>
      <c r="C476" t="s">
        <v>1026</v>
      </c>
      <c r="D476" t="s">
        <v>79</v>
      </c>
      <c r="E476" t="s">
        <v>80</v>
      </c>
      <c r="F476" t="s">
        <v>60</v>
      </c>
      <c r="G476" t="s">
        <v>2828</v>
      </c>
      <c r="H476" t="s">
        <v>3747</v>
      </c>
      <c r="I476" t="s">
        <v>3748</v>
      </c>
      <c r="J476" t="s">
        <v>89</v>
      </c>
      <c r="K476" t="s">
        <v>89</v>
      </c>
      <c r="L476" t="s">
        <v>2432</v>
      </c>
      <c r="M476" t="s">
        <v>3006</v>
      </c>
      <c r="N476" t="s">
        <v>2607</v>
      </c>
      <c r="O476" t="s">
        <v>89</v>
      </c>
      <c r="P476" t="s">
        <v>3618</v>
      </c>
      <c r="Q476" t="s">
        <v>3749</v>
      </c>
      <c r="R476" t="s">
        <v>2688</v>
      </c>
      <c r="S476" t="s">
        <v>93</v>
      </c>
      <c r="T476" t="s">
        <v>823</v>
      </c>
      <c r="U476" t="s">
        <v>3006</v>
      </c>
      <c r="V476" t="s">
        <v>2607</v>
      </c>
      <c r="W476" t="s">
        <v>3441</v>
      </c>
      <c r="X476" t="s">
        <v>160</v>
      </c>
      <c r="Y476" t="s">
        <v>3750</v>
      </c>
      <c r="Z476" t="s">
        <v>2557</v>
      </c>
      <c r="AA476" t="s">
        <v>93</v>
      </c>
      <c r="AB476" t="s">
        <v>374</v>
      </c>
      <c r="AC476" t="s">
        <v>3751</v>
      </c>
    </row>
    <row r="477" spans="1:29" x14ac:dyDescent="0.25">
      <c r="A477" t="s">
        <v>57</v>
      </c>
      <c r="B477" t="s">
        <v>959</v>
      </c>
      <c r="C477" t="s">
        <v>1026</v>
      </c>
      <c r="D477" t="s">
        <v>79</v>
      </c>
      <c r="E477" t="s">
        <v>80</v>
      </c>
      <c r="F477" t="s">
        <v>61</v>
      </c>
      <c r="G477" t="s">
        <v>2836</v>
      </c>
      <c r="H477" t="s">
        <v>3752</v>
      </c>
      <c r="I477" t="s">
        <v>2523</v>
      </c>
      <c r="J477" t="s">
        <v>89</v>
      </c>
      <c r="K477" t="s">
        <v>89</v>
      </c>
      <c r="L477" t="s">
        <v>2472</v>
      </c>
      <c r="M477" t="s">
        <v>3006</v>
      </c>
      <c r="N477" t="s">
        <v>2607</v>
      </c>
      <c r="O477" t="s">
        <v>89</v>
      </c>
      <c r="P477" t="s">
        <v>2211</v>
      </c>
      <c r="Q477" t="s">
        <v>3753</v>
      </c>
      <c r="R477" t="s">
        <v>2567</v>
      </c>
      <c r="S477" t="s">
        <v>93</v>
      </c>
      <c r="T477" t="s">
        <v>2108</v>
      </c>
      <c r="U477" t="s">
        <v>2885</v>
      </c>
      <c r="V477" t="s">
        <v>3754</v>
      </c>
      <c r="W477" t="s">
        <v>3755</v>
      </c>
      <c r="X477" t="s">
        <v>160</v>
      </c>
      <c r="Y477" t="s">
        <v>3756</v>
      </c>
      <c r="Z477" t="s">
        <v>2844</v>
      </c>
      <c r="AA477" t="s">
        <v>93</v>
      </c>
      <c r="AB477" t="s">
        <v>2299</v>
      </c>
      <c r="AC477" t="s">
        <v>3757</v>
      </c>
    </row>
    <row r="478" spans="1:29" x14ac:dyDescent="0.25">
      <c r="A478" t="s">
        <v>57</v>
      </c>
      <c r="B478" t="s">
        <v>959</v>
      </c>
      <c r="C478" t="s">
        <v>1026</v>
      </c>
      <c r="D478" t="s">
        <v>79</v>
      </c>
      <c r="E478" t="s">
        <v>80</v>
      </c>
      <c r="F478" t="s">
        <v>62</v>
      </c>
      <c r="G478" t="s">
        <v>2846</v>
      </c>
      <c r="H478" t="s">
        <v>3758</v>
      </c>
      <c r="I478" t="s">
        <v>3759</v>
      </c>
      <c r="J478" t="s">
        <v>89</v>
      </c>
      <c r="K478" t="s">
        <v>89</v>
      </c>
      <c r="L478" t="s">
        <v>2506</v>
      </c>
      <c r="M478" t="s">
        <v>3006</v>
      </c>
      <c r="N478" t="s">
        <v>2607</v>
      </c>
      <c r="O478" t="s">
        <v>89</v>
      </c>
      <c r="P478" t="s">
        <v>3618</v>
      </c>
      <c r="Q478" t="s">
        <v>3760</v>
      </c>
      <c r="R478" t="s">
        <v>2522</v>
      </c>
      <c r="S478" t="s">
        <v>93</v>
      </c>
      <c r="T478" t="s">
        <v>2523</v>
      </c>
      <c r="U478" t="s">
        <v>3488</v>
      </c>
      <c r="V478" t="s">
        <v>3006</v>
      </c>
      <c r="W478" t="s">
        <v>3604</v>
      </c>
      <c r="X478" t="s">
        <v>160</v>
      </c>
      <c r="Y478" t="s">
        <v>3761</v>
      </c>
      <c r="Z478" t="s">
        <v>2496</v>
      </c>
      <c r="AA478" t="s">
        <v>93</v>
      </c>
      <c r="AB478" t="s">
        <v>2497</v>
      </c>
      <c r="AC478" t="s">
        <v>3762</v>
      </c>
    </row>
    <row r="479" spans="1:29" x14ac:dyDescent="0.25">
      <c r="A479" t="s">
        <v>57</v>
      </c>
      <c r="B479" t="s">
        <v>959</v>
      </c>
      <c r="C479" t="s">
        <v>1026</v>
      </c>
      <c r="D479" t="s">
        <v>79</v>
      </c>
      <c r="E479" t="s">
        <v>80</v>
      </c>
      <c r="F479" t="s">
        <v>63</v>
      </c>
      <c r="G479" t="s">
        <v>2855</v>
      </c>
      <c r="H479" t="s">
        <v>3763</v>
      </c>
      <c r="I479" t="s">
        <v>411</v>
      </c>
      <c r="J479" t="s">
        <v>89</v>
      </c>
      <c r="K479" t="s">
        <v>89</v>
      </c>
      <c r="L479" t="s">
        <v>2432</v>
      </c>
      <c r="M479" t="s">
        <v>3006</v>
      </c>
      <c r="N479" t="s">
        <v>2607</v>
      </c>
      <c r="O479" t="s">
        <v>89</v>
      </c>
      <c r="P479" t="s">
        <v>3618</v>
      </c>
      <c r="Q479" t="s">
        <v>3764</v>
      </c>
      <c r="R479" t="s">
        <v>2585</v>
      </c>
      <c r="S479" t="s">
        <v>93</v>
      </c>
      <c r="T479" t="s">
        <v>820</v>
      </c>
      <c r="U479" t="s">
        <v>3488</v>
      </c>
      <c r="V479" t="s">
        <v>2886</v>
      </c>
      <c r="W479" t="s">
        <v>3518</v>
      </c>
      <c r="X479" t="s">
        <v>160</v>
      </c>
      <c r="Y479" t="s">
        <v>3765</v>
      </c>
      <c r="Z479" t="s">
        <v>2688</v>
      </c>
      <c r="AA479" t="s">
        <v>93</v>
      </c>
      <c r="AB479" t="s">
        <v>823</v>
      </c>
      <c r="AC479" t="s">
        <v>3766</v>
      </c>
    </row>
    <row r="480" spans="1:29" x14ac:dyDescent="0.25">
      <c r="A480" t="s">
        <v>57</v>
      </c>
      <c r="B480" t="s">
        <v>959</v>
      </c>
      <c r="C480" t="s">
        <v>1026</v>
      </c>
      <c r="D480" t="s">
        <v>79</v>
      </c>
      <c r="E480" t="s">
        <v>80</v>
      </c>
      <c r="F480" t="s">
        <v>64</v>
      </c>
      <c r="G480" t="s">
        <v>2863</v>
      </c>
      <c r="H480" t="s">
        <v>3767</v>
      </c>
      <c r="I480" t="s">
        <v>554</v>
      </c>
      <c r="J480" t="s">
        <v>89</v>
      </c>
      <c r="K480" t="s">
        <v>2431</v>
      </c>
      <c r="L480" t="s">
        <v>2472</v>
      </c>
      <c r="M480" t="s">
        <v>3006</v>
      </c>
      <c r="N480" t="s">
        <v>2607</v>
      </c>
      <c r="O480" t="s">
        <v>89</v>
      </c>
      <c r="P480" t="s">
        <v>3618</v>
      </c>
      <c r="Q480" t="s">
        <v>3768</v>
      </c>
      <c r="R480" t="s">
        <v>2596</v>
      </c>
      <c r="S480" t="s">
        <v>93</v>
      </c>
      <c r="T480" t="s">
        <v>2597</v>
      </c>
      <c r="U480" t="s">
        <v>3440</v>
      </c>
      <c r="V480" t="s">
        <v>3006</v>
      </c>
      <c r="W480" t="s">
        <v>3395</v>
      </c>
      <c r="X480" t="s">
        <v>160</v>
      </c>
      <c r="Y480" t="s">
        <v>3769</v>
      </c>
      <c r="Z480" t="s">
        <v>2778</v>
      </c>
      <c r="AA480" t="s">
        <v>93</v>
      </c>
      <c r="AB480" t="s">
        <v>2779</v>
      </c>
      <c r="AC480" t="s">
        <v>3770</v>
      </c>
    </row>
    <row r="481" spans="1:29" x14ac:dyDescent="0.25">
      <c r="A481" t="s">
        <v>57</v>
      </c>
      <c r="B481" t="s">
        <v>959</v>
      </c>
      <c r="C481" t="s">
        <v>1026</v>
      </c>
      <c r="D481" t="s">
        <v>79</v>
      </c>
      <c r="E481" t="s">
        <v>80</v>
      </c>
      <c r="F481" t="s">
        <v>65</v>
      </c>
      <c r="G481" t="s">
        <v>2871</v>
      </c>
      <c r="H481" t="s">
        <v>3771</v>
      </c>
      <c r="I481" t="s">
        <v>1418</v>
      </c>
      <c r="J481" t="s">
        <v>89</v>
      </c>
      <c r="K481" t="s">
        <v>89</v>
      </c>
      <c r="L481" t="s">
        <v>2432</v>
      </c>
      <c r="M481" t="s">
        <v>3006</v>
      </c>
      <c r="N481" t="s">
        <v>2607</v>
      </c>
      <c r="O481" t="s">
        <v>89</v>
      </c>
      <c r="P481" t="s">
        <v>3618</v>
      </c>
      <c r="Q481" t="s">
        <v>3772</v>
      </c>
      <c r="R481" t="s">
        <v>2551</v>
      </c>
      <c r="S481" t="s">
        <v>93</v>
      </c>
      <c r="T481" t="s">
        <v>1860</v>
      </c>
      <c r="U481" t="s">
        <v>3440</v>
      </c>
      <c r="V481" t="s">
        <v>3006</v>
      </c>
      <c r="W481" t="s">
        <v>3604</v>
      </c>
      <c r="X481" t="s">
        <v>160</v>
      </c>
      <c r="Y481" t="s">
        <v>3773</v>
      </c>
      <c r="Z481" t="s">
        <v>2531</v>
      </c>
      <c r="AA481" t="s">
        <v>93</v>
      </c>
      <c r="AB481" t="s">
        <v>2098</v>
      </c>
      <c r="AC481" t="s">
        <v>3774</v>
      </c>
    </row>
    <row r="482" spans="1:29" x14ac:dyDescent="0.25">
      <c r="A482" t="s">
        <v>57</v>
      </c>
      <c r="B482" t="s">
        <v>959</v>
      </c>
      <c r="C482" t="s">
        <v>1026</v>
      </c>
      <c r="D482" t="s">
        <v>79</v>
      </c>
      <c r="E482" t="s">
        <v>80</v>
      </c>
      <c r="F482" t="s">
        <v>66</v>
      </c>
      <c r="G482" t="s">
        <v>2880</v>
      </c>
      <c r="H482" t="s">
        <v>3775</v>
      </c>
      <c r="I482" t="s">
        <v>113</v>
      </c>
      <c r="J482" t="s">
        <v>89</v>
      </c>
      <c r="K482" t="s">
        <v>89</v>
      </c>
      <c r="L482" t="s">
        <v>2432</v>
      </c>
      <c r="M482" t="s">
        <v>3006</v>
      </c>
      <c r="N482" t="s">
        <v>2607</v>
      </c>
      <c r="O482" t="s">
        <v>89</v>
      </c>
      <c r="P482" t="s">
        <v>3618</v>
      </c>
      <c r="Q482" t="s">
        <v>3776</v>
      </c>
      <c r="R482" t="s">
        <v>2719</v>
      </c>
      <c r="S482" t="s">
        <v>93</v>
      </c>
      <c r="T482" t="s">
        <v>113</v>
      </c>
      <c r="U482" t="s">
        <v>3006</v>
      </c>
      <c r="V482" t="s">
        <v>2607</v>
      </c>
      <c r="W482" t="s">
        <v>3395</v>
      </c>
      <c r="X482" t="s">
        <v>160</v>
      </c>
      <c r="Y482" t="s">
        <v>3777</v>
      </c>
      <c r="Z482" t="s">
        <v>2592</v>
      </c>
      <c r="AA482" t="s">
        <v>93</v>
      </c>
      <c r="AB482" t="s">
        <v>2593</v>
      </c>
      <c r="AC482" t="s">
        <v>3778</v>
      </c>
    </row>
    <row r="483" spans="1:29" x14ac:dyDescent="0.25">
      <c r="A483" t="s">
        <v>57</v>
      </c>
      <c r="B483" t="s">
        <v>959</v>
      </c>
      <c r="C483" t="s">
        <v>1026</v>
      </c>
      <c r="D483" t="s">
        <v>79</v>
      </c>
      <c r="E483" t="s">
        <v>80</v>
      </c>
      <c r="F483" t="s">
        <v>67</v>
      </c>
      <c r="G483" t="s">
        <v>2890</v>
      </c>
      <c r="H483" t="s">
        <v>3779</v>
      </c>
      <c r="I483" t="s">
        <v>2446</v>
      </c>
      <c r="J483" t="s">
        <v>89</v>
      </c>
      <c r="K483" t="s">
        <v>89</v>
      </c>
      <c r="L483" t="s">
        <v>2432</v>
      </c>
      <c r="M483" t="s">
        <v>3006</v>
      </c>
      <c r="N483" t="s">
        <v>2607</v>
      </c>
      <c r="O483" t="s">
        <v>89</v>
      </c>
      <c r="P483" t="s">
        <v>3618</v>
      </c>
      <c r="Q483" t="s">
        <v>3780</v>
      </c>
      <c r="R483" t="s">
        <v>2896</v>
      </c>
      <c r="S483" t="s">
        <v>93</v>
      </c>
      <c r="T483" t="s">
        <v>123</v>
      </c>
      <c r="U483" t="s">
        <v>3440</v>
      </c>
      <c r="V483" t="s">
        <v>3006</v>
      </c>
      <c r="W483" t="s">
        <v>3395</v>
      </c>
      <c r="X483" t="s">
        <v>160</v>
      </c>
      <c r="Y483" t="s">
        <v>3781</v>
      </c>
      <c r="Z483" t="s">
        <v>2899</v>
      </c>
      <c r="AA483" t="s">
        <v>93</v>
      </c>
      <c r="AB483" t="s">
        <v>127</v>
      </c>
      <c r="AC483" t="s">
        <v>3782</v>
      </c>
    </row>
    <row r="484" spans="1:29" x14ac:dyDescent="0.25">
      <c r="A484" t="s">
        <v>57</v>
      </c>
      <c r="B484" t="s">
        <v>959</v>
      </c>
      <c r="C484" t="s">
        <v>1026</v>
      </c>
      <c r="D484" t="s">
        <v>79</v>
      </c>
      <c r="E484" t="s">
        <v>80</v>
      </c>
      <c r="F484" t="s">
        <v>68</v>
      </c>
      <c r="G484" t="s">
        <v>2901</v>
      </c>
      <c r="H484" t="s">
        <v>3783</v>
      </c>
      <c r="I484" t="s">
        <v>759</v>
      </c>
      <c r="J484" t="s">
        <v>89</v>
      </c>
      <c r="K484" t="s">
        <v>89</v>
      </c>
      <c r="L484" t="s">
        <v>2432</v>
      </c>
      <c r="M484" t="s">
        <v>3006</v>
      </c>
      <c r="N484" t="s">
        <v>2607</v>
      </c>
      <c r="O484" t="s">
        <v>89</v>
      </c>
      <c r="P484" t="s">
        <v>3618</v>
      </c>
      <c r="Q484" t="s">
        <v>3784</v>
      </c>
      <c r="R484" t="s">
        <v>2688</v>
      </c>
      <c r="S484" t="s">
        <v>93</v>
      </c>
      <c r="T484" t="s">
        <v>823</v>
      </c>
      <c r="U484" t="s">
        <v>3006</v>
      </c>
      <c r="V484" t="s">
        <v>2607</v>
      </c>
      <c r="W484" t="s">
        <v>3395</v>
      </c>
      <c r="X484" t="s">
        <v>160</v>
      </c>
      <c r="Y484" t="s">
        <v>3785</v>
      </c>
      <c r="Z484" t="s">
        <v>2557</v>
      </c>
      <c r="AA484" t="s">
        <v>93</v>
      </c>
      <c r="AB484" t="s">
        <v>374</v>
      </c>
      <c r="AC484" t="s">
        <v>3786</v>
      </c>
    </row>
    <row r="485" spans="1:29" x14ac:dyDescent="0.25">
      <c r="A485" t="s">
        <v>57</v>
      </c>
      <c r="B485" t="s">
        <v>959</v>
      </c>
      <c r="C485" t="s">
        <v>1026</v>
      </c>
      <c r="D485" t="s">
        <v>79</v>
      </c>
      <c r="E485" t="s">
        <v>80</v>
      </c>
      <c r="F485" t="s">
        <v>69</v>
      </c>
      <c r="G485" t="s">
        <v>2909</v>
      </c>
      <c r="H485" t="s">
        <v>3787</v>
      </c>
      <c r="I485" t="s">
        <v>698</v>
      </c>
      <c r="J485" t="s">
        <v>89</v>
      </c>
      <c r="K485" t="s">
        <v>89</v>
      </c>
      <c r="L485" t="s">
        <v>2432</v>
      </c>
      <c r="M485" t="s">
        <v>3006</v>
      </c>
      <c r="N485" t="s">
        <v>2607</v>
      </c>
      <c r="O485" t="s">
        <v>89</v>
      </c>
      <c r="P485" t="s">
        <v>3618</v>
      </c>
      <c r="Q485" t="s">
        <v>3788</v>
      </c>
      <c r="R485" t="s">
        <v>2915</v>
      </c>
      <c r="S485" t="s">
        <v>93</v>
      </c>
      <c r="T485" t="s">
        <v>554</v>
      </c>
      <c r="U485" t="s">
        <v>3006</v>
      </c>
      <c r="V485" t="s">
        <v>2607</v>
      </c>
      <c r="W485" t="s">
        <v>3395</v>
      </c>
      <c r="X485" t="s">
        <v>160</v>
      </c>
      <c r="Y485" t="s">
        <v>3789</v>
      </c>
      <c r="Z485" t="s">
        <v>2747</v>
      </c>
      <c r="AA485" t="s">
        <v>93</v>
      </c>
      <c r="AB485" t="s">
        <v>558</v>
      </c>
      <c r="AC485" t="s">
        <v>3790</v>
      </c>
    </row>
    <row r="486" spans="1:29" x14ac:dyDescent="0.25">
      <c r="A486" t="s">
        <v>57</v>
      </c>
      <c r="B486" t="s">
        <v>959</v>
      </c>
      <c r="C486" t="s">
        <v>1026</v>
      </c>
      <c r="D486" t="s">
        <v>79</v>
      </c>
      <c r="E486" t="s">
        <v>80</v>
      </c>
      <c r="F486" t="s">
        <v>70</v>
      </c>
      <c r="G486" t="s">
        <v>2920</v>
      </c>
      <c r="H486" t="s">
        <v>3791</v>
      </c>
      <c r="I486" t="s">
        <v>2779</v>
      </c>
      <c r="J486" t="s">
        <v>89</v>
      </c>
      <c r="K486" t="s">
        <v>89</v>
      </c>
      <c r="L486" t="s">
        <v>2432</v>
      </c>
      <c r="M486" t="s">
        <v>3006</v>
      </c>
      <c r="N486" t="s">
        <v>2607</v>
      </c>
      <c r="O486" t="s">
        <v>89</v>
      </c>
      <c r="P486" t="s">
        <v>3618</v>
      </c>
      <c r="Q486" t="s">
        <v>3792</v>
      </c>
      <c r="R486" t="s">
        <v>2925</v>
      </c>
      <c r="S486" t="s">
        <v>93</v>
      </c>
      <c r="T486" t="s">
        <v>629</v>
      </c>
      <c r="U486" t="s">
        <v>3006</v>
      </c>
      <c r="V486" t="s">
        <v>3006</v>
      </c>
      <c r="W486" t="s">
        <v>3489</v>
      </c>
      <c r="X486" t="s">
        <v>160</v>
      </c>
      <c r="Y486" t="s">
        <v>3793</v>
      </c>
      <c r="Z486" t="s">
        <v>2927</v>
      </c>
      <c r="AA486" t="s">
        <v>93</v>
      </c>
      <c r="AB486" t="s">
        <v>854</v>
      </c>
      <c r="AC486" t="s">
        <v>3794</v>
      </c>
    </row>
    <row r="487" spans="1:29" x14ac:dyDescent="0.25">
      <c r="A487" t="s">
        <v>57</v>
      </c>
      <c r="B487" t="s">
        <v>959</v>
      </c>
      <c r="C487" t="s">
        <v>1026</v>
      </c>
      <c r="D487" t="s">
        <v>79</v>
      </c>
      <c r="E487" t="s">
        <v>80</v>
      </c>
      <c r="F487" t="s">
        <v>71</v>
      </c>
      <c r="G487" t="s">
        <v>2929</v>
      </c>
      <c r="H487" t="s">
        <v>3795</v>
      </c>
      <c r="I487" t="s">
        <v>1950</v>
      </c>
      <c r="J487" t="s">
        <v>89</v>
      </c>
      <c r="K487" t="s">
        <v>89</v>
      </c>
      <c r="L487" t="s">
        <v>2506</v>
      </c>
      <c r="M487" t="s">
        <v>3006</v>
      </c>
      <c r="N487" t="s">
        <v>2607</v>
      </c>
      <c r="O487" t="s">
        <v>89</v>
      </c>
      <c r="P487" t="s">
        <v>2211</v>
      </c>
      <c r="Q487" t="s">
        <v>3796</v>
      </c>
      <c r="R487" t="s">
        <v>2936</v>
      </c>
      <c r="S487" t="s">
        <v>93</v>
      </c>
      <c r="T487" t="s">
        <v>2937</v>
      </c>
      <c r="U487" t="s">
        <v>3668</v>
      </c>
      <c r="V487" t="s">
        <v>3134</v>
      </c>
      <c r="W487" t="s">
        <v>3797</v>
      </c>
      <c r="X487" t="s">
        <v>160</v>
      </c>
      <c r="Y487" t="s">
        <v>3798</v>
      </c>
      <c r="Z487" t="s">
        <v>2475</v>
      </c>
      <c r="AA487" t="s">
        <v>93</v>
      </c>
      <c r="AB487" t="s">
        <v>2476</v>
      </c>
      <c r="AC487" t="s">
        <v>3799</v>
      </c>
    </row>
    <row r="488" spans="1:29" x14ac:dyDescent="0.25">
      <c r="A488" t="s">
        <v>57</v>
      </c>
      <c r="B488" t="s">
        <v>959</v>
      </c>
      <c r="C488" t="s">
        <v>1026</v>
      </c>
      <c r="D488" t="s">
        <v>79</v>
      </c>
      <c r="E488" t="s">
        <v>80</v>
      </c>
      <c r="F488" t="s">
        <v>72</v>
      </c>
      <c r="G488" t="s">
        <v>2941</v>
      </c>
      <c r="H488" t="s">
        <v>3800</v>
      </c>
      <c r="I488" t="s">
        <v>1784</v>
      </c>
      <c r="J488" t="s">
        <v>89</v>
      </c>
      <c r="K488" t="s">
        <v>89</v>
      </c>
      <c r="L488" t="s">
        <v>2432</v>
      </c>
      <c r="M488" t="s">
        <v>3006</v>
      </c>
      <c r="N488" t="s">
        <v>2607</v>
      </c>
      <c r="O488" t="s">
        <v>89</v>
      </c>
      <c r="P488" t="s">
        <v>3618</v>
      </c>
      <c r="Q488" t="s">
        <v>3801</v>
      </c>
      <c r="R488" t="s">
        <v>2719</v>
      </c>
      <c r="S488" t="s">
        <v>93</v>
      </c>
      <c r="T488" t="s">
        <v>113</v>
      </c>
      <c r="U488" t="s">
        <v>3006</v>
      </c>
      <c r="V488" t="s">
        <v>2607</v>
      </c>
      <c r="W488" t="s">
        <v>3395</v>
      </c>
      <c r="X488" t="s">
        <v>160</v>
      </c>
      <c r="Y488" t="s">
        <v>3802</v>
      </c>
      <c r="Z488" t="s">
        <v>2592</v>
      </c>
      <c r="AA488" t="s">
        <v>93</v>
      </c>
      <c r="AB488" t="s">
        <v>2593</v>
      </c>
      <c r="AC488" t="s">
        <v>3803</v>
      </c>
    </row>
    <row r="489" spans="1:29" x14ac:dyDescent="0.25">
      <c r="A489" t="s">
        <v>57</v>
      </c>
      <c r="B489" t="s">
        <v>959</v>
      </c>
      <c r="C489" t="s">
        <v>1026</v>
      </c>
      <c r="D489" t="s">
        <v>79</v>
      </c>
      <c r="E489" t="s">
        <v>80</v>
      </c>
      <c r="F489" t="s">
        <v>73</v>
      </c>
      <c r="G489" t="s">
        <v>2947</v>
      </c>
      <c r="H489" t="s">
        <v>3804</v>
      </c>
      <c r="I489" t="s">
        <v>857</v>
      </c>
      <c r="J489" t="s">
        <v>89</v>
      </c>
      <c r="K489" t="s">
        <v>2431</v>
      </c>
      <c r="L489" t="s">
        <v>2432</v>
      </c>
      <c r="M489" t="s">
        <v>3006</v>
      </c>
      <c r="N489" t="s">
        <v>2607</v>
      </c>
      <c r="O489" t="s">
        <v>89</v>
      </c>
      <c r="P489" t="s">
        <v>3618</v>
      </c>
      <c r="Q489" t="s">
        <v>3805</v>
      </c>
      <c r="R489" t="s">
        <v>2899</v>
      </c>
      <c r="S489" t="s">
        <v>93</v>
      </c>
      <c r="T489" t="s">
        <v>127</v>
      </c>
      <c r="U489" t="s">
        <v>3006</v>
      </c>
      <c r="V489" t="s">
        <v>2607</v>
      </c>
      <c r="W489" t="s">
        <v>3395</v>
      </c>
      <c r="X489" t="s">
        <v>160</v>
      </c>
      <c r="Y489" t="s">
        <v>3806</v>
      </c>
      <c r="Z489" t="s">
        <v>2788</v>
      </c>
      <c r="AA489" t="s">
        <v>93</v>
      </c>
      <c r="AB489" t="s">
        <v>2789</v>
      </c>
      <c r="AC489" t="s">
        <v>3807</v>
      </c>
    </row>
    <row r="490" spans="1:29" x14ac:dyDescent="0.25">
      <c r="A490" t="s">
        <v>57</v>
      </c>
      <c r="B490" t="s">
        <v>959</v>
      </c>
      <c r="C490" t="s">
        <v>1026</v>
      </c>
      <c r="D490" t="s">
        <v>79</v>
      </c>
      <c r="E490" t="s">
        <v>80</v>
      </c>
      <c r="F490" t="s">
        <v>74</v>
      </c>
      <c r="G490" t="s">
        <v>2953</v>
      </c>
      <c r="H490" t="s">
        <v>3808</v>
      </c>
      <c r="I490" t="s">
        <v>823</v>
      </c>
      <c r="J490" t="s">
        <v>89</v>
      </c>
      <c r="K490" t="s">
        <v>89</v>
      </c>
      <c r="L490" t="s">
        <v>2506</v>
      </c>
      <c r="M490" t="s">
        <v>3006</v>
      </c>
      <c r="N490" t="s">
        <v>2607</v>
      </c>
      <c r="O490" t="s">
        <v>89</v>
      </c>
      <c r="P490" t="s">
        <v>3618</v>
      </c>
      <c r="Q490" t="s">
        <v>3809</v>
      </c>
      <c r="R490" t="s">
        <v>2959</v>
      </c>
      <c r="S490" t="s">
        <v>93</v>
      </c>
      <c r="T490" t="s">
        <v>221</v>
      </c>
      <c r="U490" t="s">
        <v>3006</v>
      </c>
      <c r="V490" t="s">
        <v>2607</v>
      </c>
      <c r="W490" t="s">
        <v>3395</v>
      </c>
      <c r="X490" t="s">
        <v>160</v>
      </c>
      <c r="Y490" t="s">
        <v>3810</v>
      </c>
      <c r="Z490" t="s">
        <v>2961</v>
      </c>
      <c r="AA490" t="s">
        <v>93</v>
      </c>
      <c r="AB490" t="s">
        <v>639</v>
      </c>
      <c r="AC490" t="s">
        <v>3811</v>
      </c>
    </row>
    <row r="491" spans="1:29" x14ac:dyDescent="0.25">
      <c r="A491" t="s">
        <v>57</v>
      </c>
      <c r="B491" t="s">
        <v>959</v>
      </c>
      <c r="C491" t="s">
        <v>1026</v>
      </c>
      <c r="D491" t="s">
        <v>79</v>
      </c>
      <c r="E491" t="s">
        <v>80</v>
      </c>
      <c r="F491" t="s">
        <v>75</v>
      </c>
      <c r="G491" t="s">
        <v>2963</v>
      </c>
      <c r="H491" t="s">
        <v>3812</v>
      </c>
      <c r="I491" t="s">
        <v>2108</v>
      </c>
      <c r="J491" t="s">
        <v>89</v>
      </c>
      <c r="K491" t="s">
        <v>89</v>
      </c>
      <c r="L491" t="s">
        <v>2506</v>
      </c>
      <c r="M491" t="s">
        <v>3179</v>
      </c>
      <c r="N491" t="s">
        <v>2607</v>
      </c>
      <c r="O491" t="s">
        <v>89</v>
      </c>
      <c r="P491" t="s">
        <v>2211</v>
      </c>
      <c r="Q491" t="s">
        <v>3813</v>
      </c>
      <c r="R491" t="s">
        <v>2489</v>
      </c>
      <c r="S491" t="s">
        <v>93</v>
      </c>
      <c r="T491" t="s">
        <v>285</v>
      </c>
      <c r="U491" t="s">
        <v>2916</v>
      </c>
      <c r="V491" t="s">
        <v>3542</v>
      </c>
      <c r="W491" t="s">
        <v>3755</v>
      </c>
      <c r="X491" t="s">
        <v>160</v>
      </c>
      <c r="Y491" t="s">
        <v>3814</v>
      </c>
      <c r="Z491" t="s">
        <v>2456</v>
      </c>
      <c r="AA491" t="s">
        <v>93</v>
      </c>
      <c r="AB491" t="s">
        <v>2257</v>
      </c>
      <c r="AC491" t="s">
        <v>3815</v>
      </c>
    </row>
    <row r="492" spans="1:29" x14ac:dyDescent="0.25">
      <c r="A492" t="s">
        <v>57</v>
      </c>
      <c r="B492" t="s">
        <v>959</v>
      </c>
      <c r="C492" t="s">
        <v>1026</v>
      </c>
      <c r="D492" t="s">
        <v>79</v>
      </c>
      <c r="E492" t="s">
        <v>80</v>
      </c>
      <c r="F492" t="s">
        <v>76</v>
      </c>
      <c r="G492" t="s">
        <v>2972</v>
      </c>
      <c r="H492" t="s">
        <v>3816</v>
      </c>
      <c r="I492" t="s">
        <v>2376</v>
      </c>
      <c r="J492" t="s">
        <v>89</v>
      </c>
      <c r="K492" t="s">
        <v>89</v>
      </c>
      <c r="L492" t="s">
        <v>2432</v>
      </c>
      <c r="M492" t="s">
        <v>3006</v>
      </c>
      <c r="N492" t="s">
        <v>2607</v>
      </c>
      <c r="O492" t="s">
        <v>89</v>
      </c>
      <c r="P492" t="s">
        <v>1440</v>
      </c>
      <c r="Q492" t="s">
        <v>3817</v>
      </c>
      <c r="R492" t="s">
        <v>1996</v>
      </c>
      <c r="S492" t="s">
        <v>93</v>
      </c>
      <c r="T492" t="s">
        <v>1473</v>
      </c>
      <c r="U492" t="s">
        <v>3735</v>
      </c>
      <c r="V492" t="s">
        <v>3134</v>
      </c>
      <c r="W492" t="s">
        <v>3713</v>
      </c>
      <c r="X492" t="s">
        <v>160</v>
      </c>
      <c r="Y492" t="s">
        <v>3818</v>
      </c>
      <c r="Z492" t="s">
        <v>2981</v>
      </c>
      <c r="AA492" t="s">
        <v>93</v>
      </c>
      <c r="AB492" t="s">
        <v>1309</v>
      </c>
      <c r="AC492" t="s">
        <v>3819</v>
      </c>
    </row>
    <row r="493" spans="1:29" x14ac:dyDescent="0.25">
      <c r="A493" t="s">
        <v>57</v>
      </c>
      <c r="B493" t="s">
        <v>1297</v>
      </c>
      <c r="C493" t="s">
        <v>1026</v>
      </c>
      <c r="D493" t="s">
        <v>898</v>
      </c>
      <c r="E493" t="s">
        <v>80</v>
      </c>
      <c r="F493" t="s">
        <v>58</v>
      </c>
      <c r="G493" t="s">
        <v>3820</v>
      </c>
      <c r="H493" t="s">
        <v>3821</v>
      </c>
      <c r="I493" t="s">
        <v>3822</v>
      </c>
      <c r="J493" t="s">
        <v>2912</v>
      </c>
      <c r="K493" t="s">
        <v>3631</v>
      </c>
      <c r="L493" t="s">
        <v>2874</v>
      </c>
      <c r="M493" t="s">
        <v>3006</v>
      </c>
      <c r="N493" t="s">
        <v>2607</v>
      </c>
      <c r="O493" t="s">
        <v>89</v>
      </c>
      <c r="P493" t="s">
        <v>2211</v>
      </c>
      <c r="Q493" t="s">
        <v>3823</v>
      </c>
      <c r="R493" t="s">
        <v>2522</v>
      </c>
      <c r="S493" t="s">
        <v>93</v>
      </c>
      <c r="T493" t="s">
        <v>2523</v>
      </c>
      <c r="U493" t="s">
        <v>3488</v>
      </c>
      <c r="V493" t="s">
        <v>2886</v>
      </c>
      <c r="W493" t="s">
        <v>3604</v>
      </c>
      <c r="X493" t="s">
        <v>160</v>
      </c>
      <c r="Y493" t="s">
        <v>3824</v>
      </c>
      <c r="Z493" t="s">
        <v>2496</v>
      </c>
      <c r="AA493" t="s">
        <v>93</v>
      </c>
      <c r="AB493" t="s">
        <v>2497</v>
      </c>
      <c r="AC493" t="s">
        <v>3825</v>
      </c>
    </row>
    <row r="494" spans="1:29" x14ac:dyDescent="0.25">
      <c r="A494" t="s">
        <v>57</v>
      </c>
      <c r="B494" t="s">
        <v>1297</v>
      </c>
      <c r="C494" t="s">
        <v>1026</v>
      </c>
      <c r="D494" t="s">
        <v>898</v>
      </c>
      <c r="E494" t="s">
        <v>80</v>
      </c>
      <c r="F494" t="s">
        <v>59</v>
      </c>
      <c r="G494" t="s">
        <v>3826</v>
      </c>
      <c r="H494" t="s">
        <v>3827</v>
      </c>
      <c r="I494" t="s">
        <v>3828</v>
      </c>
      <c r="J494" t="s">
        <v>3603</v>
      </c>
      <c r="K494" t="s">
        <v>2671</v>
      </c>
      <c r="L494" t="s">
        <v>2630</v>
      </c>
      <c r="M494" t="s">
        <v>3006</v>
      </c>
      <c r="N494" t="s">
        <v>2607</v>
      </c>
      <c r="O494" t="s">
        <v>89</v>
      </c>
      <c r="P494" t="s">
        <v>3618</v>
      </c>
      <c r="Q494" t="s">
        <v>3829</v>
      </c>
      <c r="R494" t="s">
        <v>2585</v>
      </c>
      <c r="S494" t="s">
        <v>93</v>
      </c>
      <c r="T494" t="s">
        <v>820</v>
      </c>
      <c r="U494" t="s">
        <v>3179</v>
      </c>
      <c r="V494" t="s">
        <v>2607</v>
      </c>
      <c r="W494" t="s">
        <v>3395</v>
      </c>
      <c r="X494" t="s">
        <v>160</v>
      </c>
      <c r="Y494" t="s">
        <v>3830</v>
      </c>
      <c r="Z494" t="s">
        <v>2688</v>
      </c>
      <c r="AA494" t="s">
        <v>93</v>
      </c>
      <c r="AB494" t="s">
        <v>823</v>
      </c>
      <c r="AC494" t="s">
        <v>3831</v>
      </c>
    </row>
    <row r="495" spans="1:29" x14ac:dyDescent="0.25">
      <c r="A495" t="s">
        <v>57</v>
      </c>
      <c r="B495" t="s">
        <v>1297</v>
      </c>
      <c r="C495" t="s">
        <v>1026</v>
      </c>
      <c r="D495" t="s">
        <v>898</v>
      </c>
      <c r="E495" t="s">
        <v>80</v>
      </c>
      <c r="F495" t="s">
        <v>60</v>
      </c>
      <c r="G495" t="s">
        <v>3832</v>
      </c>
      <c r="H495" t="s">
        <v>3833</v>
      </c>
      <c r="I495" t="s">
        <v>3834</v>
      </c>
      <c r="J495" t="s">
        <v>3386</v>
      </c>
      <c r="K495" t="s">
        <v>3631</v>
      </c>
      <c r="L495" t="s">
        <v>3533</v>
      </c>
      <c r="M495" t="s">
        <v>89</v>
      </c>
      <c r="N495" t="s">
        <v>2443</v>
      </c>
      <c r="O495" t="s">
        <v>89</v>
      </c>
      <c r="P495" t="s">
        <v>2110</v>
      </c>
      <c r="Q495" t="s">
        <v>3835</v>
      </c>
      <c r="R495" t="s">
        <v>2596</v>
      </c>
      <c r="S495" t="s">
        <v>93</v>
      </c>
      <c r="T495" t="s">
        <v>2597</v>
      </c>
      <c r="U495" t="s">
        <v>3006</v>
      </c>
      <c r="V495" t="s">
        <v>2443</v>
      </c>
      <c r="W495" t="s">
        <v>3448</v>
      </c>
      <c r="X495" t="s">
        <v>160</v>
      </c>
      <c r="Y495" t="s">
        <v>3836</v>
      </c>
      <c r="Z495" t="s">
        <v>2778</v>
      </c>
      <c r="AA495" t="s">
        <v>93</v>
      </c>
      <c r="AB495" t="s">
        <v>2779</v>
      </c>
      <c r="AC495" t="s">
        <v>3837</v>
      </c>
    </row>
    <row r="496" spans="1:29" x14ac:dyDescent="0.25">
      <c r="A496" t="s">
        <v>57</v>
      </c>
      <c r="B496" t="s">
        <v>1297</v>
      </c>
      <c r="C496" t="s">
        <v>1026</v>
      </c>
      <c r="D496" t="s">
        <v>898</v>
      </c>
      <c r="E496" t="s">
        <v>80</v>
      </c>
      <c r="F496" t="s">
        <v>61</v>
      </c>
      <c r="G496" t="s">
        <v>3838</v>
      </c>
      <c r="H496" t="s">
        <v>3839</v>
      </c>
      <c r="I496" t="s">
        <v>3840</v>
      </c>
      <c r="J496" t="s">
        <v>89</v>
      </c>
      <c r="K496" t="s">
        <v>89</v>
      </c>
      <c r="L496" t="s">
        <v>2472</v>
      </c>
      <c r="M496" t="s">
        <v>3006</v>
      </c>
      <c r="N496" t="s">
        <v>2607</v>
      </c>
      <c r="O496" t="s">
        <v>89</v>
      </c>
      <c r="P496" t="s">
        <v>2211</v>
      </c>
      <c r="Q496" t="s">
        <v>3841</v>
      </c>
      <c r="R496" t="s">
        <v>3017</v>
      </c>
      <c r="S496" t="s">
        <v>93</v>
      </c>
      <c r="T496" t="s">
        <v>2376</v>
      </c>
      <c r="U496" t="s">
        <v>3410</v>
      </c>
      <c r="V496" t="s">
        <v>2897</v>
      </c>
      <c r="W496" t="s">
        <v>3411</v>
      </c>
      <c r="X496" t="s">
        <v>160</v>
      </c>
      <c r="Y496" t="s">
        <v>3842</v>
      </c>
      <c r="Z496" t="s">
        <v>2714</v>
      </c>
      <c r="AA496" t="s">
        <v>93</v>
      </c>
      <c r="AB496" t="s">
        <v>2379</v>
      </c>
      <c r="AC496" t="s">
        <v>3843</v>
      </c>
    </row>
    <row r="497" spans="1:29" x14ac:dyDescent="0.25">
      <c r="A497" t="s">
        <v>57</v>
      </c>
      <c r="B497" t="s">
        <v>1297</v>
      </c>
      <c r="C497" t="s">
        <v>1026</v>
      </c>
      <c r="D497" t="s">
        <v>898</v>
      </c>
      <c r="E497" t="s">
        <v>80</v>
      </c>
      <c r="F497" t="s">
        <v>62</v>
      </c>
      <c r="G497" t="s">
        <v>3844</v>
      </c>
      <c r="H497" t="s">
        <v>3845</v>
      </c>
      <c r="I497" t="s">
        <v>3846</v>
      </c>
      <c r="J497" t="s">
        <v>3386</v>
      </c>
      <c r="K497" t="s">
        <v>2641</v>
      </c>
      <c r="L497" t="s">
        <v>2815</v>
      </c>
      <c r="M497" t="s">
        <v>89</v>
      </c>
      <c r="N497" t="s">
        <v>2443</v>
      </c>
      <c r="O497" t="s">
        <v>89</v>
      </c>
      <c r="P497" t="s">
        <v>3847</v>
      </c>
      <c r="Q497" t="s">
        <v>3848</v>
      </c>
      <c r="R497" t="s">
        <v>2551</v>
      </c>
      <c r="S497" t="s">
        <v>93</v>
      </c>
      <c r="T497" t="s">
        <v>1860</v>
      </c>
      <c r="U497" t="s">
        <v>3006</v>
      </c>
      <c r="V497" t="s">
        <v>2443</v>
      </c>
      <c r="W497" t="s">
        <v>3441</v>
      </c>
      <c r="X497" t="s">
        <v>160</v>
      </c>
      <c r="Y497" t="s">
        <v>3849</v>
      </c>
      <c r="Z497" t="s">
        <v>2531</v>
      </c>
      <c r="AA497" t="s">
        <v>93</v>
      </c>
      <c r="AB497" t="s">
        <v>2098</v>
      </c>
      <c r="AC497" t="s">
        <v>3850</v>
      </c>
    </row>
    <row r="498" spans="1:29" x14ac:dyDescent="0.25">
      <c r="A498" t="s">
        <v>57</v>
      </c>
      <c r="B498" t="s">
        <v>1297</v>
      </c>
      <c r="C498" t="s">
        <v>1026</v>
      </c>
      <c r="D498" t="s">
        <v>898</v>
      </c>
      <c r="E498" t="s">
        <v>80</v>
      </c>
      <c r="F498" t="s">
        <v>63</v>
      </c>
      <c r="G498" t="s">
        <v>3851</v>
      </c>
      <c r="H498" t="s">
        <v>3852</v>
      </c>
      <c r="I498" t="s">
        <v>3853</v>
      </c>
      <c r="J498" t="s">
        <v>3568</v>
      </c>
      <c r="K498" t="s">
        <v>2694</v>
      </c>
      <c r="L498" t="s">
        <v>2620</v>
      </c>
      <c r="M498" t="s">
        <v>89</v>
      </c>
      <c r="N498" t="s">
        <v>2443</v>
      </c>
      <c r="O498" t="s">
        <v>89</v>
      </c>
      <c r="P498" t="s">
        <v>3666</v>
      </c>
      <c r="Q498" t="s">
        <v>3854</v>
      </c>
      <c r="R498" t="s">
        <v>2592</v>
      </c>
      <c r="S498" t="s">
        <v>93</v>
      </c>
      <c r="T498" t="s">
        <v>2593</v>
      </c>
      <c r="U498" t="s">
        <v>3006</v>
      </c>
      <c r="V498" t="s">
        <v>2443</v>
      </c>
      <c r="W498" t="s">
        <v>3489</v>
      </c>
      <c r="X498" t="s">
        <v>160</v>
      </c>
      <c r="Y498" t="s">
        <v>3855</v>
      </c>
      <c r="Z498" t="s">
        <v>2596</v>
      </c>
      <c r="AA498" t="s">
        <v>93</v>
      </c>
      <c r="AB498" t="s">
        <v>2597</v>
      </c>
      <c r="AC498" t="s">
        <v>3856</v>
      </c>
    </row>
    <row r="499" spans="1:29" x14ac:dyDescent="0.25">
      <c r="A499" t="s">
        <v>57</v>
      </c>
      <c r="B499" t="s">
        <v>1297</v>
      </c>
      <c r="C499" t="s">
        <v>1026</v>
      </c>
      <c r="D499" t="s">
        <v>898</v>
      </c>
      <c r="E499" t="s">
        <v>80</v>
      </c>
      <c r="F499" t="s">
        <v>64</v>
      </c>
      <c r="G499" t="s">
        <v>2703</v>
      </c>
      <c r="H499" t="s">
        <v>3857</v>
      </c>
      <c r="I499" t="s">
        <v>3858</v>
      </c>
      <c r="J499" t="s">
        <v>3859</v>
      </c>
      <c r="K499" t="s">
        <v>3631</v>
      </c>
      <c r="L499" t="s">
        <v>3533</v>
      </c>
      <c r="M499" t="s">
        <v>89</v>
      </c>
      <c r="N499" t="s">
        <v>89</v>
      </c>
      <c r="O499" t="s">
        <v>89</v>
      </c>
      <c r="P499" t="s">
        <v>3847</v>
      </c>
      <c r="Q499" t="s">
        <v>3860</v>
      </c>
      <c r="R499" t="s">
        <v>2896</v>
      </c>
      <c r="S499" t="s">
        <v>93</v>
      </c>
      <c r="T499" t="s">
        <v>123</v>
      </c>
      <c r="U499" t="s">
        <v>89</v>
      </c>
      <c r="V499" t="s">
        <v>2443</v>
      </c>
      <c r="W499" t="s">
        <v>89</v>
      </c>
      <c r="X499" t="s">
        <v>3861</v>
      </c>
      <c r="Y499" t="s">
        <v>3862</v>
      </c>
      <c r="Z499" t="s">
        <v>2899</v>
      </c>
      <c r="AA499" t="s">
        <v>93</v>
      </c>
      <c r="AB499" t="s">
        <v>127</v>
      </c>
      <c r="AC499" t="s">
        <v>3863</v>
      </c>
    </row>
    <row r="500" spans="1:29" x14ac:dyDescent="0.25">
      <c r="A500" t="s">
        <v>57</v>
      </c>
      <c r="B500" t="s">
        <v>1297</v>
      </c>
      <c r="C500" t="s">
        <v>1026</v>
      </c>
      <c r="D500" t="s">
        <v>898</v>
      </c>
      <c r="E500" t="s">
        <v>80</v>
      </c>
      <c r="F500" t="s">
        <v>65</v>
      </c>
      <c r="G500" t="s">
        <v>3864</v>
      </c>
      <c r="H500" t="s">
        <v>3865</v>
      </c>
      <c r="I500" t="s">
        <v>3866</v>
      </c>
      <c r="J500" t="s">
        <v>3532</v>
      </c>
      <c r="K500" t="s">
        <v>2671</v>
      </c>
      <c r="L500" t="s">
        <v>2672</v>
      </c>
      <c r="M500" t="s">
        <v>89</v>
      </c>
      <c r="N500" t="s">
        <v>89</v>
      </c>
      <c r="O500" t="s">
        <v>89</v>
      </c>
      <c r="P500" t="s">
        <v>3867</v>
      </c>
      <c r="Q500" t="s">
        <v>3868</v>
      </c>
      <c r="R500" t="s">
        <v>2557</v>
      </c>
      <c r="S500" t="s">
        <v>93</v>
      </c>
      <c r="T500" t="s">
        <v>374</v>
      </c>
      <c r="U500" t="s">
        <v>2436</v>
      </c>
      <c r="V500" t="s">
        <v>89</v>
      </c>
      <c r="W500" t="s">
        <v>89</v>
      </c>
      <c r="X500" t="s">
        <v>3869</v>
      </c>
      <c r="Y500" t="s">
        <v>3870</v>
      </c>
      <c r="Z500" t="s">
        <v>2559</v>
      </c>
      <c r="AA500" t="s">
        <v>93</v>
      </c>
      <c r="AB500" t="s">
        <v>109</v>
      </c>
      <c r="AC500" t="s">
        <v>3871</v>
      </c>
    </row>
    <row r="501" spans="1:29" x14ac:dyDescent="0.25">
      <c r="A501" t="s">
        <v>57</v>
      </c>
      <c r="B501" t="s">
        <v>1297</v>
      </c>
      <c r="C501" t="s">
        <v>1026</v>
      </c>
      <c r="D501" t="s">
        <v>898</v>
      </c>
      <c r="E501" t="s">
        <v>80</v>
      </c>
      <c r="F501" t="s">
        <v>66</v>
      </c>
      <c r="G501" t="s">
        <v>3872</v>
      </c>
      <c r="H501" t="s">
        <v>3873</v>
      </c>
      <c r="I501" t="s">
        <v>3874</v>
      </c>
      <c r="J501" t="s">
        <v>2670</v>
      </c>
      <c r="K501" t="s">
        <v>3631</v>
      </c>
      <c r="L501" t="s">
        <v>3533</v>
      </c>
      <c r="M501" t="s">
        <v>89</v>
      </c>
      <c r="N501" t="s">
        <v>2443</v>
      </c>
      <c r="O501" t="s">
        <v>89</v>
      </c>
      <c r="P501" t="s">
        <v>278</v>
      </c>
      <c r="Q501" t="s">
        <v>3875</v>
      </c>
      <c r="R501" t="s">
        <v>2747</v>
      </c>
      <c r="S501" t="s">
        <v>93</v>
      </c>
      <c r="T501" t="s">
        <v>558</v>
      </c>
      <c r="U501" t="s">
        <v>2433</v>
      </c>
      <c r="V501" t="s">
        <v>2443</v>
      </c>
      <c r="W501" t="s">
        <v>89</v>
      </c>
      <c r="X501" t="s">
        <v>278</v>
      </c>
      <c r="Y501" t="s">
        <v>3876</v>
      </c>
      <c r="Z501" t="s">
        <v>2750</v>
      </c>
      <c r="AA501" t="s">
        <v>93</v>
      </c>
      <c r="AB501" t="s">
        <v>2751</v>
      </c>
      <c r="AC501" t="s">
        <v>3877</v>
      </c>
    </row>
    <row r="502" spans="1:29" x14ac:dyDescent="0.25">
      <c r="A502" t="s">
        <v>57</v>
      </c>
      <c r="B502" t="s">
        <v>1297</v>
      </c>
      <c r="C502" t="s">
        <v>1026</v>
      </c>
      <c r="D502" t="s">
        <v>898</v>
      </c>
      <c r="E502" t="s">
        <v>80</v>
      </c>
      <c r="F502" t="s">
        <v>67</v>
      </c>
      <c r="G502" t="s">
        <v>3878</v>
      </c>
      <c r="H502" t="s">
        <v>3879</v>
      </c>
      <c r="I502" t="s">
        <v>3880</v>
      </c>
      <c r="J502" t="s">
        <v>2956</v>
      </c>
      <c r="K502" t="s">
        <v>2671</v>
      </c>
      <c r="L502" t="s">
        <v>2716</v>
      </c>
      <c r="M502" t="s">
        <v>89</v>
      </c>
      <c r="N502" t="s">
        <v>89</v>
      </c>
      <c r="O502" t="s">
        <v>89</v>
      </c>
      <c r="P502" t="s">
        <v>3666</v>
      </c>
      <c r="Q502" t="s">
        <v>3881</v>
      </c>
      <c r="R502" t="s">
        <v>2927</v>
      </c>
      <c r="S502" t="s">
        <v>93</v>
      </c>
      <c r="T502" t="s">
        <v>854</v>
      </c>
      <c r="U502" t="s">
        <v>2433</v>
      </c>
      <c r="V502" t="s">
        <v>89</v>
      </c>
      <c r="W502" t="s">
        <v>3395</v>
      </c>
      <c r="X502" t="s">
        <v>2081</v>
      </c>
      <c r="Y502" t="s">
        <v>3882</v>
      </c>
      <c r="Z502" t="s">
        <v>3497</v>
      </c>
      <c r="AA502" t="s">
        <v>93</v>
      </c>
      <c r="AB502" t="s">
        <v>857</v>
      </c>
      <c r="AC502" t="s">
        <v>3883</v>
      </c>
    </row>
    <row r="503" spans="1:29" x14ac:dyDescent="0.25">
      <c r="A503" t="s">
        <v>57</v>
      </c>
      <c r="B503" t="s">
        <v>1297</v>
      </c>
      <c r="C503" t="s">
        <v>1026</v>
      </c>
      <c r="D503" t="s">
        <v>898</v>
      </c>
      <c r="E503" t="s">
        <v>80</v>
      </c>
      <c r="F503" t="s">
        <v>68</v>
      </c>
      <c r="G503" t="s">
        <v>3884</v>
      </c>
      <c r="H503" t="s">
        <v>3885</v>
      </c>
      <c r="I503" t="s">
        <v>3886</v>
      </c>
      <c r="J503" t="s">
        <v>2904</v>
      </c>
      <c r="K503" t="s">
        <v>2682</v>
      </c>
      <c r="L503" t="s">
        <v>2716</v>
      </c>
      <c r="M503" t="s">
        <v>89</v>
      </c>
      <c r="N503" t="s">
        <v>89</v>
      </c>
      <c r="O503" t="s">
        <v>89</v>
      </c>
      <c r="P503" t="s">
        <v>3847</v>
      </c>
      <c r="Q503" t="s">
        <v>3887</v>
      </c>
      <c r="R503" t="s">
        <v>2596</v>
      </c>
      <c r="S503" t="s">
        <v>93</v>
      </c>
      <c r="T503" t="s">
        <v>2597</v>
      </c>
      <c r="U503" t="s">
        <v>89</v>
      </c>
      <c r="V503" t="s">
        <v>89</v>
      </c>
      <c r="W503" t="s">
        <v>89</v>
      </c>
      <c r="X503" t="s">
        <v>3888</v>
      </c>
      <c r="Y503" t="s">
        <v>3889</v>
      </c>
      <c r="Z503" t="s">
        <v>2778</v>
      </c>
      <c r="AA503" t="s">
        <v>93</v>
      </c>
      <c r="AB503" t="s">
        <v>2779</v>
      </c>
      <c r="AC503" t="s">
        <v>3890</v>
      </c>
    </row>
    <row r="504" spans="1:29" x14ac:dyDescent="0.25">
      <c r="A504" t="s">
        <v>57</v>
      </c>
      <c r="B504" t="s">
        <v>1297</v>
      </c>
      <c r="C504" t="s">
        <v>1026</v>
      </c>
      <c r="D504" t="s">
        <v>898</v>
      </c>
      <c r="E504" t="s">
        <v>80</v>
      </c>
      <c r="F504" t="s">
        <v>69</v>
      </c>
      <c r="G504" t="s">
        <v>3891</v>
      </c>
      <c r="H504" t="s">
        <v>3892</v>
      </c>
      <c r="I504" t="s">
        <v>3893</v>
      </c>
      <c r="J504" t="s">
        <v>2618</v>
      </c>
      <c r="K504" t="s">
        <v>2694</v>
      </c>
      <c r="L504" t="s">
        <v>3486</v>
      </c>
      <c r="M504" t="s">
        <v>89</v>
      </c>
      <c r="N504" t="s">
        <v>89</v>
      </c>
      <c r="O504" t="s">
        <v>89</v>
      </c>
      <c r="P504" t="s">
        <v>3894</v>
      </c>
      <c r="Q504" t="s">
        <v>3895</v>
      </c>
      <c r="R504" t="s">
        <v>2792</v>
      </c>
      <c r="S504" t="s">
        <v>93</v>
      </c>
      <c r="T504" t="s">
        <v>624</v>
      </c>
      <c r="U504" t="s">
        <v>2436</v>
      </c>
      <c r="V504" t="s">
        <v>89</v>
      </c>
      <c r="W504" t="s">
        <v>3896</v>
      </c>
      <c r="X504" t="s">
        <v>2187</v>
      </c>
      <c r="Y504" t="s">
        <v>3897</v>
      </c>
      <c r="Z504" t="s">
        <v>2925</v>
      </c>
      <c r="AA504" t="s">
        <v>93</v>
      </c>
      <c r="AB504" t="s">
        <v>629</v>
      </c>
      <c r="AC504" t="s">
        <v>3898</v>
      </c>
    </row>
    <row r="505" spans="1:29" x14ac:dyDescent="0.25">
      <c r="A505" t="s">
        <v>57</v>
      </c>
      <c r="B505" t="s">
        <v>1297</v>
      </c>
      <c r="C505" t="s">
        <v>1026</v>
      </c>
      <c r="D505" t="s">
        <v>898</v>
      </c>
      <c r="E505" t="s">
        <v>80</v>
      </c>
      <c r="F505" t="s">
        <v>70</v>
      </c>
      <c r="G505" t="s">
        <v>3899</v>
      </c>
      <c r="H505" t="s">
        <v>3900</v>
      </c>
      <c r="I505" t="s">
        <v>3901</v>
      </c>
      <c r="J505" t="s">
        <v>2660</v>
      </c>
      <c r="K505" t="s">
        <v>2671</v>
      </c>
      <c r="L505" t="s">
        <v>2630</v>
      </c>
      <c r="M505" t="s">
        <v>89</v>
      </c>
      <c r="N505" t="s">
        <v>89</v>
      </c>
      <c r="O505" t="s">
        <v>89</v>
      </c>
      <c r="P505" t="s">
        <v>2110</v>
      </c>
      <c r="Q505" t="s">
        <v>3902</v>
      </c>
      <c r="R505" t="s">
        <v>3903</v>
      </c>
      <c r="S505" t="s">
        <v>93</v>
      </c>
      <c r="T505" t="s">
        <v>3904</v>
      </c>
      <c r="U505" t="s">
        <v>2498</v>
      </c>
      <c r="V505" t="s">
        <v>89</v>
      </c>
      <c r="W505" t="s">
        <v>89</v>
      </c>
      <c r="X505" t="s">
        <v>3905</v>
      </c>
      <c r="Y505" t="s">
        <v>3906</v>
      </c>
      <c r="Z505" t="s">
        <v>3907</v>
      </c>
      <c r="AA505" t="s">
        <v>93</v>
      </c>
      <c r="AB505" t="s">
        <v>3748</v>
      </c>
      <c r="AC505" t="s">
        <v>3908</v>
      </c>
    </row>
    <row r="506" spans="1:29" x14ac:dyDescent="0.25">
      <c r="A506" t="s">
        <v>57</v>
      </c>
      <c r="B506" t="s">
        <v>1297</v>
      </c>
      <c r="C506" t="s">
        <v>1026</v>
      </c>
      <c r="D506" t="s">
        <v>898</v>
      </c>
      <c r="E506" t="s">
        <v>80</v>
      </c>
      <c r="F506" t="s">
        <v>71</v>
      </c>
      <c r="G506" t="s">
        <v>3909</v>
      </c>
      <c r="H506" t="s">
        <v>3910</v>
      </c>
      <c r="I506" t="s">
        <v>1129</v>
      </c>
      <c r="J506" t="s">
        <v>89</v>
      </c>
      <c r="K506" t="s">
        <v>89</v>
      </c>
      <c r="L506" t="s">
        <v>2506</v>
      </c>
      <c r="M506" t="s">
        <v>3006</v>
      </c>
      <c r="N506" t="s">
        <v>2607</v>
      </c>
      <c r="O506" t="s">
        <v>89</v>
      </c>
      <c r="P506" t="s">
        <v>2211</v>
      </c>
      <c r="Q506" t="s">
        <v>3911</v>
      </c>
      <c r="R506" t="s">
        <v>2448</v>
      </c>
      <c r="S506" t="s">
        <v>93</v>
      </c>
      <c r="T506" t="s">
        <v>2173</v>
      </c>
      <c r="U506" t="s">
        <v>3006</v>
      </c>
      <c r="V506" t="s">
        <v>2897</v>
      </c>
      <c r="W506" t="s">
        <v>3411</v>
      </c>
      <c r="X506" t="s">
        <v>160</v>
      </c>
      <c r="Y506" t="s">
        <v>3912</v>
      </c>
      <c r="Z506" t="s">
        <v>2511</v>
      </c>
      <c r="AA506" t="s">
        <v>93</v>
      </c>
      <c r="AB506" t="s">
        <v>2081</v>
      </c>
      <c r="AC506" t="s">
        <v>3913</v>
      </c>
    </row>
    <row r="507" spans="1:29" x14ac:dyDescent="0.25">
      <c r="A507" t="s">
        <v>57</v>
      </c>
      <c r="B507" t="s">
        <v>1297</v>
      </c>
      <c r="C507" t="s">
        <v>1026</v>
      </c>
      <c r="D507" t="s">
        <v>898</v>
      </c>
      <c r="E507" t="s">
        <v>80</v>
      </c>
      <c r="F507" t="s">
        <v>72</v>
      </c>
      <c r="G507" t="s">
        <v>3914</v>
      </c>
      <c r="H507" t="s">
        <v>3915</v>
      </c>
      <c r="I507" t="s">
        <v>3916</v>
      </c>
      <c r="J507" t="s">
        <v>3917</v>
      </c>
      <c r="K507" t="s">
        <v>2694</v>
      </c>
      <c r="L507" t="s">
        <v>3533</v>
      </c>
      <c r="M507" t="s">
        <v>2498</v>
      </c>
      <c r="N507" t="s">
        <v>89</v>
      </c>
      <c r="O507" t="s">
        <v>89</v>
      </c>
      <c r="P507" t="s">
        <v>3618</v>
      </c>
      <c r="Q507" t="s">
        <v>3918</v>
      </c>
      <c r="R507" t="s">
        <v>2747</v>
      </c>
      <c r="S507" t="s">
        <v>93</v>
      </c>
      <c r="T507" t="s">
        <v>558</v>
      </c>
      <c r="U507" t="s">
        <v>89</v>
      </c>
      <c r="V507" t="s">
        <v>89</v>
      </c>
      <c r="W507" t="s">
        <v>3489</v>
      </c>
      <c r="X507" t="s">
        <v>160</v>
      </c>
      <c r="Y507" t="s">
        <v>3919</v>
      </c>
      <c r="Z507" t="s">
        <v>2750</v>
      </c>
      <c r="AA507" t="s">
        <v>93</v>
      </c>
      <c r="AB507" t="s">
        <v>2751</v>
      </c>
      <c r="AC507" t="s">
        <v>3920</v>
      </c>
    </row>
    <row r="508" spans="1:29" x14ac:dyDescent="0.25">
      <c r="A508" t="s">
        <v>57</v>
      </c>
      <c r="B508" t="s">
        <v>1297</v>
      </c>
      <c r="C508" t="s">
        <v>1026</v>
      </c>
      <c r="D508" t="s">
        <v>898</v>
      </c>
      <c r="E508" t="s">
        <v>80</v>
      </c>
      <c r="F508" t="s">
        <v>73</v>
      </c>
      <c r="G508" t="s">
        <v>3921</v>
      </c>
      <c r="H508" t="s">
        <v>3922</v>
      </c>
      <c r="I508" t="s">
        <v>3923</v>
      </c>
      <c r="J508" t="s">
        <v>3548</v>
      </c>
      <c r="K508" t="s">
        <v>2694</v>
      </c>
      <c r="L508" t="s">
        <v>2874</v>
      </c>
      <c r="M508" t="s">
        <v>2498</v>
      </c>
      <c r="N508" t="s">
        <v>89</v>
      </c>
      <c r="O508" t="s">
        <v>89</v>
      </c>
      <c r="P508" t="s">
        <v>3618</v>
      </c>
      <c r="Q508" t="s">
        <v>3924</v>
      </c>
      <c r="R508" t="s">
        <v>3499</v>
      </c>
      <c r="S508" t="s">
        <v>93</v>
      </c>
      <c r="T508" t="s">
        <v>216</v>
      </c>
      <c r="U508" t="s">
        <v>89</v>
      </c>
      <c r="V508" t="s">
        <v>89</v>
      </c>
      <c r="W508" t="s">
        <v>3925</v>
      </c>
      <c r="X508" t="s">
        <v>2173</v>
      </c>
      <c r="Y508" t="s">
        <v>3926</v>
      </c>
      <c r="Z508" t="s">
        <v>2959</v>
      </c>
      <c r="AA508" t="s">
        <v>93</v>
      </c>
      <c r="AB508" t="s">
        <v>221</v>
      </c>
      <c r="AC508" t="s">
        <v>3927</v>
      </c>
    </row>
    <row r="509" spans="1:29" x14ac:dyDescent="0.25">
      <c r="A509" t="s">
        <v>57</v>
      </c>
      <c r="B509" t="s">
        <v>1297</v>
      </c>
      <c r="C509" t="s">
        <v>1026</v>
      </c>
      <c r="D509" t="s">
        <v>898</v>
      </c>
      <c r="E509" t="s">
        <v>80</v>
      </c>
      <c r="F509" t="s">
        <v>74</v>
      </c>
      <c r="G509" t="s">
        <v>3928</v>
      </c>
      <c r="H509" t="s">
        <v>3929</v>
      </c>
      <c r="I509" t="s">
        <v>3930</v>
      </c>
      <c r="J509" t="s">
        <v>2670</v>
      </c>
      <c r="K509" t="s">
        <v>2694</v>
      </c>
      <c r="L509" t="s">
        <v>2716</v>
      </c>
      <c r="M509" t="s">
        <v>2433</v>
      </c>
      <c r="N509" t="s">
        <v>89</v>
      </c>
      <c r="O509" t="s">
        <v>89</v>
      </c>
      <c r="P509" t="s">
        <v>3618</v>
      </c>
      <c r="Q509" t="s">
        <v>3931</v>
      </c>
      <c r="R509" t="s">
        <v>3932</v>
      </c>
      <c r="S509" t="s">
        <v>93</v>
      </c>
      <c r="T509" t="s">
        <v>1263</v>
      </c>
      <c r="U509" t="s">
        <v>2498</v>
      </c>
      <c r="V509" t="s">
        <v>89</v>
      </c>
      <c r="W509" t="s">
        <v>3925</v>
      </c>
      <c r="X509" t="s">
        <v>160</v>
      </c>
      <c r="Y509" t="s">
        <v>3933</v>
      </c>
      <c r="Z509" t="s">
        <v>3934</v>
      </c>
      <c r="AA509" t="s">
        <v>93</v>
      </c>
      <c r="AB509" t="s">
        <v>3365</v>
      </c>
      <c r="AC509" t="s">
        <v>3935</v>
      </c>
    </row>
    <row r="510" spans="1:29" x14ac:dyDescent="0.25">
      <c r="A510" t="s">
        <v>57</v>
      </c>
      <c r="B510" t="s">
        <v>1297</v>
      </c>
      <c r="C510" t="s">
        <v>1026</v>
      </c>
      <c r="D510" t="s">
        <v>898</v>
      </c>
      <c r="E510" t="s">
        <v>80</v>
      </c>
      <c r="F510" t="s">
        <v>75</v>
      </c>
      <c r="G510" t="s">
        <v>3936</v>
      </c>
      <c r="H510" t="s">
        <v>3937</v>
      </c>
      <c r="I510" t="s">
        <v>3938</v>
      </c>
      <c r="J510" t="s">
        <v>89</v>
      </c>
      <c r="K510" t="s">
        <v>89</v>
      </c>
      <c r="L510" t="s">
        <v>2506</v>
      </c>
      <c r="M510" t="s">
        <v>3006</v>
      </c>
      <c r="N510" t="s">
        <v>2607</v>
      </c>
      <c r="O510" t="s">
        <v>89</v>
      </c>
      <c r="P510" t="s">
        <v>2211</v>
      </c>
      <c r="Q510" t="s">
        <v>3939</v>
      </c>
      <c r="R510" t="s">
        <v>2522</v>
      </c>
      <c r="S510" t="s">
        <v>93</v>
      </c>
      <c r="T510" t="s">
        <v>2523</v>
      </c>
      <c r="U510" t="s">
        <v>3488</v>
      </c>
      <c r="V510" t="s">
        <v>3006</v>
      </c>
      <c r="W510" t="s">
        <v>3411</v>
      </c>
      <c r="X510" t="s">
        <v>160</v>
      </c>
      <c r="Y510" t="s">
        <v>3940</v>
      </c>
      <c r="Z510" t="s">
        <v>2496</v>
      </c>
      <c r="AA510" t="s">
        <v>93</v>
      </c>
      <c r="AB510" t="s">
        <v>2497</v>
      </c>
      <c r="AC510" t="s">
        <v>3941</v>
      </c>
    </row>
    <row r="511" spans="1:29" x14ac:dyDescent="0.25">
      <c r="A511" t="s">
        <v>57</v>
      </c>
      <c r="B511" t="s">
        <v>1297</v>
      </c>
      <c r="C511" t="s">
        <v>1026</v>
      </c>
      <c r="D511" t="s">
        <v>898</v>
      </c>
      <c r="E511" t="s">
        <v>80</v>
      </c>
      <c r="F511" t="s">
        <v>76</v>
      </c>
      <c r="G511" t="s">
        <v>3942</v>
      </c>
      <c r="H511" t="s">
        <v>3943</v>
      </c>
      <c r="I511" t="s">
        <v>3944</v>
      </c>
      <c r="J511" t="s">
        <v>89</v>
      </c>
      <c r="K511" t="s">
        <v>89</v>
      </c>
      <c r="L511" t="s">
        <v>2432</v>
      </c>
      <c r="M511" t="s">
        <v>3006</v>
      </c>
      <c r="N511" t="s">
        <v>2607</v>
      </c>
      <c r="O511" t="s">
        <v>89</v>
      </c>
      <c r="P511" t="s">
        <v>1440</v>
      </c>
      <c r="Q511" t="s">
        <v>3945</v>
      </c>
      <c r="R511" t="s">
        <v>2465</v>
      </c>
      <c r="S511" t="s">
        <v>93</v>
      </c>
      <c r="T511" t="s">
        <v>1568</v>
      </c>
      <c r="U511" t="s">
        <v>3735</v>
      </c>
      <c r="V511" t="s">
        <v>3134</v>
      </c>
      <c r="W511" t="s">
        <v>3946</v>
      </c>
      <c r="X511" t="s">
        <v>160</v>
      </c>
      <c r="Y511" t="s">
        <v>3947</v>
      </c>
      <c r="Z511" t="s">
        <v>2467</v>
      </c>
      <c r="AA511" t="s">
        <v>93</v>
      </c>
      <c r="AB511" t="s">
        <v>1945</v>
      </c>
      <c r="AC511" t="s">
        <v>3948</v>
      </c>
    </row>
    <row r="512" spans="1:29" x14ac:dyDescent="0.25">
      <c r="A512" t="s">
        <v>57</v>
      </c>
      <c r="B512" t="s">
        <v>2351</v>
      </c>
      <c r="C512" t="s">
        <v>1026</v>
      </c>
      <c r="D512" t="s">
        <v>666</v>
      </c>
      <c r="E512" t="s">
        <v>80</v>
      </c>
      <c r="F512" t="s">
        <v>58</v>
      </c>
      <c r="G512" t="s">
        <v>3949</v>
      </c>
      <c r="H512" t="s">
        <v>3950</v>
      </c>
      <c r="I512" t="s">
        <v>2371</v>
      </c>
      <c r="J512" t="s">
        <v>3603</v>
      </c>
      <c r="K512" t="s">
        <v>3631</v>
      </c>
      <c r="L512" t="s">
        <v>2716</v>
      </c>
      <c r="M512" t="s">
        <v>3179</v>
      </c>
      <c r="N512" t="s">
        <v>89</v>
      </c>
      <c r="O512" t="s">
        <v>89</v>
      </c>
      <c r="P512" t="s">
        <v>3951</v>
      </c>
      <c r="Q512" t="s">
        <v>3952</v>
      </c>
      <c r="R512" t="s">
        <v>2551</v>
      </c>
      <c r="S512" t="s">
        <v>93</v>
      </c>
      <c r="T512" t="s">
        <v>1860</v>
      </c>
      <c r="U512" t="s">
        <v>3179</v>
      </c>
      <c r="V512" t="s">
        <v>89</v>
      </c>
      <c r="W512" t="s">
        <v>89</v>
      </c>
      <c r="X512" t="s">
        <v>3953</v>
      </c>
      <c r="Y512" t="s">
        <v>3954</v>
      </c>
      <c r="Z512" t="s">
        <v>2531</v>
      </c>
      <c r="AA512" t="s">
        <v>93</v>
      </c>
      <c r="AB512" t="s">
        <v>2098</v>
      </c>
      <c r="AC512" t="s">
        <v>3955</v>
      </c>
    </row>
    <row r="513" spans="1:29" x14ac:dyDescent="0.25">
      <c r="A513" t="s">
        <v>57</v>
      </c>
      <c r="B513" t="s">
        <v>2351</v>
      </c>
      <c r="C513" t="s">
        <v>1026</v>
      </c>
      <c r="D513" t="s">
        <v>666</v>
      </c>
      <c r="E513" t="s">
        <v>80</v>
      </c>
      <c r="F513" t="s">
        <v>59</v>
      </c>
      <c r="G513" t="s">
        <v>3420</v>
      </c>
      <c r="H513" t="s">
        <v>3956</v>
      </c>
      <c r="I513" t="s">
        <v>3957</v>
      </c>
      <c r="J513" t="s">
        <v>2715</v>
      </c>
      <c r="K513" t="s">
        <v>2694</v>
      </c>
      <c r="L513" t="s">
        <v>2672</v>
      </c>
      <c r="M513" t="s">
        <v>3179</v>
      </c>
      <c r="N513" t="s">
        <v>89</v>
      </c>
      <c r="O513" t="s">
        <v>89</v>
      </c>
      <c r="P513" t="s">
        <v>3958</v>
      </c>
      <c r="Q513" t="s">
        <v>3959</v>
      </c>
      <c r="R513" t="s">
        <v>2719</v>
      </c>
      <c r="S513" t="s">
        <v>93</v>
      </c>
      <c r="T513" t="s">
        <v>113</v>
      </c>
      <c r="U513" t="s">
        <v>3179</v>
      </c>
      <c r="V513" t="s">
        <v>89</v>
      </c>
      <c r="W513" t="s">
        <v>89</v>
      </c>
      <c r="X513" t="s">
        <v>1698</v>
      </c>
      <c r="Y513" t="s">
        <v>3960</v>
      </c>
      <c r="Z513" t="s">
        <v>2592</v>
      </c>
      <c r="AA513" t="s">
        <v>93</v>
      </c>
      <c r="AB513" t="s">
        <v>2593</v>
      </c>
      <c r="AC513" t="s">
        <v>3961</v>
      </c>
    </row>
    <row r="514" spans="1:29" x14ac:dyDescent="0.25">
      <c r="A514" t="s">
        <v>57</v>
      </c>
      <c r="B514" t="s">
        <v>2351</v>
      </c>
      <c r="C514" t="s">
        <v>1026</v>
      </c>
      <c r="D514" t="s">
        <v>666</v>
      </c>
      <c r="E514" t="s">
        <v>80</v>
      </c>
      <c r="F514" t="s">
        <v>60</v>
      </c>
      <c r="G514" t="s">
        <v>3962</v>
      </c>
      <c r="H514" t="s">
        <v>3963</v>
      </c>
      <c r="I514" t="s">
        <v>3964</v>
      </c>
      <c r="J514" t="s">
        <v>3603</v>
      </c>
      <c r="K514" t="s">
        <v>2671</v>
      </c>
      <c r="L514" t="s">
        <v>2874</v>
      </c>
      <c r="M514" t="s">
        <v>3179</v>
      </c>
      <c r="N514" t="s">
        <v>89</v>
      </c>
      <c r="O514" t="s">
        <v>89</v>
      </c>
      <c r="P514" t="s">
        <v>3965</v>
      </c>
      <c r="Q514" t="s">
        <v>3966</v>
      </c>
      <c r="R514" t="s">
        <v>2896</v>
      </c>
      <c r="S514" t="s">
        <v>93</v>
      </c>
      <c r="T514" t="s">
        <v>123</v>
      </c>
      <c r="U514" t="s">
        <v>2436</v>
      </c>
      <c r="V514" t="s">
        <v>89</v>
      </c>
      <c r="W514" t="s">
        <v>89</v>
      </c>
      <c r="X514" t="s">
        <v>3967</v>
      </c>
      <c r="Y514" t="s">
        <v>3968</v>
      </c>
      <c r="Z514" t="s">
        <v>2899</v>
      </c>
      <c r="AA514" t="s">
        <v>93</v>
      </c>
      <c r="AB514" t="s">
        <v>127</v>
      </c>
      <c r="AC514" t="s">
        <v>3969</v>
      </c>
    </row>
    <row r="515" spans="1:29" x14ac:dyDescent="0.25">
      <c r="A515" t="s">
        <v>57</v>
      </c>
      <c r="B515" t="s">
        <v>2351</v>
      </c>
      <c r="C515" t="s">
        <v>1026</v>
      </c>
      <c r="D515" t="s">
        <v>666</v>
      </c>
      <c r="E515" t="s">
        <v>80</v>
      </c>
      <c r="F515" t="s">
        <v>61</v>
      </c>
      <c r="G515" t="s">
        <v>3970</v>
      </c>
      <c r="H515" t="s">
        <v>3971</v>
      </c>
      <c r="I515" t="s">
        <v>3972</v>
      </c>
      <c r="J515" t="s">
        <v>2893</v>
      </c>
      <c r="K515" t="s">
        <v>89</v>
      </c>
      <c r="L515" t="s">
        <v>2706</v>
      </c>
      <c r="M515" t="s">
        <v>3179</v>
      </c>
      <c r="N515" t="s">
        <v>2443</v>
      </c>
      <c r="O515" t="s">
        <v>89</v>
      </c>
      <c r="P515" t="s">
        <v>3973</v>
      </c>
      <c r="Q515" t="s">
        <v>3974</v>
      </c>
      <c r="R515" t="s">
        <v>2438</v>
      </c>
      <c r="S515" t="s">
        <v>93</v>
      </c>
      <c r="T515" t="s">
        <v>160</v>
      </c>
      <c r="U515" t="s">
        <v>3179</v>
      </c>
      <c r="V515" t="s">
        <v>2607</v>
      </c>
      <c r="W515" t="s">
        <v>89</v>
      </c>
      <c r="X515" t="s">
        <v>3975</v>
      </c>
      <c r="Y515" t="s">
        <v>3976</v>
      </c>
      <c r="Z515" t="s">
        <v>3043</v>
      </c>
      <c r="AA515" t="s">
        <v>93</v>
      </c>
      <c r="AB515" t="s">
        <v>2140</v>
      </c>
      <c r="AC515" t="s">
        <v>3977</v>
      </c>
    </row>
    <row r="516" spans="1:29" x14ac:dyDescent="0.25">
      <c r="A516" t="s">
        <v>57</v>
      </c>
      <c r="B516" t="s">
        <v>2351</v>
      </c>
      <c r="C516" t="s">
        <v>1026</v>
      </c>
      <c r="D516" t="s">
        <v>666</v>
      </c>
      <c r="E516" t="s">
        <v>80</v>
      </c>
      <c r="F516" t="s">
        <v>62</v>
      </c>
      <c r="G516" t="s">
        <v>3978</v>
      </c>
      <c r="H516" t="s">
        <v>3979</v>
      </c>
      <c r="I516" t="s">
        <v>1755</v>
      </c>
      <c r="J516" t="s">
        <v>2618</v>
      </c>
      <c r="K516" t="s">
        <v>2694</v>
      </c>
      <c r="L516" t="s">
        <v>3533</v>
      </c>
      <c r="M516" t="s">
        <v>3179</v>
      </c>
      <c r="N516" t="s">
        <v>89</v>
      </c>
      <c r="O516" t="s">
        <v>89</v>
      </c>
      <c r="P516" t="s">
        <v>3980</v>
      </c>
      <c r="Q516" t="s">
        <v>3981</v>
      </c>
      <c r="R516" t="s">
        <v>2688</v>
      </c>
      <c r="S516" t="s">
        <v>93</v>
      </c>
      <c r="T516" t="s">
        <v>823</v>
      </c>
      <c r="U516" t="s">
        <v>3179</v>
      </c>
      <c r="V516" t="s">
        <v>89</v>
      </c>
      <c r="W516" t="s">
        <v>89</v>
      </c>
      <c r="X516" t="s">
        <v>3982</v>
      </c>
      <c r="Y516" t="s">
        <v>3983</v>
      </c>
      <c r="Z516" t="s">
        <v>2557</v>
      </c>
      <c r="AA516" t="s">
        <v>93</v>
      </c>
      <c r="AB516" t="s">
        <v>374</v>
      </c>
      <c r="AC516" t="s">
        <v>3984</v>
      </c>
    </row>
    <row r="517" spans="1:29" x14ac:dyDescent="0.25">
      <c r="A517" t="s">
        <v>57</v>
      </c>
      <c r="B517" t="s">
        <v>2351</v>
      </c>
      <c r="C517" t="s">
        <v>1026</v>
      </c>
      <c r="D517" t="s">
        <v>666</v>
      </c>
      <c r="E517" t="s">
        <v>80</v>
      </c>
      <c r="F517" t="s">
        <v>63</v>
      </c>
      <c r="G517" t="s">
        <v>3985</v>
      </c>
      <c r="H517" t="s">
        <v>3986</v>
      </c>
      <c r="I517" t="s">
        <v>3987</v>
      </c>
      <c r="J517" t="s">
        <v>3917</v>
      </c>
      <c r="K517" t="s">
        <v>2682</v>
      </c>
      <c r="L517" t="s">
        <v>2672</v>
      </c>
      <c r="M517" t="s">
        <v>3179</v>
      </c>
      <c r="N517" t="s">
        <v>89</v>
      </c>
      <c r="O517" t="s">
        <v>89</v>
      </c>
      <c r="P517" t="s">
        <v>3988</v>
      </c>
      <c r="Q517" t="s">
        <v>3989</v>
      </c>
      <c r="R517" t="s">
        <v>2747</v>
      </c>
      <c r="S517" t="s">
        <v>93</v>
      </c>
      <c r="T517" t="s">
        <v>558</v>
      </c>
      <c r="U517" t="s">
        <v>3006</v>
      </c>
      <c r="V517" t="s">
        <v>89</v>
      </c>
      <c r="W517" t="s">
        <v>89</v>
      </c>
      <c r="X517" t="s">
        <v>3990</v>
      </c>
      <c r="Y517" t="s">
        <v>3991</v>
      </c>
      <c r="Z517" t="s">
        <v>2750</v>
      </c>
      <c r="AA517" t="s">
        <v>93</v>
      </c>
      <c r="AB517" t="s">
        <v>2751</v>
      </c>
      <c r="AC517" t="s">
        <v>3992</v>
      </c>
    </row>
    <row r="518" spans="1:29" x14ac:dyDescent="0.25">
      <c r="A518" t="s">
        <v>57</v>
      </c>
      <c r="B518" t="s">
        <v>2351</v>
      </c>
      <c r="C518" t="s">
        <v>1026</v>
      </c>
      <c r="D518" t="s">
        <v>666</v>
      </c>
      <c r="E518" t="s">
        <v>80</v>
      </c>
      <c r="F518" t="s">
        <v>64</v>
      </c>
      <c r="G518" t="s">
        <v>3993</v>
      </c>
      <c r="H518" t="s">
        <v>3994</v>
      </c>
      <c r="I518" t="s">
        <v>3995</v>
      </c>
      <c r="J518" t="s">
        <v>3996</v>
      </c>
      <c r="K518" t="s">
        <v>2694</v>
      </c>
      <c r="L518" t="s">
        <v>3533</v>
      </c>
      <c r="M518" t="s">
        <v>3179</v>
      </c>
      <c r="N518" t="s">
        <v>89</v>
      </c>
      <c r="O518" t="s">
        <v>89</v>
      </c>
      <c r="P518" t="s">
        <v>3618</v>
      </c>
      <c r="Q518" t="s">
        <v>3997</v>
      </c>
      <c r="R518" t="s">
        <v>2927</v>
      </c>
      <c r="S518" t="s">
        <v>93</v>
      </c>
      <c r="T518" t="s">
        <v>854</v>
      </c>
      <c r="U518" t="s">
        <v>3179</v>
      </c>
      <c r="V518" t="s">
        <v>89</v>
      </c>
      <c r="W518" t="s">
        <v>89</v>
      </c>
      <c r="X518" t="s">
        <v>3998</v>
      </c>
      <c r="Y518" t="s">
        <v>3999</v>
      </c>
      <c r="Z518" t="s">
        <v>3497</v>
      </c>
      <c r="AA518" t="s">
        <v>93</v>
      </c>
      <c r="AB518" t="s">
        <v>857</v>
      </c>
      <c r="AC518" t="s">
        <v>4000</v>
      </c>
    </row>
    <row r="519" spans="1:29" x14ac:dyDescent="0.25">
      <c r="A519" t="s">
        <v>57</v>
      </c>
      <c r="B519" t="s">
        <v>2351</v>
      </c>
      <c r="C519" t="s">
        <v>1026</v>
      </c>
      <c r="D519" t="s">
        <v>666</v>
      </c>
      <c r="E519" t="s">
        <v>80</v>
      </c>
      <c r="F519" t="s">
        <v>65</v>
      </c>
      <c r="G519" t="s">
        <v>4001</v>
      </c>
      <c r="H519" t="s">
        <v>4002</v>
      </c>
      <c r="I519" t="s">
        <v>4003</v>
      </c>
      <c r="J519" t="s">
        <v>3603</v>
      </c>
      <c r="K519" t="s">
        <v>2619</v>
      </c>
      <c r="L519" t="s">
        <v>2716</v>
      </c>
      <c r="M519" t="s">
        <v>3179</v>
      </c>
      <c r="N519" t="s">
        <v>89</v>
      </c>
      <c r="O519" t="s">
        <v>89</v>
      </c>
      <c r="P519" t="s">
        <v>3618</v>
      </c>
      <c r="Q519" t="s">
        <v>4004</v>
      </c>
      <c r="R519" t="s">
        <v>2596</v>
      </c>
      <c r="S519" t="s">
        <v>93</v>
      </c>
      <c r="T519" t="s">
        <v>2597</v>
      </c>
      <c r="U519" t="s">
        <v>3179</v>
      </c>
      <c r="V519" t="s">
        <v>89</v>
      </c>
      <c r="W519" t="s">
        <v>3448</v>
      </c>
      <c r="X519" t="s">
        <v>2257</v>
      </c>
      <c r="Y519" t="s">
        <v>4005</v>
      </c>
      <c r="Z519" t="s">
        <v>2778</v>
      </c>
      <c r="AA519" t="s">
        <v>93</v>
      </c>
      <c r="AB519" t="s">
        <v>2779</v>
      </c>
      <c r="AC519" t="s">
        <v>4006</v>
      </c>
    </row>
    <row r="520" spans="1:29" x14ac:dyDescent="0.25">
      <c r="A520" t="s">
        <v>57</v>
      </c>
      <c r="B520" t="s">
        <v>2351</v>
      </c>
      <c r="C520" t="s">
        <v>1026</v>
      </c>
      <c r="D520" t="s">
        <v>666</v>
      </c>
      <c r="E520" t="s">
        <v>80</v>
      </c>
      <c r="F520" t="s">
        <v>66</v>
      </c>
      <c r="G520" t="s">
        <v>4007</v>
      </c>
      <c r="H520" t="s">
        <v>4008</v>
      </c>
      <c r="I520" t="s">
        <v>4009</v>
      </c>
      <c r="J520" t="s">
        <v>3532</v>
      </c>
      <c r="K520" t="s">
        <v>2682</v>
      </c>
      <c r="L520" t="s">
        <v>2672</v>
      </c>
      <c r="M520" t="s">
        <v>3179</v>
      </c>
      <c r="N520" t="s">
        <v>89</v>
      </c>
      <c r="O520" t="s">
        <v>89</v>
      </c>
      <c r="P520" t="s">
        <v>1798</v>
      </c>
      <c r="Q520" t="s">
        <v>4010</v>
      </c>
      <c r="R520" t="s">
        <v>2792</v>
      </c>
      <c r="S520" t="s">
        <v>93</v>
      </c>
      <c r="T520" t="s">
        <v>624</v>
      </c>
      <c r="U520" t="s">
        <v>3179</v>
      </c>
      <c r="V520" t="s">
        <v>89</v>
      </c>
      <c r="W520" t="s">
        <v>3489</v>
      </c>
      <c r="X520" t="s">
        <v>2173</v>
      </c>
      <c r="Y520" t="s">
        <v>4011</v>
      </c>
      <c r="Z520" t="s">
        <v>2925</v>
      </c>
      <c r="AA520" t="s">
        <v>93</v>
      </c>
      <c r="AB520" t="s">
        <v>629</v>
      </c>
      <c r="AC520" t="s">
        <v>4012</v>
      </c>
    </row>
    <row r="521" spans="1:29" x14ac:dyDescent="0.25">
      <c r="A521" t="s">
        <v>57</v>
      </c>
      <c r="B521" t="s">
        <v>2351</v>
      </c>
      <c r="C521" t="s">
        <v>1026</v>
      </c>
      <c r="D521" t="s">
        <v>666</v>
      </c>
      <c r="E521" t="s">
        <v>80</v>
      </c>
      <c r="F521" t="s">
        <v>67</v>
      </c>
      <c r="G521" t="s">
        <v>4013</v>
      </c>
      <c r="H521" t="s">
        <v>4014</v>
      </c>
      <c r="I521" t="s">
        <v>4015</v>
      </c>
      <c r="J521" t="s">
        <v>3603</v>
      </c>
      <c r="K521" t="s">
        <v>2694</v>
      </c>
      <c r="L521" t="s">
        <v>2630</v>
      </c>
      <c r="M521" t="s">
        <v>3179</v>
      </c>
      <c r="N521" t="s">
        <v>89</v>
      </c>
      <c r="O521" t="s">
        <v>89</v>
      </c>
      <c r="P521" t="s">
        <v>1798</v>
      </c>
      <c r="Q521" t="s">
        <v>4016</v>
      </c>
      <c r="R521" t="s">
        <v>3907</v>
      </c>
      <c r="S521" t="s">
        <v>93</v>
      </c>
      <c r="T521" t="s">
        <v>3748</v>
      </c>
      <c r="U521" t="s">
        <v>3006</v>
      </c>
      <c r="V521" t="s">
        <v>89</v>
      </c>
      <c r="W521" t="s">
        <v>3896</v>
      </c>
      <c r="X521" t="s">
        <v>101</v>
      </c>
      <c r="Y521" t="s">
        <v>4017</v>
      </c>
      <c r="Z521" t="s">
        <v>3633</v>
      </c>
      <c r="AA521" t="s">
        <v>93</v>
      </c>
      <c r="AB521" t="s">
        <v>864</v>
      </c>
      <c r="AC521" t="s">
        <v>4018</v>
      </c>
    </row>
    <row r="522" spans="1:29" x14ac:dyDescent="0.25">
      <c r="A522" t="s">
        <v>57</v>
      </c>
      <c r="B522" t="s">
        <v>2351</v>
      </c>
      <c r="C522" t="s">
        <v>1026</v>
      </c>
      <c r="D522" t="s">
        <v>666</v>
      </c>
      <c r="E522" t="s">
        <v>80</v>
      </c>
      <c r="F522" t="s">
        <v>68</v>
      </c>
      <c r="G522" t="s">
        <v>4019</v>
      </c>
      <c r="H522" t="s">
        <v>4020</v>
      </c>
      <c r="I522" t="s">
        <v>4021</v>
      </c>
      <c r="J522" t="s">
        <v>3532</v>
      </c>
      <c r="K522" t="s">
        <v>2705</v>
      </c>
      <c r="L522" t="s">
        <v>3486</v>
      </c>
      <c r="M522" t="s">
        <v>3179</v>
      </c>
      <c r="N522" t="s">
        <v>89</v>
      </c>
      <c r="O522" t="s">
        <v>89</v>
      </c>
      <c r="P522" t="s">
        <v>3618</v>
      </c>
      <c r="Q522" t="s">
        <v>4022</v>
      </c>
      <c r="R522" t="s">
        <v>2750</v>
      </c>
      <c r="S522" t="s">
        <v>93</v>
      </c>
      <c r="T522" t="s">
        <v>2751</v>
      </c>
      <c r="U522" t="s">
        <v>3179</v>
      </c>
      <c r="V522" t="s">
        <v>89</v>
      </c>
      <c r="W522" t="s">
        <v>3441</v>
      </c>
      <c r="X522" t="s">
        <v>2140</v>
      </c>
      <c r="Y522" t="s">
        <v>4023</v>
      </c>
      <c r="Z522" t="s">
        <v>2896</v>
      </c>
      <c r="AA522" t="s">
        <v>93</v>
      </c>
      <c r="AB522" t="s">
        <v>123</v>
      </c>
      <c r="AC522" t="s">
        <v>4024</v>
      </c>
    </row>
    <row r="523" spans="1:29" x14ac:dyDescent="0.25">
      <c r="A523" t="s">
        <v>57</v>
      </c>
      <c r="B523" t="s">
        <v>2351</v>
      </c>
      <c r="C523" t="s">
        <v>1026</v>
      </c>
      <c r="D523" t="s">
        <v>666</v>
      </c>
      <c r="E523" t="s">
        <v>80</v>
      </c>
      <c r="F523" t="s">
        <v>69</v>
      </c>
      <c r="G523" t="s">
        <v>4025</v>
      </c>
      <c r="H523" t="s">
        <v>4026</v>
      </c>
      <c r="I523" t="s">
        <v>4027</v>
      </c>
      <c r="J523" t="s">
        <v>3603</v>
      </c>
      <c r="K523" t="s">
        <v>2694</v>
      </c>
      <c r="L523" t="s">
        <v>3486</v>
      </c>
      <c r="M523" t="s">
        <v>2436</v>
      </c>
      <c r="N523" t="s">
        <v>89</v>
      </c>
      <c r="O523" t="s">
        <v>89</v>
      </c>
      <c r="P523" t="s">
        <v>4028</v>
      </c>
      <c r="Q523" t="s">
        <v>4029</v>
      </c>
      <c r="R523" t="s">
        <v>2959</v>
      </c>
      <c r="S523" t="s">
        <v>93</v>
      </c>
      <c r="T523" t="s">
        <v>221</v>
      </c>
      <c r="U523" t="s">
        <v>2436</v>
      </c>
      <c r="V523" t="s">
        <v>89</v>
      </c>
      <c r="W523" t="s">
        <v>89</v>
      </c>
      <c r="X523" t="s">
        <v>4030</v>
      </c>
      <c r="Y523" t="s">
        <v>4031</v>
      </c>
      <c r="Z523" t="s">
        <v>2961</v>
      </c>
      <c r="AA523" t="s">
        <v>93</v>
      </c>
      <c r="AB523" t="s">
        <v>639</v>
      </c>
      <c r="AC523" t="s">
        <v>4032</v>
      </c>
    </row>
    <row r="524" spans="1:29" x14ac:dyDescent="0.25">
      <c r="A524" t="s">
        <v>57</v>
      </c>
      <c r="B524" t="s">
        <v>2351</v>
      </c>
      <c r="C524" t="s">
        <v>1026</v>
      </c>
      <c r="D524" t="s">
        <v>666</v>
      </c>
      <c r="E524" t="s">
        <v>80</v>
      </c>
      <c r="F524" t="s">
        <v>70</v>
      </c>
      <c r="G524" t="s">
        <v>4033</v>
      </c>
      <c r="H524" t="s">
        <v>4034</v>
      </c>
      <c r="I524" t="s">
        <v>4035</v>
      </c>
      <c r="J524" t="s">
        <v>4036</v>
      </c>
      <c r="K524" t="s">
        <v>2682</v>
      </c>
      <c r="L524" t="s">
        <v>2630</v>
      </c>
      <c r="M524" t="s">
        <v>2436</v>
      </c>
      <c r="N524" t="s">
        <v>89</v>
      </c>
      <c r="O524" t="s">
        <v>89</v>
      </c>
      <c r="P524" t="s">
        <v>4037</v>
      </c>
      <c r="Q524" t="s">
        <v>4038</v>
      </c>
      <c r="R524" t="s">
        <v>3934</v>
      </c>
      <c r="S524" t="s">
        <v>93</v>
      </c>
      <c r="T524" t="s">
        <v>3365</v>
      </c>
      <c r="U524" t="s">
        <v>2436</v>
      </c>
      <c r="V524" t="s">
        <v>89</v>
      </c>
      <c r="W524" t="s">
        <v>89</v>
      </c>
      <c r="X524" t="s">
        <v>4039</v>
      </c>
      <c r="Y524" t="s">
        <v>4040</v>
      </c>
      <c r="Z524" t="s">
        <v>4041</v>
      </c>
      <c r="AA524" t="s">
        <v>93</v>
      </c>
      <c r="AB524" t="s">
        <v>4042</v>
      </c>
      <c r="AC524" t="s">
        <v>4043</v>
      </c>
    </row>
    <row r="525" spans="1:29" x14ac:dyDescent="0.25">
      <c r="A525" t="s">
        <v>57</v>
      </c>
      <c r="B525" t="s">
        <v>2351</v>
      </c>
      <c r="C525" t="s">
        <v>1026</v>
      </c>
      <c r="D525" t="s">
        <v>666</v>
      </c>
      <c r="E525" t="s">
        <v>80</v>
      </c>
      <c r="F525" t="s">
        <v>71</v>
      </c>
      <c r="G525" t="s">
        <v>4044</v>
      </c>
      <c r="H525" t="s">
        <v>4045</v>
      </c>
      <c r="I525" t="s">
        <v>4046</v>
      </c>
      <c r="J525" t="s">
        <v>2681</v>
      </c>
      <c r="K525" t="s">
        <v>2705</v>
      </c>
      <c r="L525" t="s">
        <v>2641</v>
      </c>
      <c r="M525" t="s">
        <v>3179</v>
      </c>
      <c r="N525" t="s">
        <v>89</v>
      </c>
      <c r="O525" t="s">
        <v>89</v>
      </c>
      <c r="P525" t="s">
        <v>4047</v>
      </c>
      <c r="Q525" t="s">
        <v>4048</v>
      </c>
      <c r="R525" t="s">
        <v>2489</v>
      </c>
      <c r="S525" t="s">
        <v>93</v>
      </c>
      <c r="T525" t="s">
        <v>285</v>
      </c>
      <c r="U525" t="s">
        <v>3179</v>
      </c>
      <c r="V525" t="s">
        <v>89</v>
      </c>
      <c r="W525" t="s">
        <v>89</v>
      </c>
      <c r="X525" t="s">
        <v>4049</v>
      </c>
      <c r="Y525" t="s">
        <v>4050</v>
      </c>
      <c r="Z525" t="s">
        <v>2456</v>
      </c>
      <c r="AA525" t="s">
        <v>93</v>
      </c>
      <c r="AB525" t="s">
        <v>2257</v>
      </c>
      <c r="AC525" t="s">
        <v>4051</v>
      </c>
    </row>
    <row r="526" spans="1:29" x14ac:dyDescent="0.25">
      <c r="A526" t="s">
        <v>57</v>
      </c>
      <c r="B526" t="s">
        <v>2351</v>
      </c>
      <c r="C526" t="s">
        <v>1026</v>
      </c>
      <c r="D526" t="s">
        <v>666</v>
      </c>
      <c r="E526" t="s">
        <v>80</v>
      </c>
      <c r="F526" t="s">
        <v>72</v>
      </c>
      <c r="G526" t="s">
        <v>4052</v>
      </c>
      <c r="H526" t="s">
        <v>4053</v>
      </c>
      <c r="I526" t="s">
        <v>4054</v>
      </c>
      <c r="J526" t="s">
        <v>2904</v>
      </c>
      <c r="K526" t="s">
        <v>2619</v>
      </c>
      <c r="L526" t="s">
        <v>2630</v>
      </c>
      <c r="M526" t="s">
        <v>2436</v>
      </c>
      <c r="N526" t="s">
        <v>89</v>
      </c>
      <c r="O526" t="s">
        <v>89</v>
      </c>
      <c r="P526" t="s">
        <v>4055</v>
      </c>
      <c r="Q526" t="s">
        <v>4056</v>
      </c>
      <c r="R526" t="s">
        <v>2792</v>
      </c>
      <c r="S526" t="s">
        <v>93</v>
      </c>
      <c r="T526" t="s">
        <v>624</v>
      </c>
      <c r="U526" t="s">
        <v>3410</v>
      </c>
      <c r="V526" t="s">
        <v>89</v>
      </c>
      <c r="W526" t="s">
        <v>4057</v>
      </c>
      <c r="X526" t="s">
        <v>711</v>
      </c>
      <c r="Y526" t="s">
        <v>4058</v>
      </c>
      <c r="Z526" t="s">
        <v>2925</v>
      </c>
      <c r="AA526" t="s">
        <v>93</v>
      </c>
      <c r="AB526" t="s">
        <v>629</v>
      </c>
      <c r="AC526" t="s">
        <v>4059</v>
      </c>
    </row>
    <row r="527" spans="1:29" x14ac:dyDescent="0.25">
      <c r="A527" t="s">
        <v>57</v>
      </c>
      <c r="B527" t="s">
        <v>2351</v>
      </c>
      <c r="C527" t="s">
        <v>1026</v>
      </c>
      <c r="D527" t="s">
        <v>666</v>
      </c>
      <c r="E527" t="s">
        <v>80</v>
      </c>
      <c r="F527" t="s">
        <v>73</v>
      </c>
      <c r="G527" t="s">
        <v>4060</v>
      </c>
      <c r="H527" t="s">
        <v>4061</v>
      </c>
      <c r="I527" t="s">
        <v>4062</v>
      </c>
      <c r="J527" t="s">
        <v>4036</v>
      </c>
      <c r="K527" t="s">
        <v>2682</v>
      </c>
      <c r="L527" t="s">
        <v>2672</v>
      </c>
      <c r="M527" t="s">
        <v>2433</v>
      </c>
      <c r="N527" t="s">
        <v>89</v>
      </c>
      <c r="O527" t="s">
        <v>89</v>
      </c>
      <c r="P527" t="s">
        <v>4063</v>
      </c>
      <c r="Q527" t="s">
        <v>4064</v>
      </c>
      <c r="R527" t="s">
        <v>3633</v>
      </c>
      <c r="S527" t="s">
        <v>93</v>
      </c>
      <c r="T527" t="s">
        <v>864</v>
      </c>
      <c r="U527" t="s">
        <v>3179</v>
      </c>
      <c r="V527" t="s">
        <v>89</v>
      </c>
      <c r="W527" t="s">
        <v>2453</v>
      </c>
      <c r="X527" t="s">
        <v>544</v>
      </c>
      <c r="Y527" t="s">
        <v>4065</v>
      </c>
      <c r="Z527" t="s">
        <v>3635</v>
      </c>
      <c r="AA527" t="s">
        <v>93</v>
      </c>
      <c r="AB527" t="s">
        <v>228</v>
      </c>
      <c r="AC527" t="s">
        <v>4066</v>
      </c>
    </row>
    <row r="528" spans="1:29" x14ac:dyDescent="0.25">
      <c r="A528" t="s">
        <v>57</v>
      </c>
      <c r="B528" t="s">
        <v>2351</v>
      </c>
      <c r="C528" t="s">
        <v>1026</v>
      </c>
      <c r="D528" t="s">
        <v>666</v>
      </c>
      <c r="E528" t="s">
        <v>80</v>
      </c>
      <c r="F528" t="s">
        <v>74</v>
      </c>
      <c r="G528" t="s">
        <v>4067</v>
      </c>
      <c r="H528" t="s">
        <v>4068</v>
      </c>
      <c r="I528" t="s">
        <v>4069</v>
      </c>
      <c r="J528" t="s">
        <v>3603</v>
      </c>
      <c r="K528" t="s">
        <v>2671</v>
      </c>
      <c r="L528" t="s">
        <v>2683</v>
      </c>
      <c r="M528" t="s">
        <v>2433</v>
      </c>
      <c r="N528" t="s">
        <v>89</v>
      </c>
      <c r="O528" t="s">
        <v>89</v>
      </c>
      <c r="P528" t="s">
        <v>3618</v>
      </c>
      <c r="Q528" t="s">
        <v>4070</v>
      </c>
      <c r="R528" t="s">
        <v>4071</v>
      </c>
      <c r="S528" t="s">
        <v>93</v>
      </c>
      <c r="T528" t="s">
        <v>246</v>
      </c>
      <c r="U528" t="s">
        <v>2436</v>
      </c>
      <c r="V528" t="s">
        <v>89</v>
      </c>
      <c r="W528" t="s">
        <v>2453</v>
      </c>
      <c r="X528" t="s">
        <v>481</v>
      </c>
      <c r="Y528" t="s">
        <v>4072</v>
      </c>
      <c r="Z528" t="s">
        <v>4073</v>
      </c>
      <c r="AA528" t="s">
        <v>93</v>
      </c>
      <c r="AB528" t="s">
        <v>4074</v>
      </c>
      <c r="AC528" t="s">
        <v>4075</v>
      </c>
    </row>
    <row r="529" spans="1:29" x14ac:dyDescent="0.25">
      <c r="A529" t="s">
        <v>57</v>
      </c>
      <c r="B529" t="s">
        <v>2351</v>
      </c>
      <c r="C529" t="s">
        <v>1026</v>
      </c>
      <c r="D529" t="s">
        <v>666</v>
      </c>
      <c r="E529" t="s">
        <v>80</v>
      </c>
      <c r="F529" t="s">
        <v>75</v>
      </c>
      <c r="G529" t="s">
        <v>4076</v>
      </c>
      <c r="H529" t="s">
        <v>4077</v>
      </c>
      <c r="I529" t="s">
        <v>4078</v>
      </c>
      <c r="J529" t="s">
        <v>2744</v>
      </c>
      <c r="K529" t="s">
        <v>2619</v>
      </c>
      <c r="L529" t="s">
        <v>3495</v>
      </c>
      <c r="M529" t="s">
        <v>3179</v>
      </c>
      <c r="N529" t="s">
        <v>89</v>
      </c>
      <c r="O529" t="s">
        <v>89</v>
      </c>
      <c r="P529" t="s">
        <v>4079</v>
      </c>
      <c r="Q529" t="s">
        <v>4080</v>
      </c>
      <c r="R529" t="s">
        <v>2551</v>
      </c>
      <c r="S529" t="s">
        <v>93</v>
      </c>
      <c r="T529" t="s">
        <v>1860</v>
      </c>
      <c r="U529" t="s">
        <v>3179</v>
      </c>
      <c r="V529" t="s">
        <v>89</v>
      </c>
      <c r="W529" t="s">
        <v>89</v>
      </c>
      <c r="X529" t="s">
        <v>2360</v>
      </c>
      <c r="Y529" t="s">
        <v>4081</v>
      </c>
      <c r="Z529" t="s">
        <v>2531</v>
      </c>
      <c r="AA529" t="s">
        <v>93</v>
      </c>
      <c r="AB529" t="s">
        <v>2098</v>
      </c>
      <c r="AC529" t="s">
        <v>4082</v>
      </c>
    </row>
    <row r="530" spans="1:29" x14ac:dyDescent="0.25">
      <c r="A530" t="s">
        <v>57</v>
      </c>
      <c r="B530" t="s">
        <v>2351</v>
      </c>
      <c r="C530" t="s">
        <v>1026</v>
      </c>
      <c r="D530" t="s">
        <v>666</v>
      </c>
      <c r="E530" t="s">
        <v>80</v>
      </c>
      <c r="F530" t="s">
        <v>76</v>
      </c>
      <c r="G530" t="s">
        <v>4083</v>
      </c>
      <c r="H530" t="s">
        <v>4084</v>
      </c>
      <c r="I530" t="s">
        <v>4085</v>
      </c>
      <c r="J530" t="s">
        <v>3430</v>
      </c>
      <c r="K530" t="s">
        <v>2431</v>
      </c>
      <c r="L530" t="s">
        <v>3486</v>
      </c>
      <c r="M530" t="s">
        <v>3179</v>
      </c>
      <c r="N530" t="s">
        <v>2443</v>
      </c>
      <c r="O530" t="s">
        <v>89</v>
      </c>
      <c r="P530" t="s">
        <v>4086</v>
      </c>
      <c r="Q530" t="s">
        <v>4087</v>
      </c>
      <c r="R530" t="s">
        <v>3089</v>
      </c>
      <c r="S530" t="s">
        <v>93</v>
      </c>
      <c r="T530" t="s">
        <v>1592</v>
      </c>
      <c r="U530" t="s">
        <v>3179</v>
      </c>
      <c r="V530" t="s">
        <v>2607</v>
      </c>
      <c r="W530" t="s">
        <v>89</v>
      </c>
      <c r="X530" t="s">
        <v>4088</v>
      </c>
      <c r="Y530" t="s">
        <v>4089</v>
      </c>
      <c r="Z530" t="s">
        <v>2652</v>
      </c>
      <c r="AA530" t="s">
        <v>93</v>
      </c>
      <c r="AB530" t="s">
        <v>2021</v>
      </c>
      <c r="AC530" t="s">
        <v>4090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72A86-B0D8-4A1A-996A-DC1E82D048E4}">
  <dimension ref="A1:AL158"/>
  <sheetViews>
    <sheetView tabSelected="1" workbookViewId="0">
      <selection activeCell="AF1" sqref="AF1:AI1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bestFit="1" customWidth="1"/>
    <col min="7" max="7" width="13.7109375" customWidth="1"/>
    <col min="8" max="8" width="21.5703125" customWidth="1"/>
    <col min="9" max="9" width="12.140625" customWidth="1"/>
    <col min="10" max="15" width="18.85546875" bestFit="1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3" width="18.85546875" bestFit="1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22.7109375" bestFit="1" customWidth="1"/>
    <col min="32" max="32" width="10.5703125" bestFit="1" customWidth="1"/>
    <col min="33" max="35" width="9.42578125" bestFit="1" customWidth="1"/>
  </cols>
  <sheetData>
    <row r="1" spans="1:3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3" t="s">
        <v>77</v>
      </c>
      <c r="AF1" t="s">
        <v>4091</v>
      </c>
      <c r="AG1" t="s">
        <v>4092</v>
      </c>
      <c r="AH1" t="s">
        <v>4093</v>
      </c>
      <c r="AI1" t="s">
        <v>4094</v>
      </c>
    </row>
    <row r="2" spans="1:35" x14ac:dyDescent="0.25">
      <c r="A2" t="s">
        <v>28</v>
      </c>
      <c r="B2" t="s">
        <v>78</v>
      </c>
      <c r="C2" t="s">
        <v>666</v>
      </c>
      <c r="D2" t="s">
        <v>274</v>
      </c>
      <c r="E2" t="s">
        <v>80</v>
      </c>
      <c r="F2" t="s">
        <v>465</v>
      </c>
      <c r="G2" t="s">
        <v>704</v>
      </c>
      <c r="H2" t="s">
        <v>705</v>
      </c>
      <c r="I2" t="s">
        <v>706</v>
      </c>
      <c r="J2" t="s">
        <v>89</v>
      </c>
      <c r="K2" t="s">
        <v>707</v>
      </c>
      <c r="L2" t="s">
        <v>89</v>
      </c>
      <c r="M2" t="s">
        <v>89</v>
      </c>
      <c r="N2" t="s">
        <v>708</v>
      </c>
      <c r="O2" t="s">
        <v>89</v>
      </c>
      <c r="P2" t="s">
        <v>305</v>
      </c>
      <c r="Q2" t="s">
        <v>709</v>
      </c>
      <c r="R2" t="s">
        <v>710</v>
      </c>
      <c r="S2" t="s">
        <v>93</v>
      </c>
      <c r="T2" t="s">
        <v>711</v>
      </c>
      <c r="U2" t="s">
        <v>89</v>
      </c>
      <c r="V2" t="s">
        <v>708</v>
      </c>
      <c r="W2" t="s">
        <v>243</v>
      </c>
      <c r="X2" t="s">
        <v>98</v>
      </c>
      <c r="Y2" t="s">
        <v>712</v>
      </c>
      <c r="Z2" t="s">
        <v>139</v>
      </c>
      <c r="AA2" t="s">
        <v>93</v>
      </c>
      <c r="AB2" t="s">
        <v>140</v>
      </c>
      <c r="AC2" t="s">
        <v>713</v>
      </c>
      <c r="AF2" s="6">
        <f>Tabela4[[#This Row],[kan_params]] * 1</f>
        <v>45091</v>
      </c>
      <c r="AG2" s="5">
        <f>Tabela4[[#This Row],[kan_test_acc]] * 1</f>
        <v>1</v>
      </c>
      <c r="AH2" s="5">
        <f>Tabela4[[#This Row],[mlp_test_acc]] * 1</f>
        <v>1</v>
      </c>
      <c r="AI2" s="5">
        <f>Tabela4[[#This Row],[mlp2_test_acc]] * 1</f>
        <v>1</v>
      </c>
    </row>
    <row r="3" spans="1:35" x14ac:dyDescent="0.25">
      <c r="A3" t="s">
        <v>28</v>
      </c>
      <c r="B3" t="s">
        <v>78</v>
      </c>
      <c r="C3" t="s">
        <v>666</v>
      </c>
      <c r="D3" t="s">
        <v>274</v>
      </c>
      <c r="E3" t="s">
        <v>80</v>
      </c>
      <c r="F3" t="s">
        <v>495</v>
      </c>
      <c r="G3" t="s">
        <v>725</v>
      </c>
      <c r="H3" t="s">
        <v>726</v>
      </c>
      <c r="I3" t="s">
        <v>727</v>
      </c>
      <c r="J3" t="s">
        <v>89</v>
      </c>
      <c r="K3" t="s">
        <v>134</v>
      </c>
      <c r="L3" t="s">
        <v>89</v>
      </c>
      <c r="M3" t="s">
        <v>141</v>
      </c>
      <c r="N3" t="s">
        <v>254</v>
      </c>
      <c r="O3" t="s">
        <v>89</v>
      </c>
      <c r="P3" t="s">
        <v>263</v>
      </c>
      <c r="Q3" t="s">
        <v>728</v>
      </c>
      <c r="R3" t="s">
        <v>186</v>
      </c>
      <c r="S3" t="s">
        <v>93</v>
      </c>
      <c r="T3" t="s">
        <v>187</v>
      </c>
      <c r="U3" t="s">
        <v>89</v>
      </c>
      <c r="V3" t="s">
        <v>708</v>
      </c>
      <c r="W3" t="s">
        <v>217</v>
      </c>
      <c r="X3" t="s">
        <v>98</v>
      </c>
      <c r="Y3" t="s">
        <v>729</v>
      </c>
      <c r="Z3" t="s">
        <v>191</v>
      </c>
      <c r="AA3" t="s">
        <v>93</v>
      </c>
      <c r="AB3" t="s">
        <v>192</v>
      </c>
      <c r="AC3" t="s">
        <v>730</v>
      </c>
      <c r="AF3" s="6">
        <f>Tabela4[[#This Row],[kan_params]] * 1</f>
        <v>36223</v>
      </c>
      <c r="AG3" s="5">
        <f>Tabela4[[#This Row],[kan_test_acc]] * 1</f>
        <v>1</v>
      </c>
      <c r="AH3" s="5">
        <f>Tabela4[[#This Row],[mlp_test_acc]] * 1</f>
        <v>0.99300699300699302</v>
      </c>
      <c r="AI3" s="5">
        <f>Tabela4[[#This Row],[mlp2_test_acc]] * 1</f>
        <v>1</v>
      </c>
    </row>
    <row r="4" spans="1:35" x14ac:dyDescent="0.25">
      <c r="A4" t="s">
        <v>28</v>
      </c>
      <c r="B4" t="s">
        <v>814</v>
      </c>
      <c r="C4" t="s">
        <v>666</v>
      </c>
      <c r="D4" t="s">
        <v>79</v>
      </c>
      <c r="E4" t="s">
        <v>80</v>
      </c>
      <c r="F4" t="s">
        <v>311</v>
      </c>
      <c r="G4" t="s">
        <v>843</v>
      </c>
      <c r="H4" t="s">
        <v>844</v>
      </c>
      <c r="I4" t="s">
        <v>845</v>
      </c>
      <c r="J4" t="s">
        <v>89</v>
      </c>
      <c r="K4" t="s">
        <v>198</v>
      </c>
      <c r="L4" t="s">
        <v>89</v>
      </c>
      <c r="M4" t="s">
        <v>89</v>
      </c>
      <c r="N4" t="s">
        <v>254</v>
      </c>
      <c r="O4" t="s">
        <v>89</v>
      </c>
      <c r="P4" t="s">
        <v>305</v>
      </c>
      <c r="Q4" t="s">
        <v>846</v>
      </c>
      <c r="R4" t="s">
        <v>203</v>
      </c>
      <c r="S4" t="s">
        <v>93</v>
      </c>
      <c r="T4" t="s">
        <v>204</v>
      </c>
      <c r="U4" t="s">
        <v>141</v>
      </c>
      <c r="V4" t="s">
        <v>254</v>
      </c>
      <c r="W4" t="s">
        <v>89</v>
      </c>
      <c r="X4" t="s">
        <v>98</v>
      </c>
      <c r="Y4" t="s">
        <v>847</v>
      </c>
      <c r="Z4" t="s">
        <v>208</v>
      </c>
      <c r="AA4" t="s">
        <v>93</v>
      </c>
      <c r="AB4" t="s">
        <v>209</v>
      </c>
      <c r="AC4" t="s">
        <v>848</v>
      </c>
      <c r="AF4" s="6">
        <f>Tabela4[[#This Row],[kan_params]] * 1</f>
        <v>39312</v>
      </c>
      <c r="AG4" s="5">
        <f>Tabela4[[#This Row],[kan_test_acc]] * 1</f>
        <v>1</v>
      </c>
      <c r="AH4" s="5">
        <f>Tabela4[[#This Row],[mlp_test_acc]] * 1</f>
        <v>1</v>
      </c>
      <c r="AI4" s="5">
        <f>Tabela4[[#This Row],[mlp2_test_acc]] * 1</f>
        <v>0.99300699300699302</v>
      </c>
    </row>
    <row r="5" spans="1:35" x14ac:dyDescent="0.25">
      <c r="A5" t="s">
        <v>28</v>
      </c>
      <c r="B5" t="s">
        <v>814</v>
      </c>
      <c r="C5" t="s">
        <v>666</v>
      </c>
      <c r="D5" t="s">
        <v>79</v>
      </c>
      <c r="E5" t="s">
        <v>80</v>
      </c>
      <c r="F5" t="s">
        <v>36</v>
      </c>
      <c r="G5" t="s">
        <v>885</v>
      </c>
      <c r="H5" t="s">
        <v>886</v>
      </c>
      <c r="I5" t="s">
        <v>887</v>
      </c>
      <c r="J5" t="s">
        <v>89</v>
      </c>
      <c r="K5" t="s">
        <v>198</v>
      </c>
      <c r="L5" t="s">
        <v>89</v>
      </c>
      <c r="M5" t="s">
        <v>89</v>
      </c>
      <c r="N5" t="s">
        <v>254</v>
      </c>
      <c r="O5" t="s">
        <v>89</v>
      </c>
      <c r="P5" t="s">
        <v>305</v>
      </c>
      <c r="Q5" t="s">
        <v>888</v>
      </c>
      <c r="R5" t="s">
        <v>340</v>
      </c>
      <c r="S5" t="s">
        <v>93</v>
      </c>
      <c r="T5" t="s">
        <v>341</v>
      </c>
      <c r="U5" t="s">
        <v>89</v>
      </c>
      <c r="V5" t="s">
        <v>267</v>
      </c>
      <c r="W5" t="s">
        <v>89</v>
      </c>
      <c r="X5" t="s">
        <v>98</v>
      </c>
      <c r="Y5" t="s">
        <v>889</v>
      </c>
      <c r="Z5" t="s">
        <v>344</v>
      </c>
      <c r="AA5" t="s">
        <v>93</v>
      </c>
      <c r="AB5" t="s">
        <v>345</v>
      </c>
      <c r="AC5" t="s">
        <v>890</v>
      </c>
      <c r="AF5" s="6">
        <f>Tabela4[[#This Row],[kan_params]] * 1</f>
        <v>32891</v>
      </c>
      <c r="AG5" s="5">
        <f>Tabela4[[#This Row],[kan_test_acc]] * 1</f>
        <v>1</v>
      </c>
      <c r="AH5" s="5">
        <f>Tabela4[[#This Row],[mlp_test_acc]] * 1</f>
        <v>1</v>
      </c>
      <c r="AI5" s="5">
        <f>Tabela4[[#This Row],[mlp2_test_acc]] * 1</f>
        <v>1</v>
      </c>
    </row>
    <row r="6" spans="1:35" x14ac:dyDescent="0.25">
      <c r="A6" t="s">
        <v>28</v>
      </c>
      <c r="B6" t="s">
        <v>814</v>
      </c>
      <c r="C6" t="s">
        <v>666</v>
      </c>
      <c r="D6" t="s">
        <v>79</v>
      </c>
      <c r="E6" t="s">
        <v>80</v>
      </c>
      <c r="F6" t="s">
        <v>37</v>
      </c>
      <c r="G6" t="s">
        <v>891</v>
      </c>
      <c r="H6" t="s">
        <v>892</v>
      </c>
      <c r="I6" t="s">
        <v>893</v>
      </c>
      <c r="J6" t="s">
        <v>89</v>
      </c>
      <c r="K6" t="s">
        <v>198</v>
      </c>
      <c r="L6" t="s">
        <v>89</v>
      </c>
      <c r="M6" t="s">
        <v>141</v>
      </c>
      <c r="N6" t="s">
        <v>254</v>
      </c>
      <c r="O6" t="s">
        <v>89</v>
      </c>
      <c r="P6" t="s">
        <v>120</v>
      </c>
      <c r="Q6" t="s">
        <v>894</v>
      </c>
      <c r="R6" t="s">
        <v>579</v>
      </c>
      <c r="S6" t="s">
        <v>93</v>
      </c>
      <c r="T6" t="s">
        <v>580</v>
      </c>
      <c r="U6" t="s">
        <v>141</v>
      </c>
      <c r="V6" t="s">
        <v>254</v>
      </c>
      <c r="W6" t="s">
        <v>89</v>
      </c>
      <c r="X6" t="s">
        <v>98</v>
      </c>
      <c r="Y6" t="s">
        <v>895</v>
      </c>
      <c r="Z6" t="s">
        <v>186</v>
      </c>
      <c r="AA6" t="s">
        <v>93</v>
      </c>
      <c r="AB6" t="s">
        <v>187</v>
      </c>
      <c r="AC6" t="s">
        <v>896</v>
      </c>
      <c r="AF6" s="6">
        <f>Tabela4[[#This Row],[kan_params]] * 1</f>
        <v>35776</v>
      </c>
      <c r="AG6" s="5">
        <f>Tabela4[[#This Row],[kan_test_acc]] * 1</f>
        <v>1</v>
      </c>
      <c r="AH6" s="5">
        <f>Tabela4[[#This Row],[mlp_test_acc]] * 1</f>
        <v>0.99300699300699302</v>
      </c>
      <c r="AI6" s="5">
        <f>Tabela4[[#This Row],[mlp2_test_acc]] * 1</f>
        <v>0.99300699300699302</v>
      </c>
    </row>
    <row r="7" spans="1:35" x14ac:dyDescent="0.25">
      <c r="A7" t="s">
        <v>28</v>
      </c>
      <c r="B7" t="s">
        <v>273</v>
      </c>
      <c r="C7" t="s">
        <v>79</v>
      </c>
      <c r="D7" t="s">
        <v>274</v>
      </c>
      <c r="E7" t="s">
        <v>80</v>
      </c>
      <c r="F7" t="s">
        <v>42</v>
      </c>
      <c r="G7" t="s">
        <v>295</v>
      </c>
      <c r="H7" t="s">
        <v>296</v>
      </c>
      <c r="I7" t="s">
        <v>297</v>
      </c>
      <c r="J7" t="s">
        <v>89</v>
      </c>
      <c r="K7" t="s">
        <v>85</v>
      </c>
      <c r="L7" t="s">
        <v>298</v>
      </c>
      <c r="M7" t="s">
        <v>136</v>
      </c>
      <c r="N7" t="s">
        <v>96</v>
      </c>
      <c r="O7" t="s">
        <v>89</v>
      </c>
      <c r="P7" t="s">
        <v>120</v>
      </c>
      <c r="Q7" t="s">
        <v>299</v>
      </c>
      <c r="R7" t="s">
        <v>242</v>
      </c>
      <c r="S7" t="s">
        <v>93</v>
      </c>
      <c r="T7" t="s">
        <v>98</v>
      </c>
      <c r="U7" t="s">
        <v>87</v>
      </c>
      <c r="V7" t="s">
        <v>254</v>
      </c>
      <c r="W7" t="s">
        <v>89</v>
      </c>
      <c r="X7" t="s">
        <v>98</v>
      </c>
      <c r="Y7" t="s">
        <v>300</v>
      </c>
      <c r="Z7" t="s">
        <v>245</v>
      </c>
      <c r="AA7" t="s">
        <v>93</v>
      </c>
      <c r="AB7" t="s">
        <v>246</v>
      </c>
      <c r="AC7" t="s">
        <v>301</v>
      </c>
      <c r="AF7" s="6">
        <f>Tabela4[[#This Row],[kan_params]] * 1</f>
        <v>24242</v>
      </c>
      <c r="AG7" s="5">
        <f>Tabela4[[#This Row],[kan_test_acc]] * 1</f>
        <v>0.99300700426101596</v>
      </c>
      <c r="AH7" s="5">
        <f>Tabela4[[#This Row],[mlp_test_acc]] * 1</f>
        <v>0.97902097902097895</v>
      </c>
      <c r="AI7" s="5">
        <f>Tabela4[[#This Row],[mlp2_test_acc]] * 1</f>
        <v>0.97202797202797198</v>
      </c>
    </row>
    <row r="8" spans="1:35" x14ac:dyDescent="0.25">
      <c r="A8" t="s">
        <v>28</v>
      </c>
      <c r="B8" t="s">
        <v>273</v>
      </c>
      <c r="C8" t="s">
        <v>79</v>
      </c>
      <c r="D8" t="s">
        <v>274</v>
      </c>
      <c r="E8" t="s">
        <v>80</v>
      </c>
      <c r="F8" t="s">
        <v>311</v>
      </c>
      <c r="G8" t="s">
        <v>312</v>
      </c>
      <c r="H8" t="s">
        <v>313</v>
      </c>
      <c r="I8" t="s">
        <v>314</v>
      </c>
      <c r="J8" t="s">
        <v>89</v>
      </c>
      <c r="K8" t="s">
        <v>85</v>
      </c>
      <c r="L8" t="s">
        <v>298</v>
      </c>
      <c r="M8" t="s">
        <v>136</v>
      </c>
      <c r="N8" t="s">
        <v>96</v>
      </c>
      <c r="O8" t="s">
        <v>89</v>
      </c>
      <c r="P8" t="s">
        <v>263</v>
      </c>
      <c r="Q8" t="s">
        <v>315</v>
      </c>
      <c r="R8" t="s">
        <v>316</v>
      </c>
      <c r="S8" t="s">
        <v>93</v>
      </c>
      <c r="T8" t="s">
        <v>317</v>
      </c>
      <c r="U8" t="s">
        <v>136</v>
      </c>
      <c r="V8" t="s">
        <v>267</v>
      </c>
      <c r="W8" t="s">
        <v>89</v>
      </c>
      <c r="X8" t="s">
        <v>98</v>
      </c>
      <c r="Y8" t="s">
        <v>318</v>
      </c>
      <c r="Z8" t="s">
        <v>319</v>
      </c>
      <c r="AA8" t="s">
        <v>93</v>
      </c>
      <c r="AB8" t="s">
        <v>320</v>
      </c>
      <c r="AC8" t="s">
        <v>321</v>
      </c>
      <c r="AF8" s="6">
        <f>Tabela4[[#This Row],[kan_params]] * 1</f>
        <v>28412</v>
      </c>
      <c r="AG8" s="5">
        <f>Tabela4[[#This Row],[kan_test_acc]] * 1</f>
        <v>0.99300700426101596</v>
      </c>
      <c r="AH8" s="5">
        <f>Tabela4[[#This Row],[mlp_test_acc]] * 1</f>
        <v>0.97902097902097895</v>
      </c>
      <c r="AI8" s="5">
        <f>Tabela4[[#This Row],[mlp2_test_acc]] * 1</f>
        <v>0.97902097902097895</v>
      </c>
    </row>
    <row r="9" spans="1:35" x14ac:dyDescent="0.25">
      <c r="A9" t="s">
        <v>28</v>
      </c>
      <c r="B9" t="s">
        <v>78</v>
      </c>
      <c r="C9" t="s">
        <v>666</v>
      </c>
      <c r="D9" t="s">
        <v>274</v>
      </c>
      <c r="E9" t="s">
        <v>80</v>
      </c>
      <c r="F9" t="s">
        <v>473</v>
      </c>
      <c r="G9" t="s">
        <v>714</v>
      </c>
      <c r="H9" t="s">
        <v>715</v>
      </c>
      <c r="I9" t="s">
        <v>716</v>
      </c>
      <c r="J9" t="s">
        <v>89</v>
      </c>
      <c r="K9" t="s">
        <v>134</v>
      </c>
      <c r="L9" t="s">
        <v>298</v>
      </c>
      <c r="M9" t="s">
        <v>89</v>
      </c>
      <c r="N9" t="s">
        <v>482</v>
      </c>
      <c r="O9" t="s">
        <v>89</v>
      </c>
      <c r="P9" t="s">
        <v>305</v>
      </c>
      <c r="Q9" t="s">
        <v>717</v>
      </c>
      <c r="R9" t="s">
        <v>155</v>
      </c>
      <c r="S9" t="s">
        <v>93</v>
      </c>
      <c r="T9" t="s">
        <v>156</v>
      </c>
      <c r="U9" t="s">
        <v>89</v>
      </c>
      <c r="V9" t="s">
        <v>708</v>
      </c>
      <c r="W9" t="s">
        <v>243</v>
      </c>
      <c r="X9" t="s">
        <v>98</v>
      </c>
      <c r="Y9" t="s">
        <v>718</v>
      </c>
      <c r="Z9" t="s">
        <v>162</v>
      </c>
      <c r="AA9" t="s">
        <v>93</v>
      </c>
      <c r="AB9" t="s">
        <v>163</v>
      </c>
      <c r="AC9" t="s">
        <v>719</v>
      </c>
      <c r="AF9" s="6">
        <f>Tabela4[[#This Row],[kan_params]] * 1</f>
        <v>47796</v>
      </c>
      <c r="AG9" s="5">
        <f>Tabela4[[#This Row],[kan_test_acc]] * 1</f>
        <v>0.99300700426101596</v>
      </c>
      <c r="AH9" s="5">
        <f>Tabela4[[#This Row],[mlp_test_acc]] * 1</f>
        <v>1</v>
      </c>
      <c r="AI9" s="5">
        <f>Tabela4[[#This Row],[mlp2_test_acc]] * 1</f>
        <v>1</v>
      </c>
    </row>
    <row r="10" spans="1:35" x14ac:dyDescent="0.25">
      <c r="A10" t="s">
        <v>28</v>
      </c>
      <c r="B10" t="s">
        <v>78</v>
      </c>
      <c r="C10" t="s">
        <v>666</v>
      </c>
      <c r="D10" t="s">
        <v>274</v>
      </c>
      <c r="E10" t="s">
        <v>80</v>
      </c>
      <c r="F10" t="s">
        <v>487</v>
      </c>
      <c r="G10" t="s">
        <v>720</v>
      </c>
      <c r="H10" t="s">
        <v>721</v>
      </c>
      <c r="I10" t="s">
        <v>240</v>
      </c>
      <c r="J10" t="s">
        <v>89</v>
      </c>
      <c r="K10" t="s">
        <v>198</v>
      </c>
      <c r="L10" t="s">
        <v>298</v>
      </c>
      <c r="M10" t="s">
        <v>89</v>
      </c>
      <c r="N10" t="s">
        <v>708</v>
      </c>
      <c r="O10" t="s">
        <v>89</v>
      </c>
      <c r="P10" t="s">
        <v>305</v>
      </c>
      <c r="Q10" t="s">
        <v>722</v>
      </c>
      <c r="R10" t="s">
        <v>344</v>
      </c>
      <c r="S10" t="s">
        <v>93</v>
      </c>
      <c r="T10" t="s">
        <v>345</v>
      </c>
      <c r="U10" t="s">
        <v>89</v>
      </c>
      <c r="V10" t="s">
        <v>708</v>
      </c>
      <c r="W10" t="s">
        <v>97</v>
      </c>
      <c r="X10" t="s">
        <v>98</v>
      </c>
      <c r="Y10" t="s">
        <v>723</v>
      </c>
      <c r="Z10" t="s">
        <v>173</v>
      </c>
      <c r="AA10" t="s">
        <v>93</v>
      </c>
      <c r="AB10" t="s">
        <v>174</v>
      </c>
      <c r="AC10" t="s">
        <v>724</v>
      </c>
      <c r="AF10" s="6">
        <f>Tabela4[[#This Row],[kan_params]] * 1</f>
        <v>33368</v>
      </c>
      <c r="AG10" s="5">
        <f>Tabela4[[#This Row],[kan_test_acc]] * 1</f>
        <v>0.99300700426101596</v>
      </c>
      <c r="AH10" s="5">
        <f>Tabela4[[#This Row],[mlp_test_acc]] * 1</f>
        <v>1</v>
      </c>
      <c r="AI10" s="5">
        <f>Tabela4[[#This Row],[mlp2_test_acc]] * 1</f>
        <v>1</v>
      </c>
    </row>
    <row r="11" spans="1:35" x14ac:dyDescent="0.25">
      <c r="A11" t="s">
        <v>28</v>
      </c>
      <c r="B11" t="s">
        <v>814</v>
      </c>
      <c r="C11" t="s">
        <v>666</v>
      </c>
      <c r="D11" t="s">
        <v>79</v>
      </c>
      <c r="E11" t="s">
        <v>80</v>
      </c>
      <c r="F11" t="s">
        <v>43</v>
      </c>
      <c r="G11" t="s">
        <v>837</v>
      </c>
      <c r="H11" t="s">
        <v>838</v>
      </c>
      <c r="I11" t="s">
        <v>839</v>
      </c>
      <c r="J11" t="s">
        <v>89</v>
      </c>
      <c r="K11" t="s">
        <v>198</v>
      </c>
      <c r="L11" t="s">
        <v>298</v>
      </c>
      <c r="M11" t="s">
        <v>141</v>
      </c>
      <c r="N11" t="s">
        <v>267</v>
      </c>
      <c r="O11" t="s">
        <v>89</v>
      </c>
      <c r="P11" t="s">
        <v>263</v>
      </c>
      <c r="Q11" t="s">
        <v>840</v>
      </c>
      <c r="R11" t="s">
        <v>186</v>
      </c>
      <c r="S11" t="s">
        <v>93</v>
      </c>
      <c r="T11" t="s">
        <v>187</v>
      </c>
      <c r="U11" t="s">
        <v>89</v>
      </c>
      <c r="V11" t="s">
        <v>254</v>
      </c>
      <c r="W11" t="s">
        <v>89</v>
      </c>
      <c r="X11" t="s">
        <v>98</v>
      </c>
      <c r="Y11" t="s">
        <v>841</v>
      </c>
      <c r="Z11" t="s">
        <v>191</v>
      </c>
      <c r="AA11" t="s">
        <v>93</v>
      </c>
      <c r="AB11" t="s">
        <v>192</v>
      </c>
      <c r="AC11" t="s">
        <v>842</v>
      </c>
      <c r="AF11" s="6">
        <f>Tabela4[[#This Row],[kan_params]] * 1</f>
        <v>36427</v>
      </c>
      <c r="AG11" s="5">
        <f>Tabela4[[#This Row],[kan_test_acc]] * 1</f>
        <v>0.99300700426101596</v>
      </c>
      <c r="AH11" s="5">
        <f>Tabela4[[#This Row],[mlp_test_acc]] * 1</f>
        <v>0.99300699300699302</v>
      </c>
      <c r="AI11" s="5">
        <f>Tabela4[[#This Row],[mlp2_test_acc]] * 1</f>
        <v>1</v>
      </c>
    </row>
    <row r="12" spans="1:35" x14ac:dyDescent="0.25">
      <c r="A12" t="s">
        <v>28</v>
      </c>
      <c r="B12" t="s">
        <v>814</v>
      </c>
      <c r="C12" t="s">
        <v>666</v>
      </c>
      <c r="D12" t="s">
        <v>79</v>
      </c>
      <c r="E12" t="s">
        <v>80</v>
      </c>
      <c r="F12" t="s">
        <v>35</v>
      </c>
      <c r="G12" t="s">
        <v>880</v>
      </c>
      <c r="H12" t="s">
        <v>881</v>
      </c>
      <c r="I12" t="s">
        <v>827</v>
      </c>
      <c r="J12" t="s">
        <v>89</v>
      </c>
      <c r="K12" t="s">
        <v>198</v>
      </c>
      <c r="L12" t="s">
        <v>298</v>
      </c>
      <c r="M12" t="s">
        <v>141</v>
      </c>
      <c r="N12" t="s">
        <v>267</v>
      </c>
      <c r="O12" t="s">
        <v>89</v>
      </c>
      <c r="P12" t="s">
        <v>263</v>
      </c>
      <c r="Q12" t="s">
        <v>882</v>
      </c>
      <c r="R12" t="s">
        <v>401</v>
      </c>
      <c r="S12" t="s">
        <v>93</v>
      </c>
      <c r="T12" t="s">
        <v>402</v>
      </c>
      <c r="U12" t="s">
        <v>89</v>
      </c>
      <c r="V12" t="s">
        <v>254</v>
      </c>
      <c r="W12" t="s">
        <v>89</v>
      </c>
      <c r="X12" t="s">
        <v>98</v>
      </c>
      <c r="Y12" t="s">
        <v>883</v>
      </c>
      <c r="Z12" t="s">
        <v>327</v>
      </c>
      <c r="AA12" t="s">
        <v>93</v>
      </c>
      <c r="AB12" t="s">
        <v>328</v>
      </c>
      <c r="AC12" t="s">
        <v>884</v>
      </c>
      <c r="AF12" s="6">
        <f>Tabela4[[#This Row],[kan_params]] * 1</f>
        <v>30006</v>
      </c>
      <c r="AG12" s="5">
        <f>Tabela4[[#This Row],[kan_test_acc]] * 1</f>
        <v>0.99300700426101596</v>
      </c>
      <c r="AH12" s="5">
        <f>Tabela4[[#This Row],[mlp_test_acc]] * 1</f>
        <v>0.99300699300699302</v>
      </c>
      <c r="AI12" s="5">
        <f>Tabela4[[#This Row],[mlp2_test_acc]] * 1</f>
        <v>1</v>
      </c>
    </row>
    <row r="13" spans="1:35" x14ac:dyDescent="0.25">
      <c r="A13" t="s">
        <v>28</v>
      </c>
      <c r="B13" t="s">
        <v>959</v>
      </c>
      <c r="C13" t="s">
        <v>1026</v>
      </c>
      <c r="D13" t="s">
        <v>79</v>
      </c>
      <c r="E13" t="s">
        <v>80</v>
      </c>
      <c r="F13" t="s">
        <v>358</v>
      </c>
      <c r="G13" t="s">
        <v>1070</v>
      </c>
      <c r="H13" t="s">
        <v>1071</v>
      </c>
      <c r="I13" t="s">
        <v>1051</v>
      </c>
      <c r="J13" t="s">
        <v>89</v>
      </c>
      <c r="K13" t="s">
        <v>198</v>
      </c>
      <c r="L13" t="s">
        <v>298</v>
      </c>
      <c r="M13" t="s">
        <v>239</v>
      </c>
      <c r="N13" t="s">
        <v>88</v>
      </c>
      <c r="O13" t="s">
        <v>89</v>
      </c>
      <c r="P13" t="s">
        <v>305</v>
      </c>
      <c r="Q13" t="s">
        <v>1072</v>
      </c>
      <c r="R13" t="s">
        <v>1073</v>
      </c>
      <c r="S13" t="s">
        <v>93</v>
      </c>
      <c r="T13" t="s">
        <v>1074</v>
      </c>
      <c r="U13" t="s">
        <v>239</v>
      </c>
      <c r="V13" t="s">
        <v>96</v>
      </c>
      <c r="W13" t="s">
        <v>268</v>
      </c>
      <c r="X13" t="s">
        <v>98</v>
      </c>
      <c r="Y13" t="s">
        <v>1075</v>
      </c>
      <c r="Z13" t="s">
        <v>967</v>
      </c>
      <c r="AA13" t="s">
        <v>93</v>
      </c>
      <c r="AB13" t="s">
        <v>968</v>
      </c>
      <c r="AC13" t="s">
        <v>1076</v>
      </c>
      <c r="AF13" s="6">
        <f>Tabela4[[#This Row],[kan_params]] * 1</f>
        <v>62132</v>
      </c>
      <c r="AG13" s="5">
        <f>Tabela4[[#This Row],[kan_test_acc]] * 1</f>
        <v>0.99300700426101596</v>
      </c>
      <c r="AH13" s="5">
        <f>Tabela4[[#This Row],[mlp_test_acc]] * 1</f>
        <v>0.98601398601398604</v>
      </c>
      <c r="AI13" s="5">
        <f>Tabela4[[#This Row],[mlp2_test_acc]] * 1</f>
        <v>0.98601398601398604</v>
      </c>
    </row>
    <row r="14" spans="1:35" x14ac:dyDescent="0.25">
      <c r="A14" t="s">
        <v>28</v>
      </c>
      <c r="B14" t="s">
        <v>959</v>
      </c>
      <c r="C14" t="s">
        <v>1026</v>
      </c>
      <c r="D14" t="s">
        <v>79</v>
      </c>
      <c r="E14" t="s">
        <v>80</v>
      </c>
      <c r="F14" t="s">
        <v>473</v>
      </c>
      <c r="G14" t="s">
        <v>1152</v>
      </c>
      <c r="H14" t="s">
        <v>1153</v>
      </c>
      <c r="I14" t="s">
        <v>1154</v>
      </c>
      <c r="J14" t="s">
        <v>89</v>
      </c>
      <c r="K14" t="s">
        <v>85</v>
      </c>
      <c r="L14" t="s">
        <v>298</v>
      </c>
      <c r="M14" t="s">
        <v>449</v>
      </c>
      <c r="N14" t="s">
        <v>96</v>
      </c>
      <c r="O14" t="s">
        <v>89</v>
      </c>
      <c r="P14" t="s">
        <v>510</v>
      </c>
      <c r="Q14" t="s">
        <v>1155</v>
      </c>
      <c r="R14" t="s">
        <v>1156</v>
      </c>
      <c r="S14" t="s">
        <v>93</v>
      </c>
      <c r="T14" t="s">
        <v>1157</v>
      </c>
      <c r="U14" t="s">
        <v>449</v>
      </c>
      <c r="V14" t="s">
        <v>96</v>
      </c>
      <c r="W14" t="s">
        <v>268</v>
      </c>
      <c r="X14" t="s">
        <v>98</v>
      </c>
      <c r="Y14" t="s">
        <v>1158</v>
      </c>
      <c r="Z14" t="s">
        <v>1159</v>
      </c>
      <c r="AA14" t="s">
        <v>93</v>
      </c>
      <c r="AB14" t="s">
        <v>937</v>
      </c>
      <c r="AC14" t="s">
        <v>1160</v>
      </c>
      <c r="AF14" s="6">
        <f>Tabela4[[#This Row],[kan_params]] * 1</f>
        <v>70056</v>
      </c>
      <c r="AG14" s="5">
        <f>Tabela4[[#This Row],[kan_test_acc]] * 1</f>
        <v>0.99300700426101596</v>
      </c>
      <c r="AH14" s="5">
        <f>Tabela4[[#This Row],[mlp_test_acc]] * 1</f>
        <v>0.94405594405594395</v>
      </c>
      <c r="AI14" s="5">
        <f>Tabela4[[#This Row],[mlp2_test_acc]] * 1</f>
        <v>0.94405594405594395</v>
      </c>
    </row>
    <row r="15" spans="1:35" x14ac:dyDescent="0.25">
      <c r="A15" t="s">
        <v>28</v>
      </c>
      <c r="B15" t="s">
        <v>959</v>
      </c>
      <c r="C15" t="s">
        <v>1026</v>
      </c>
      <c r="D15" t="s">
        <v>79</v>
      </c>
      <c r="E15" t="s">
        <v>80</v>
      </c>
      <c r="F15" t="s">
        <v>487</v>
      </c>
      <c r="G15" t="s">
        <v>1161</v>
      </c>
      <c r="H15" t="s">
        <v>1162</v>
      </c>
      <c r="I15" t="s">
        <v>1163</v>
      </c>
      <c r="J15" t="s">
        <v>89</v>
      </c>
      <c r="K15" t="s">
        <v>85</v>
      </c>
      <c r="L15" t="s">
        <v>298</v>
      </c>
      <c r="M15" t="s">
        <v>95</v>
      </c>
      <c r="N15" t="s">
        <v>96</v>
      </c>
      <c r="O15" t="s">
        <v>89</v>
      </c>
      <c r="P15" t="s">
        <v>263</v>
      </c>
      <c r="Q15" t="s">
        <v>1164</v>
      </c>
      <c r="R15" t="s">
        <v>162</v>
      </c>
      <c r="S15" t="s">
        <v>93</v>
      </c>
      <c r="T15" t="s">
        <v>163</v>
      </c>
      <c r="U15" t="s">
        <v>449</v>
      </c>
      <c r="V15" t="s">
        <v>96</v>
      </c>
      <c r="W15" t="s">
        <v>243</v>
      </c>
      <c r="X15" t="s">
        <v>98</v>
      </c>
      <c r="Y15" t="s">
        <v>1165</v>
      </c>
      <c r="Z15" t="s">
        <v>929</v>
      </c>
      <c r="AA15" t="s">
        <v>93</v>
      </c>
      <c r="AB15" t="s">
        <v>930</v>
      </c>
      <c r="AC15" t="s">
        <v>1166</v>
      </c>
      <c r="AF15" s="6">
        <f>Tabela4[[#This Row],[kan_params]] * 1</f>
        <v>48908</v>
      </c>
      <c r="AG15" s="5">
        <f>Tabela4[[#This Row],[kan_test_acc]] * 1</f>
        <v>0.99300700426101596</v>
      </c>
      <c r="AH15" s="5">
        <f>Tabela4[[#This Row],[mlp_test_acc]] * 1</f>
        <v>0.965034965034965</v>
      </c>
      <c r="AI15" s="5">
        <f>Tabela4[[#This Row],[mlp2_test_acc]] * 1</f>
        <v>0.94405594405594395</v>
      </c>
    </row>
    <row r="16" spans="1:35" x14ac:dyDescent="0.25">
      <c r="A16" t="s">
        <v>28</v>
      </c>
      <c r="B16" t="s">
        <v>273</v>
      </c>
      <c r="C16" t="s">
        <v>79</v>
      </c>
      <c r="D16" t="s">
        <v>274</v>
      </c>
      <c r="E16" t="s">
        <v>80</v>
      </c>
      <c r="F16" t="s">
        <v>537</v>
      </c>
      <c r="G16" t="s">
        <v>538</v>
      </c>
      <c r="H16" t="s">
        <v>539</v>
      </c>
      <c r="I16" t="s">
        <v>540</v>
      </c>
      <c r="J16" t="s">
        <v>89</v>
      </c>
      <c r="K16" t="s">
        <v>85</v>
      </c>
      <c r="L16" t="s">
        <v>541</v>
      </c>
      <c r="M16" t="s">
        <v>119</v>
      </c>
      <c r="N16" t="s">
        <v>96</v>
      </c>
      <c r="O16" t="s">
        <v>89</v>
      </c>
      <c r="P16" t="s">
        <v>263</v>
      </c>
      <c r="Q16" t="s">
        <v>542</v>
      </c>
      <c r="R16" t="s">
        <v>543</v>
      </c>
      <c r="S16" t="s">
        <v>93</v>
      </c>
      <c r="T16" t="s">
        <v>544</v>
      </c>
      <c r="U16" t="s">
        <v>95</v>
      </c>
      <c r="V16" t="s">
        <v>96</v>
      </c>
      <c r="W16" t="s">
        <v>89</v>
      </c>
      <c r="X16" t="s">
        <v>98</v>
      </c>
      <c r="Y16" t="s">
        <v>545</v>
      </c>
      <c r="Z16" t="s">
        <v>546</v>
      </c>
      <c r="AA16" t="s">
        <v>93</v>
      </c>
      <c r="AB16" t="s">
        <v>547</v>
      </c>
      <c r="AC16" t="s">
        <v>548</v>
      </c>
      <c r="AF16" s="6">
        <f>Tabela4[[#This Row],[kan_params]] * 1</f>
        <v>43778</v>
      </c>
      <c r="AG16" s="5">
        <f>Tabela4[[#This Row],[kan_test_acc]] * 1</f>
        <v>0.98601400852203303</v>
      </c>
      <c r="AH16" s="5">
        <f>Tabela4[[#This Row],[mlp_test_acc]] * 1</f>
        <v>0.95104895104895104</v>
      </c>
      <c r="AI16" s="5">
        <f>Tabela4[[#This Row],[mlp2_test_acc]] * 1</f>
        <v>0.965034965034965</v>
      </c>
    </row>
    <row r="17" spans="1:35" x14ac:dyDescent="0.25">
      <c r="A17" t="s">
        <v>28</v>
      </c>
      <c r="B17" t="s">
        <v>273</v>
      </c>
      <c r="C17" t="s">
        <v>79</v>
      </c>
      <c r="D17" t="s">
        <v>274</v>
      </c>
      <c r="E17" t="s">
        <v>80</v>
      </c>
      <c r="F17" t="s">
        <v>37</v>
      </c>
      <c r="G17" t="s">
        <v>660</v>
      </c>
      <c r="H17" t="s">
        <v>661</v>
      </c>
      <c r="I17" t="s">
        <v>278</v>
      </c>
      <c r="J17" t="s">
        <v>89</v>
      </c>
      <c r="K17" t="s">
        <v>89</v>
      </c>
      <c r="L17" t="s">
        <v>541</v>
      </c>
      <c r="M17" t="s">
        <v>95</v>
      </c>
      <c r="N17" t="s">
        <v>89</v>
      </c>
      <c r="O17" t="s">
        <v>89</v>
      </c>
      <c r="P17" t="s">
        <v>510</v>
      </c>
      <c r="Q17" t="s">
        <v>662</v>
      </c>
      <c r="R17" t="s">
        <v>383</v>
      </c>
      <c r="S17" t="s">
        <v>93</v>
      </c>
      <c r="T17" t="s">
        <v>384</v>
      </c>
      <c r="U17" t="s">
        <v>136</v>
      </c>
      <c r="V17" t="s">
        <v>89</v>
      </c>
      <c r="W17" t="s">
        <v>97</v>
      </c>
      <c r="X17" t="s">
        <v>663</v>
      </c>
      <c r="Y17" t="s">
        <v>664</v>
      </c>
      <c r="Z17" t="s">
        <v>307</v>
      </c>
      <c r="AA17" t="s">
        <v>93</v>
      </c>
      <c r="AB17" t="s">
        <v>308</v>
      </c>
      <c r="AC17" t="s">
        <v>665</v>
      </c>
      <c r="AF17" s="6">
        <f>Tabela4[[#This Row],[kan_params]] * 1</f>
        <v>25856</v>
      </c>
      <c r="AG17" s="5">
        <f>Tabela4[[#This Row],[kan_test_acc]] * 1</f>
        <v>0.98601400852203303</v>
      </c>
      <c r="AH17" s="5">
        <f>Tabela4[[#This Row],[mlp_test_acc]] * 1</f>
        <v>0.965034965034965</v>
      </c>
      <c r="AI17" s="5">
        <f>Tabela4[[#This Row],[mlp2_test_acc]] * 1</f>
        <v>0.97902097902097895</v>
      </c>
    </row>
    <row r="18" spans="1:35" x14ac:dyDescent="0.25">
      <c r="A18" t="s">
        <v>28</v>
      </c>
      <c r="B18" t="s">
        <v>814</v>
      </c>
      <c r="C18" t="s">
        <v>666</v>
      </c>
      <c r="D18" t="s">
        <v>79</v>
      </c>
      <c r="E18" t="s">
        <v>80</v>
      </c>
      <c r="F18" t="s">
        <v>42</v>
      </c>
      <c r="G18" t="s">
        <v>831</v>
      </c>
      <c r="H18" t="s">
        <v>832</v>
      </c>
      <c r="I18" t="s">
        <v>833</v>
      </c>
      <c r="J18" t="s">
        <v>89</v>
      </c>
      <c r="K18" t="s">
        <v>198</v>
      </c>
      <c r="L18" t="s">
        <v>541</v>
      </c>
      <c r="M18" t="s">
        <v>141</v>
      </c>
      <c r="N18" t="s">
        <v>254</v>
      </c>
      <c r="O18" t="s">
        <v>89</v>
      </c>
      <c r="P18" t="s">
        <v>305</v>
      </c>
      <c r="Q18" t="s">
        <v>834</v>
      </c>
      <c r="R18" t="s">
        <v>173</v>
      </c>
      <c r="S18" t="s">
        <v>93</v>
      </c>
      <c r="T18" t="s">
        <v>174</v>
      </c>
      <c r="U18" t="s">
        <v>141</v>
      </c>
      <c r="V18" t="s">
        <v>267</v>
      </c>
      <c r="W18" t="s">
        <v>89</v>
      </c>
      <c r="X18" t="s">
        <v>98</v>
      </c>
      <c r="Y18" t="s">
        <v>835</v>
      </c>
      <c r="Z18" t="s">
        <v>177</v>
      </c>
      <c r="AA18" t="s">
        <v>93</v>
      </c>
      <c r="AB18" t="s">
        <v>178</v>
      </c>
      <c r="AC18" t="s">
        <v>836</v>
      </c>
      <c r="AF18" s="6">
        <f>Tabela4[[#This Row],[kan_params]] * 1</f>
        <v>33542</v>
      </c>
      <c r="AG18" s="5">
        <f>Tabela4[[#This Row],[kan_test_acc]] * 1</f>
        <v>0.98601400852203303</v>
      </c>
      <c r="AH18" s="5">
        <f>Tabela4[[#This Row],[mlp_test_acc]] * 1</f>
        <v>0.99300699300699302</v>
      </c>
      <c r="AI18" s="5">
        <f>Tabela4[[#This Row],[mlp2_test_acc]] * 1</f>
        <v>0.99300699300699302</v>
      </c>
    </row>
    <row r="19" spans="1:35" x14ac:dyDescent="0.25">
      <c r="A19" t="s">
        <v>28</v>
      </c>
      <c r="B19" t="s">
        <v>959</v>
      </c>
      <c r="C19" t="s">
        <v>1026</v>
      </c>
      <c r="D19" t="s">
        <v>79</v>
      </c>
      <c r="E19" t="s">
        <v>80</v>
      </c>
      <c r="F19" t="s">
        <v>311</v>
      </c>
      <c r="G19" t="s">
        <v>1042</v>
      </c>
      <c r="H19" t="s">
        <v>1043</v>
      </c>
      <c r="I19" t="s">
        <v>972</v>
      </c>
      <c r="J19" t="s">
        <v>89</v>
      </c>
      <c r="K19" t="s">
        <v>198</v>
      </c>
      <c r="L19" t="s">
        <v>541</v>
      </c>
      <c r="M19" t="s">
        <v>239</v>
      </c>
      <c r="N19" t="s">
        <v>88</v>
      </c>
      <c r="O19" t="s">
        <v>89</v>
      </c>
      <c r="P19" t="s">
        <v>305</v>
      </c>
      <c r="Q19" t="s">
        <v>1044</v>
      </c>
      <c r="R19" t="s">
        <v>155</v>
      </c>
      <c r="S19" t="s">
        <v>93</v>
      </c>
      <c r="T19" t="s">
        <v>156</v>
      </c>
      <c r="U19" t="s">
        <v>239</v>
      </c>
      <c r="V19" t="s">
        <v>88</v>
      </c>
      <c r="W19" t="s">
        <v>89</v>
      </c>
      <c r="X19" t="s">
        <v>98</v>
      </c>
      <c r="Y19" t="s">
        <v>1045</v>
      </c>
      <c r="Z19" t="s">
        <v>162</v>
      </c>
      <c r="AA19" t="s">
        <v>93</v>
      </c>
      <c r="AB19" t="s">
        <v>163</v>
      </c>
      <c r="AC19" t="s">
        <v>1046</v>
      </c>
      <c r="AF19" s="6">
        <f>Tabela4[[#This Row],[kan_params]] * 1</f>
        <v>48032</v>
      </c>
      <c r="AG19" s="5">
        <f>Tabela4[[#This Row],[kan_test_acc]] * 1</f>
        <v>0.98601400852203303</v>
      </c>
      <c r="AH19" s="5">
        <f>Tabela4[[#This Row],[mlp_test_acc]] * 1</f>
        <v>0.98601398601398604</v>
      </c>
      <c r="AI19" s="5">
        <f>Tabela4[[#This Row],[mlp2_test_acc]] * 1</f>
        <v>0.98601398601398604</v>
      </c>
    </row>
    <row r="20" spans="1:35" x14ac:dyDescent="0.25">
      <c r="A20" t="s">
        <v>28</v>
      </c>
      <c r="B20" t="s">
        <v>959</v>
      </c>
      <c r="C20" t="s">
        <v>1026</v>
      </c>
      <c r="D20" t="s">
        <v>79</v>
      </c>
      <c r="E20" t="s">
        <v>80</v>
      </c>
      <c r="F20" t="s">
        <v>347</v>
      </c>
      <c r="G20" t="s">
        <v>1061</v>
      </c>
      <c r="H20" t="s">
        <v>1062</v>
      </c>
      <c r="I20" t="s">
        <v>950</v>
      </c>
      <c r="J20" t="s">
        <v>89</v>
      </c>
      <c r="K20" t="s">
        <v>198</v>
      </c>
      <c r="L20" t="s">
        <v>541</v>
      </c>
      <c r="M20" t="s">
        <v>136</v>
      </c>
      <c r="N20" t="s">
        <v>88</v>
      </c>
      <c r="O20" t="s">
        <v>89</v>
      </c>
      <c r="P20" t="s">
        <v>305</v>
      </c>
      <c r="Q20" t="s">
        <v>1063</v>
      </c>
      <c r="R20" t="s">
        <v>1064</v>
      </c>
      <c r="S20" t="s">
        <v>93</v>
      </c>
      <c r="T20" t="s">
        <v>1065</v>
      </c>
      <c r="U20" t="s">
        <v>239</v>
      </c>
      <c r="V20" t="s">
        <v>88</v>
      </c>
      <c r="W20" t="s">
        <v>89</v>
      </c>
      <c r="X20" t="s">
        <v>98</v>
      </c>
      <c r="Y20" t="s">
        <v>1066</v>
      </c>
      <c r="Z20" t="s">
        <v>1067</v>
      </c>
      <c r="AA20" t="s">
        <v>93</v>
      </c>
      <c r="AB20" t="s">
        <v>1068</v>
      </c>
      <c r="AC20" t="s">
        <v>1069</v>
      </c>
      <c r="AF20" s="6">
        <f>Tabela4[[#This Row],[kan_params]] * 1</f>
        <v>58607</v>
      </c>
      <c r="AG20" s="5">
        <f>Tabela4[[#This Row],[kan_test_acc]] * 1</f>
        <v>0.98601400852203303</v>
      </c>
      <c r="AH20" s="5">
        <f>Tabela4[[#This Row],[mlp_test_acc]] * 1</f>
        <v>0.97902097902097895</v>
      </c>
      <c r="AI20" s="5">
        <f>Tabela4[[#This Row],[mlp2_test_acc]] * 1</f>
        <v>0.98601398601398604</v>
      </c>
    </row>
    <row r="21" spans="1:35" x14ac:dyDescent="0.25">
      <c r="A21" t="s">
        <v>28</v>
      </c>
      <c r="B21" t="s">
        <v>959</v>
      </c>
      <c r="C21" t="s">
        <v>1026</v>
      </c>
      <c r="D21" t="s">
        <v>79</v>
      </c>
      <c r="E21" t="s">
        <v>80</v>
      </c>
      <c r="F21" t="s">
        <v>378</v>
      </c>
      <c r="G21" t="s">
        <v>1077</v>
      </c>
      <c r="H21" t="s">
        <v>1078</v>
      </c>
      <c r="I21" t="s">
        <v>1079</v>
      </c>
      <c r="J21" t="s">
        <v>89</v>
      </c>
      <c r="K21" t="s">
        <v>134</v>
      </c>
      <c r="L21" t="s">
        <v>541</v>
      </c>
      <c r="M21" t="s">
        <v>136</v>
      </c>
      <c r="N21" t="s">
        <v>88</v>
      </c>
      <c r="O21" t="s">
        <v>89</v>
      </c>
      <c r="P21" t="s">
        <v>305</v>
      </c>
      <c r="Q21" t="s">
        <v>1080</v>
      </c>
      <c r="R21" t="s">
        <v>543</v>
      </c>
      <c r="S21" t="s">
        <v>93</v>
      </c>
      <c r="T21" t="s">
        <v>544</v>
      </c>
      <c r="U21" t="s">
        <v>239</v>
      </c>
      <c r="V21" t="s">
        <v>88</v>
      </c>
      <c r="W21" t="s">
        <v>268</v>
      </c>
      <c r="X21" t="s">
        <v>98</v>
      </c>
      <c r="Y21" t="s">
        <v>1081</v>
      </c>
      <c r="Z21" t="s">
        <v>546</v>
      </c>
      <c r="AA21" t="s">
        <v>93</v>
      </c>
      <c r="AB21" t="s">
        <v>547</v>
      </c>
      <c r="AC21" t="s">
        <v>1082</v>
      </c>
      <c r="AF21" s="6">
        <f>Tabela4[[#This Row],[kan_params]] * 1</f>
        <v>43624</v>
      </c>
      <c r="AG21" s="5">
        <f>Tabela4[[#This Row],[kan_test_acc]] * 1</f>
        <v>0.98601400852203303</v>
      </c>
      <c r="AH21" s="5">
        <f>Tabela4[[#This Row],[mlp_test_acc]] * 1</f>
        <v>0.97902097902097895</v>
      </c>
      <c r="AI21" s="5">
        <f>Tabela4[[#This Row],[mlp2_test_acc]] * 1</f>
        <v>0.98601398601398604</v>
      </c>
    </row>
    <row r="22" spans="1:35" x14ac:dyDescent="0.25">
      <c r="A22" t="s">
        <v>28</v>
      </c>
      <c r="B22" t="s">
        <v>959</v>
      </c>
      <c r="C22" t="s">
        <v>1026</v>
      </c>
      <c r="D22" t="s">
        <v>79</v>
      </c>
      <c r="E22" t="s">
        <v>80</v>
      </c>
      <c r="F22" t="s">
        <v>387</v>
      </c>
      <c r="G22" t="s">
        <v>1083</v>
      </c>
      <c r="H22" t="s">
        <v>1084</v>
      </c>
      <c r="I22" t="s">
        <v>1056</v>
      </c>
      <c r="J22" t="s">
        <v>89</v>
      </c>
      <c r="K22" t="s">
        <v>85</v>
      </c>
      <c r="L22" t="s">
        <v>541</v>
      </c>
      <c r="M22" t="s">
        <v>141</v>
      </c>
      <c r="N22" t="s">
        <v>88</v>
      </c>
      <c r="O22" t="s">
        <v>89</v>
      </c>
      <c r="P22" t="s">
        <v>305</v>
      </c>
      <c r="Q22" t="s">
        <v>1085</v>
      </c>
      <c r="R22" t="s">
        <v>753</v>
      </c>
      <c r="S22" t="s">
        <v>93</v>
      </c>
      <c r="T22" t="s">
        <v>754</v>
      </c>
      <c r="U22" t="s">
        <v>239</v>
      </c>
      <c r="V22" t="s">
        <v>88</v>
      </c>
      <c r="W22" t="s">
        <v>243</v>
      </c>
      <c r="X22" t="s">
        <v>98</v>
      </c>
      <c r="Y22" t="s">
        <v>1086</v>
      </c>
      <c r="Z22" t="s">
        <v>155</v>
      </c>
      <c r="AA22" t="s">
        <v>93</v>
      </c>
      <c r="AB22" t="s">
        <v>156</v>
      </c>
      <c r="AC22" t="s">
        <v>1087</v>
      </c>
      <c r="AF22" s="6">
        <f>Tabela4[[#This Row],[kan_params]] * 1</f>
        <v>47369</v>
      </c>
      <c r="AG22" s="5">
        <f>Tabela4[[#This Row],[kan_test_acc]] * 1</f>
        <v>0.98601400852203303</v>
      </c>
      <c r="AH22" s="5">
        <f>Tabela4[[#This Row],[mlp_test_acc]] * 1</f>
        <v>0.99300699300699302</v>
      </c>
      <c r="AI22" s="5">
        <f>Tabela4[[#This Row],[mlp2_test_acc]] * 1</f>
        <v>0.98601398601398604</v>
      </c>
    </row>
    <row r="23" spans="1:35" x14ac:dyDescent="0.25">
      <c r="A23" t="s">
        <v>28</v>
      </c>
      <c r="B23" t="s">
        <v>959</v>
      </c>
      <c r="C23" t="s">
        <v>1026</v>
      </c>
      <c r="D23" t="s">
        <v>79</v>
      </c>
      <c r="E23" t="s">
        <v>80</v>
      </c>
      <c r="F23" t="s">
        <v>41</v>
      </c>
      <c r="G23" t="s">
        <v>1141</v>
      </c>
      <c r="H23" t="s">
        <v>1142</v>
      </c>
      <c r="I23" t="s">
        <v>1143</v>
      </c>
      <c r="J23" t="s">
        <v>89</v>
      </c>
      <c r="K23" t="s">
        <v>85</v>
      </c>
      <c r="L23" t="s">
        <v>541</v>
      </c>
      <c r="M23" t="s">
        <v>119</v>
      </c>
      <c r="N23" t="s">
        <v>267</v>
      </c>
      <c r="O23" t="s">
        <v>89</v>
      </c>
      <c r="P23" t="s">
        <v>510</v>
      </c>
      <c r="Q23" t="s">
        <v>1144</v>
      </c>
      <c r="R23" t="s">
        <v>1073</v>
      </c>
      <c r="S23" t="s">
        <v>93</v>
      </c>
      <c r="T23" t="s">
        <v>1074</v>
      </c>
      <c r="U23" t="s">
        <v>449</v>
      </c>
      <c r="V23" t="s">
        <v>267</v>
      </c>
      <c r="W23" t="s">
        <v>89</v>
      </c>
      <c r="X23" t="s">
        <v>98</v>
      </c>
      <c r="Y23" t="s">
        <v>1145</v>
      </c>
      <c r="Z23" t="s">
        <v>967</v>
      </c>
      <c r="AA23" t="s">
        <v>93</v>
      </c>
      <c r="AB23" t="s">
        <v>968</v>
      </c>
      <c r="AC23" t="s">
        <v>1146</v>
      </c>
      <c r="AF23" s="6">
        <f>Tabela4[[#This Row],[kan_params]] * 1</f>
        <v>62126</v>
      </c>
      <c r="AG23" s="5">
        <f>Tabela4[[#This Row],[kan_test_acc]] * 1</f>
        <v>0.98601400852203303</v>
      </c>
      <c r="AH23" s="5">
        <f>Tabela4[[#This Row],[mlp_test_acc]] * 1</f>
        <v>0.95104895104895104</v>
      </c>
      <c r="AI23" s="5">
        <f>Tabela4[[#This Row],[mlp2_test_acc]] * 1</f>
        <v>0.94405594405594395</v>
      </c>
    </row>
    <row r="24" spans="1:35" x14ac:dyDescent="0.25">
      <c r="A24" t="s">
        <v>28</v>
      </c>
      <c r="B24" t="s">
        <v>959</v>
      </c>
      <c r="C24" t="s">
        <v>1026</v>
      </c>
      <c r="D24" t="s">
        <v>79</v>
      </c>
      <c r="E24" t="s">
        <v>80</v>
      </c>
      <c r="F24" t="s">
        <v>567</v>
      </c>
      <c r="G24" t="s">
        <v>1213</v>
      </c>
      <c r="H24" t="s">
        <v>1214</v>
      </c>
      <c r="I24" t="s">
        <v>1215</v>
      </c>
      <c r="J24" t="s">
        <v>89</v>
      </c>
      <c r="K24" t="s">
        <v>198</v>
      </c>
      <c r="L24" t="s">
        <v>541</v>
      </c>
      <c r="M24" t="s">
        <v>239</v>
      </c>
      <c r="N24" t="s">
        <v>88</v>
      </c>
      <c r="O24" t="s">
        <v>89</v>
      </c>
      <c r="P24" t="s">
        <v>305</v>
      </c>
      <c r="Q24" t="s">
        <v>1216</v>
      </c>
      <c r="R24" t="s">
        <v>952</v>
      </c>
      <c r="S24" t="s">
        <v>93</v>
      </c>
      <c r="T24" t="s">
        <v>953</v>
      </c>
      <c r="U24" t="s">
        <v>87</v>
      </c>
      <c r="V24" t="s">
        <v>88</v>
      </c>
      <c r="W24" t="s">
        <v>110</v>
      </c>
      <c r="X24" t="s">
        <v>98</v>
      </c>
      <c r="Y24" t="s">
        <v>1217</v>
      </c>
      <c r="Z24" t="s">
        <v>956</v>
      </c>
      <c r="AA24" t="s">
        <v>93</v>
      </c>
      <c r="AB24" t="s">
        <v>957</v>
      </c>
      <c r="AC24" t="s">
        <v>1218</v>
      </c>
      <c r="AF24" s="6">
        <f>Tabela4[[#This Row],[kan_params]] * 1</f>
        <v>55955</v>
      </c>
      <c r="AG24" s="5">
        <f>Tabela4[[#This Row],[kan_test_acc]] * 1</f>
        <v>0.98601400852203303</v>
      </c>
      <c r="AH24" s="5">
        <f>Tabela4[[#This Row],[mlp_test_acc]] * 1</f>
        <v>0.98601398601398604</v>
      </c>
      <c r="AI24" s="5">
        <f>Tabela4[[#This Row],[mlp2_test_acc]] * 1</f>
        <v>0.97202797202797198</v>
      </c>
    </row>
    <row r="25" spans="1:35" x14ac:dyDescent="0.25">
      <c r="A25" t="s">
        <v>28</v>
      </c>
      <c r="B25" t="s">
        <v>959</v>
      </c>
      <c r="C25" t="s">
        <v>1026</v>
      </c>
      <c r="D25" t="s">
        <v>79</v>
      </c>
      <c r="E25" t="s">
        <v>80</v>
      </c>
      <c r="F25" t="s">
        <v>37</v>
      </c>
      <c r="G25" t="s">
        <v>1290</v>
      </c>
      <c r="H25" t="s">
        <v>1291</v>
      </c>
      <c r="I25" t="s">
        <v>163</v>
      </c>
      <c r="J25" t="s">
        <v>89</v>
      </c>
      <c r="K25" t="s">
        <v>198</v>
      </c>
      <c r="L25" t="s">
        <v>541</v>
      </c>
      <c r="M25" t="s">
        <v>87</v>
      </c>
      <c r="N25" t="s">
        <v>254</v>
      </c>
      <c r="O25" t="s">
        <v>268</v>
      </c>
      <c r="P25" t="s">
        <v>1292</v>
      </c>
      <c r="Q25" t="s">
        <v>1293</v>
      </c>
      <c r="R25" t="s">
        <v>543</v>
      </c>
      <c r="S25" t="s">
        <v>93</v>
      </c>
      <c r="T25" t="s">
        <v>544</v>
      </c>
      <c r="U25" t="s">
        <v>87</v>
      </c>
      <c r="V25" t="s">
        <v>267</v>
      </c>
      <c r="W25" t="s">
        <v>89</v>
      </c>
      <c r="X25" t="s">
        <v>1294</v>
      </c>
      <c r="Y25" t="s">
        <v>1295</v>
      </c>
      <c r="Z25" t="s">
        <v>546</v>
      </c>
      <c r="AA25" t="s">
        <v>93</v>
      </c>
      <c r="AB25" t="s">
        <v>547</v>
      </c>
      <c r="AC25" t="s">
        <v>1296</v>
      </c>
      <c r="AF25" s="6">
        <f>Tabela4[[#This Row],[kan_params]] * 1</f>
        <v>43712</v>
      </c>
      <c r="AG25" s="5">
        <f>Tabela4[[#This Row],[kan_test_acc]] * 1</f>
        <v>0.98601400852203303</v>
      </c>
      <c r="AH25" s="5">
        <f>Tabela4[[#This Row],[mlp_test_acc]] * 1</f>
        <v>0.97202797202797198</v>
      </c>
      <c r="AI25" s="5">
        <f>Tabela4[[#This Row],[mlp2_test_acc]] * 1</f>
        <v>0.97202797202797198</v>
      </c>
    </row>
    <row r="26" spans="1:35" x14ac:dyDescent="0.25">
      <c r="A26" t="s">
        <v>28</v>
      </c>
      <c r="B26" t="s">
        <v>273</v>
      </c>
      <c r="C26" t="s">
        <v>79</v>
      </c>
      <c r="D26" t="s">
        <v>274</v>
      </c>
      <c r="E26" t="s">
        <v>80</v>
      </c>
      <c r="F26" t="s">
        <v>334</v>
      </c>
      <c r="G26" t="s">
        <v>335</v>
      </c>
      <c r="H26" t="s">
        <v>336</v>
      </c>
      <c r="I26" t="s">
        <v>337</v>
      </c>
      <c r="J26" t="s">
        <v>89</v>
      </c>
      <c r="K26" t="s">
        <v>198</v>
      </c>
      <c r="L26" t="s">
        <v>338</v>
      </c>
      <c r="M26" t="s">
        <v>136</v>
      </c>
      <c r="N26" t="s">
        <v>89</v>
      </c>
      <c r="O26" t="s">
        <v>89</v>
      </c>
      <c r="P26" t="s">
        <v>120</v>
      </c>
      <c r="Q26" t="s">
        <v>339</v>
      </c>
      <c r="R26" t="s">
        <v>340</v>
      </c>
      <c r="S26" t="s">
        <v>93</v>
      </c>
      <c r="T26" t="s">
        <v>341</v>
      </c>
      <c r="U26" t="s">
        <v>95</v>
      </c>
      <c r="V26" t="s">
        <v>89</v>
      </c>
      <c r="W26" t="s">
        <v>89</v>
      </c>
      <c r="X26" t="s">
        <v>342</v>
      </c>
      <c r="Y26" t="s">
        <v>343</v>
      </c>
      <c r="Z26" t="s">
        <v>344</v>
      </c>
      <c r="AA26" t="s">
        <v>93</v>
      </c>
      <c r="AB26" t="s">
        <v>345</v>
      </c>
      <c r="AC26" t="s">
        <v>346</v>
      </c>
      <c r="AF26" s="6">
        <f>Tabela4[[#This Row],[kan_params]] * 1</f>
        <v>32582</v>
      </c>
      <c r="AG26" s="5">
        <f>Tabela4[[#This Row],[kan_test_acc]] * 1</f>
        <v>0.97902095317840498</v>
      </c>
      <c r="AH26" s="5">
        <f>Tabela4[[#This Row],[mlp_test_acc]] * 1</f>
        <v>0.97902097902097895</v>
      </c>
      <c r="AI26" s="5">
        <f>Tabela4[[#This Row],[mlp2_test_acc]] * 1</f>
        <v>0.965034965034965</v>
      </c>
    </row>
    <row r="27" spans="1:35" x14ac:dyDescent="0.25">
      <c r="A27" t="s">
        <v>28</v>
      </c>
      <c r="B27" t="s">
        <v>273</v>
      </c>
      <c r="C27" t="s">
        <v>79</v>
      </c>
      <c r="D27" t="s">
        <v>274</v>
      </c>
      <c r="E27" t="s">
        <v>80</v>
      </c>
      <c r="F27" t="s">
        <v>347</v>
      </c>
      <c r="G27" t="s">
        <v>348</v>
      </c>
      <c r="H27" t="s">
        <v>349</v>
      </c>
      <c r="I27" t="s">
        <v>350</v>
      </c>
      <c r="J27" t="s">
        <v>89</v>
      </c>
      <c r="K27" t="s">
        <v>89</v>
      </c>
      <c r="L27" t="s">
        <v>338</v>
      </c>
      <c r="M27" t="s">
        <v>136</v>
      </c>
      <c r="N27" t="s">
        <v>89</v>
      </c>
      <c r="O27" t="s">
        <v>89</v>
      </c>
      <c r="P27" t="s">
        <v>263</v>
      </c>
      <c r="Q27" t="s">
        <v>351</v>
      </c>
      <c r="R27" t="s">
        <v>352</v>
      </c>
      <c r="S27" t="s">
        <v>93</v>
      </c>
      <c r="T27" t="s">
        <v>353</v>
      </c>
      <c r="U27" t="s">
        <v>87</v>
      </c>
      <c r="V27" t="s">
        <v>96</v>
      </c>
      <c r="W27" t="s">
        <v>97</v>
      </c>
      <c r="X27" t="s">
        <v>98</v>
      </c>
      <c r="Y27" t="s">
        <v>354</v>
      </c>
      <c r="Z27" t="s">
        <v>355</v>
      </c>
      <c r="AA27" t="s">
        <v>93</v>
      </c>
      <c r="AB27" t="s">
        <v>356</v>
      </c>
      <c r="AC27" t="s">
        <v>357</v>
      </c>
      <c r="AF27" s="6">
        <f>Tabela4[[#This Row],[kan_params]] * 1</f>
        <v>34667</v>
      </c>
      <c r="AG27" s="5">
        <f>Tabela4[[#This Row],[kan_test_acc]] * 1</f>
        <v>0.97902095317840498</v>
      </c>
      <c r="AH27" s="5">
        <f>Tabela4[[#This Row],[mlp_test_acc]] * 1</f>
        <v>0.97902097902097895</v>
      </c>
      <c r="AI27" s="5">
        <f>Tabela4[[#This Row],[mlp2_test_acc]] * 1</f>
        <v>0.97202797202797198</v>
      </c>
    </row>
    <row r="28" spans="1:35" x14ac:dyDescent="0.25">
      <c r="A28" t="s">
        <v>28</v>
      </c>
      <c r="B28" t="s">
        <v>273</v>
      </c>
      <c r="C28" t="s">
        <v>79</v>
      </c>
      <c r="D28" t="s">
        <v>274</v>
      </c>
      <c r="E28" t="s">
        <v>80</v>
      </c>
      <c r="F28" t="s">
        <v>31</v>
      </c>
      <c r="G28" t="s">
        <v>368</v>
      </c>
      <c r="H28" t="s">
        <v>369</v>
      </c>
      <c r="I28" t="s">
        <v>370</v>
      </c>
      <c r="J28" t="s">
        <v>89</v>
      </c>
      <c r="K28" t="s">
        <v>198</v>
      </c>
      <c r="L28" t="s">
        <v>338</v>
      </c>
      <c r="M28" t="s">
        <v>95</v>
      </c>
      <c r="N28" t="s">
        <v>267</v>
      </c>
      <c r="O28" t="s">
        <v>89</v>
      </c>
      <c r="P28" t="s">
        <v>371</v>
      </c>
      <c r="Q28" t="s">
        <v>372</v>
      </c>
      <c r="R28" t="s">
        <v>373</v>
      </c>
      <c r="S28" t="s">
        <v>93</v>
      </c>
      <c r="T28" t="s">
        <v>374</v>
      </c>
      <c r="U28" t="s">
        <v>205</v>
      </c>
      <c r="V28" t="s">
        <v>267</v>
      </c>
      <c r="W28" t="s">
        <v>89</v>
      </c>
      <c r="X28" t="s">
        <v>375</v>
      </c>
      <c r="Y28" t="s">
        <v>376</v>
      </c>
      <c r="Z28" t="s">
        <v>108</v>
      </c>
      <c r="AA28" t="s">
        <v>93</v>
      </c>
      <c r="AB28" t="s">
        <v>109</v>
      </c>
      <c r="AC28" t="s">
        <v>377</v>
      </c>
      <c r="AF28" s="6">
        <f>Tabela4[[#This Row],[kan_params]] * 1</f>
        <v>13346</v>
      </c>
      <c r="AG28" s="5">
        <f>Tabela4[[#This Row],[kan_test_acc]] * 1</f>
        <v>0.97902095317840498</v>
      </c>
      <c r="AH28" s="5">
        <f>Tabela4[[#This Row],[mlp_test_acc]] * 1</f>
        <v>0.965034965034965</v>
      </c>
      <c r="AI28" s="5">
        <f>Tabela4[[#This Row],[mlp2_test_acc]] * 1</f>
        <v>0.95804195804195802</v>
      </c>
    </row>
    <row r="29" spans="1:35" x14ac:dyDescent="0.25">
      <c r="A29" t="s">
        <v>28</v>
      </c>
      <c r="B29" t="s">
        <v>273</v>
      </c>
      <c r="C29" t="s">
        <v>79</v>
      </c>
      <c r="D29" t="s">
        <v>274</v>
      </c>
      <c r="E29" t="s">
        <v>80</v>
      </c>
      <c r="F29" t="s">
        <v>414</v>
      </c>
      <c r="G29" t="s">
        <v>415</v>
      </c>
      <c r="H29" t="s">
        <v>416</v>
      </c>
      <c r="I29" t="s">
        <v>417</v>
      </c>
      <c r="J29" t="s">
        <v>89</v>
      </c>
      <c r="K29" t="s">
        <v>198</v>
      </c>
      <c r="L29" t="s">
        <v>338</v>
      </c>
      <c r="M29" t="s">
        <v>87</v>
      </c>
      <c r="N29" t="s">
        <v>88</v>
      </c>
      <c r="O29" t="s">
        <v>89</v>
      </c>
      <c r="P29" t="s">
        <v>263</v>
      </c>
      <c r="Q29" t="s">
        <v>418</v>
      </c>
      <c r="R29" t="s">
        <v>352</v>
      </c>
      <c r="S29" t="s">
        <v>93</v>
      </c>
      <c r="T29" t="s">
        <v>353</v>
      </c>
      <c r="U29" t="s">
        <v>136</v>
      </c>
      <c r="V29" t="s">
        <v>267</v>
      </c>
      <c r="W29" t="s">
        <v>89</v>
      </c>
      <c r="X29" t="s">
        <v>98</v>
      </c>
      <c r="Y29" t="s">
        <v>419</v>
      </c>
      <c r="Z29" t="s">
        <v>355</v>
      </c>
      <c r="AA29" t="s">
        <v>93</v>
      </c>
      <c r="AB29" t="s">
        <v>356</v>
      </c>
      <c r="AC29" t="s">
        <v>420</v>
      </c>
      <c r="AF29" s="6">
        <f>Tabela4[[#This Row],[kan_params]] * 1</f>
        <v>34664</v>
      </c>
      <c r="AG29" s="5">
        <f>Tabela4[[#This Row],[kan_test_acc]] * 1</f>
        <v>0.97902095317840498</v>
      </c>
      <c r="AH29" s="5">
        <f>Tabela4[[#This Row],[mlp_test_acc]] * 1</f>
        <v>0.97202797202797198</v>
      </c>
      <c r="AI29" s="5">
        <f>Tabela4[[#This Row],[mlp2_test_acc]] * 1</f>
        <v>0.97902097902097895</v>
      </c>
    </row>
    <row r="30" spans="1:35" x14ac:dyDescent="0.25">
      <c r="A30" t="s">
        <v>28</v>
      </c>
      <c r="B30" t="s">
        <v>273</v>
      </c>
      <c r="C30" t="s">
        <v>79</v>
      </c>
      <c r="D30" t="s">
        <v>274</v>
      </c>
      <c r="E30" t="s">
        <v>80</v>
      </c>
      <c r="F30" t="s">
        <v>560</v>
      </c>
      <c r="G30" t="s">
        <v>561</v>
      </c>
      <c r="H30" t="s">
        <v>562</v>
      </c>
      <c r="I30" t="s">
        <v>563</v>
      </c>
      <c r="J30" t="s">
        <v>89</v>
      </c>
      <c r="K30" t="s">
        <v>89</v>
      </c>
      <c r="L30" t="s">
        <v>338</v>
      </c>
      <c r="M30" t="s">
        <v>95</v>
      </c>
      <c r="N30" t="s">
        <v>88</v>
      </c>
      <c r="O30" t="s">
        <v>89</v>
      </c>
      <c r="P30" t="s">
        <v>263</v>
      </c>
      <c r="Q30" t="s">
        <v>564</v>
      </c>
      <c r="R30" t="s">
        <v>327</v>
      </c>
      <c r="S30" t="s">
        <v>93</v>
      </c>
      <c r="T30" t="s">
        <v>328</v>
      </c>
      <c r="U30" t="s">
        <v>95</v>
      </c>
      <c r="V30" t="s">
        <v>96</v>
      </c>
      <c r="W30" t="s">
        <v>110</v>
      </c>
      <c r="X30" t="s">
        <v>98</v>
      </c>
      <c r="Y30" t="s">
        <v>565</v>
      </c>
      <c r="Z30" t="s">
        <v>331</v>
      </c>
      <c r="AA30" t="s">
        <v>93</v>
      </c>
      <c r="AB30" t="s">
        <v>332</v>
      </c>
      <c r="AC30" t="s">
        <v>566</v>
      </c>
      <c r="AF30" s="6">
        <f>Tabela4[[#This Row],[kan_params]] * 1</f>
        <v>30490</v>
      </c>
      <c r="AG30" s="5">
        <f>Tabela4[[#This Row],[kan_test_acc]] * 1</f>
        <v>0.97902095317840498</v>
      </c>
      <c r="AH30" s="5">
        <f>Tabela4[[#This Row],[mlp_test_acc]] * 1</f>
        <v>0.965034965034965</v>
      </c>
      <c r="AI30" s="5">
        <f>Tabela4[[#This Row],[mlp2_test_acc]] * 1</f>
        <v>0.965034965034965</v>
      </c>
    </row>
    <row r="31" spans="1:35" x14ac:dyDescent="0.25">
      <c r="A31" t="s">
        <v>28</v>
      </c>
      <c r="B31" t="s">
        <v>273</v>
      </c>
      <c r="C31" t="s">
        <v>79</v>
      </c>
      <c r="D31" t="s">
        <v>274</v>
      </c>
      <c r="E31" t="s">
        <v>80</v>
      </c>
      <c r="F31" t="s">
        <v>601</v>
      </c>
      <c r="G31" t="s">
        <v>602</v>
      </c>
      <c r="H31" t="s">
        <v>603</v>
      </c>
      <c r="I31" t="s">
        <v>604</v>
      </c>
      <c r="J31" t="s">
        <v>89</v>
      </c>
      <c r="K31" t="s">
        <v>85</v>
      </c>
      <c r="L31" t="s">
        <v>338</v>
      </c>
      <c r="M31" t="s">
        <v>205</v>
      </c>
      <c r="N31" t="s">
        <v>96</v>
      </c>
      <c r="O31" t="s">
        <v>89</v>
      </c>
      <c r="P31" t="s">
        <v>263</v>
      </c>
      <c r="Q31" t="s">
        <v>605</v>
      </c>
      <c r="R31" t="s">
        <v>543</v>
      </c>
      <c r="S31" t="s">
        <v>93</v>
      </c>
      <c r="T31" t="s">
        <v>544</v>
      </c>
      <c r="U31" t="s">
        <v>87</v>
      </c>
      <c r="V31" t="s">
        <v>96</v>
      </c>
      <c r="W31" t="s">
        <v>110</v>
      </c>
      <c r="X31" t="s">
        <v>98</v>
      </c>
      <c r="Y31" t="s">
        <v>606</v>
      </c>
      <c r="Z31" t="s">
        <v>546</v>
      </c>
      <c r="AA31" t="s">
        <v>93</v>
      </c>
      <c r="AB31" t="s">
        <v>547</v>
      </c>
      <c r="AC31" t="s">
        <v>607</v>
      </c>
      <c r="AF31" s="6">
        <f>Tabela4[[#This Row],[kan_params]] * 1</f>
        <v>43515</v>
      </c>
      <c r="AG31" s="5">
        <f>Tabela4[[#This Row],[kan_test_acc]] * 1</f>
        <v>0.97902095317840498</v>
      </c>
      <c r="AH31" s="5">
        <f>Tabela4[[#This Row],[mlp_test_acc]] * 1</f>
        <v>0.95804195804195802</v>
      </c>
      <c r="AI31" s="5">
        <f>Tabela4[[#This Row],[mlp2_test_acc]] * 1</f>
        <v>0.97202797202797198</v>
      </c>
    </row>
    <row r="32" spans="1:35" x14ac:dyDescent="0.25">
      <c r="A32" t="s">
        <v>28</v>
      </c>
      <c r="B32" t="s">
        <v>273</v>
      </c>
      <c r="C32" t="s">
        <v>79</v>
      </c>
      <c r="D32" t="s">
        <v>274</v>
      </c>
      <c r="E32" t="s">
        <v>80</v>
      </c>
      <c r="F32" t="s">
        <v>33</v>
      </c>
      <c r="G32" t="s">
        <v>617</v>
      </c>
      <c r="H32" t="s">
        <v>618</v>
      </c>
      <c r="I32" t="s">
        <v>619</v>
      </c>
      <c r="J32" t="s">
        <v>84</v>
      </c>
      <c r="K32" t="s">
        <v>89</v>
      </c>
      <c r="L32" t="s">
        <v>338</v>
      </c>
      <c r="M32" t="s">
        <v>509</v>
      </c>
      <c r="N32" t="s">
        <v>89</v>
      </c>
      <c r="O32" t="s">
        <v>620</v>
      </c>
      <c r="P32" t="s">
        <v>621</v>
      </c>
      <c r="Q32" t="s">
        <v>622</v>
      </c>
      <c r="R32" t="s">
        <v>623</v>
      </c>
      <c r="S32" t="s">
        <v>93</v>
      </c>
      <c r="T32" t="s">
        <v>624</v>
      </c>
      <c r="U32" t="s">
        <v>509</v>
      </c>
      <c r="V32" t="s">
        <v>89</v>
      </c>
      <c r="W32" t="s">
        <v>625</v>
      </c>
      <c r="X32" t="s">
        <v>626</v>
      </c>
      <c r="Y32" t="s">
        <v>627</v>
      </c>
      <c r="Z32" t="s">
        <v>628</v>
      </c>
      <c r="AA32" t="s">
        <v>93</v>
      </c>
      <c r="AB32" t="s">
        <v>629</v>
      </c>
      <c r="AC32" t="s">
        <v>630</v>
      </c>
      <c r="AF32" s="6">
        <f>Tabela4[[#This Row],[kan_params]] * 1</f>
        <v>17516</v>
      </c>
      <c r="AG32" s="5">
        <f>Tabela4[[#This Row],[kan_test_acc]] * 1</f>
        <v>0.97902095317840498</v>
      </c>
      <c r="AH32" s="5">
        <f>Tabela4[[#This Row],[mlp_test_acc]] * 1</f>
        <v>0.92307692307692302</v>
      </c>
      <c r="AI32" s="5">
        <f>Tabela4[[#This Row],[mlp2_test_acc]] * 1</f>
        <v>0.92307692307692302</v>
      </c>
    </row>
    <row r="33" spans="1:35" x14ac:dyDescent="0.25">
      <c r="A33" t="s">
        <v>28</v>
      </c>
      <c r="B33" t="s">
        <v>78</v>
      </c>
      <c r="C33" t="s">
        <v>666</v>
      </c>
      <c r="D33" t="s">
        <v>274</v>
      </c>
      <c r="E33" t="s">
        <v>80</v>
      </c>
      <c r="F33" t="s">
        <v>41</v>
      </c>
      <c r="G33" t="s">
        <v>692</v>
      </c>
      <c r="H33" t="s">
        <v>693</v>
      </c>
      <c r="I33" t="s">
        <v>694</v>
      </c>
      <c r="J33" t="s">
        <v>89</v>
      </c>
      <c r="K33" t="s">
        <v>89</v>
      </c>
      <c r="L33" t="s">
        <v>338</v>
      </c>
      <c r="M33" t="s">
        <v>141</v>
      </c>
      <c r="N33" t="s">
        <v>89</v>
      </c>
      <c r="O33" t="s">
        <v>89</v>
      </c>
      <c r="P33" t="s">
        <v>695</v>
      </c>
      <c r="Q33" t="s">
        <v>696</v>
      </c>
      <c r="R33" t="s">
        <v>697</v>
      </c>
      <c r="S33" t="s">
        <v>93</v>
      </c>
      <c r="T33" t="s">
        <v>698</v>
      </c>
      <c r="U33" t="s">
        <v>89</v>
      </c>
      <c r="V33" t="s">
        <v>89</v>
      </c>
      <c r="W33" t="s">
        <v>89</v>
      </c>
      <c r="X33" t="s">
        <v>699</v>
      </c>
      <c r="Y33" t="s">
        <v>700</v>
      </c>
      <c r="Z33" t="s">
        <v>701</v>
      </c>
      <c r="AA33" t="s">
        <v>93</v>
      </c>
      <c r="AB33" t="s">
        <v>702</v>
      </c>
      <c r="AC33" t="s">
        <v>703</v>
      </c>
      <c r="AF33" s="6">
        <f>Tabela4[[#This Row],[kan_params]] * 1</f>
        <v>42386</v>
      </c>
      <c r="AG33" s="5">
        <f>Tabela4[[#This Row],[kan_test_acc]] * 1</f>
        <v>0.97902095317840498</v>
      </c>
      <c r="AH33" s="5">
        <f>Tabela4[[#This Row],[mlp_test_acc]] * 1</f>
        <v>0.99300699300699302</v>
      </c>
      <c r="AI33" s="5">
        <f>Tabela4[[#This Row],[mlp2_test_acc]] * 1</f>
        <v>1</v>
      </c>
    </row>
    <row r="34" spans="1:35" x14ac:dyDescent="0.25">
      <c r="A34" t="s">
        <v>28</v>
      </c>
      <c r="B34" t="s">
        <v>78</v>
      </c>
      <c r="C34" t="s">
        <v>666</v>
      </c>
      <c r="D34" t="s">
        <v>274</v>
      </c>
      <c r="E34" t="s">
        <v>80</v>
      </c>
      <c r="F34" t="s">
        <v>530</v>
      </c>
      <c r="G34" t="s">
        <v>749</v>
      </c>
      <c r="H34" t="s">
        <v>750</v>
      </c>
      <c r="I34" t="s">
        <v>751</v>
      </c>
      <c r="J34" t="s">
        <v>89</v>
      </c>
      <c r="K34" t="s">
        <v>89</v>
      </c>
      <c r="L34" t="s">
        <v>338</v>
      </c>
      <c r="M34" t="s">
        <v>87</v>
      </c>
      <c r="N34" t="s">
        <v>88</v>
      </c>
      <c r="O34" t="s">
        <v>89</v>
      </c>
      <c r="P34" t="s">
        <v>263</v>
      </c>
      <c r="Q34" t="s">
        <v>752</v>
      </c>
      <c r="R34" t="s">
        <v>753</v>
      </c>
      <c r="S34" t="s">
        <v>93</v>
      </c>
      <c r="T34" t="s">
        <v>754</v>
      </c>
      <c r="U34" t="s">
        <v>87</v>
      </c>
      <c r="V34" t="s">
        <v>88</v>
      </c>
      <c r="W34" t="s">
        <v>110</v>
      </c>
      <c r="X34" t="s">
        <v>98</v>
      </c>
      <c r="Y34" t="s">
        <v>755</v>
      </c>
      <c r="Z34" t="s">
        <v>155</v>
      </c>
      <c r="AA34" t="s">
        <v>93</v>
      </c>
      <c r="AB34" t="s">
        <v>156</v>
      </c>
      <c r="AC34" t="s">
        <v>756</v>
      </c>
      <c r="AF34" s="6">
        <f>Tabela4[[#This Row],[kan_params]] * 1</f>
        <v>47643</v>
      </c>
      <c r="AG34" s="5">
        <f>Tabela4[[#This Row],[kan_test_acc]] * 1</f>
        <v>0.97902095317840498</v>
      </c>
      <c r="AH34" s="5">
        <f>Tabela4[[#This Row],[mlp_test_acc]] * 1</f>
        <v>0.97202797202797198</v>
      </c>
      <c r="AI34" s="5">
        <f>Tabela4[[#This Row],[mlp2_test_acc]] * 1</f>
        <v>0.97202797202797198</v>
      </c>
    </row>
    <row r="35" spans="1:35" x14ac:dyDescent="0.25">
      <c r="A35" t="s">
        <v>28</v>
      </c>
      <c r="B35" t="s">
        <v>814</v>
      </c>
      <c r="C35" t="s">
        <v>666</v>
      </c>
      <c r="D35" t="s">
        <v>79</v>
      </c>
      <c r="E35" t="s">
        <v>80</v>
      </c>
      <c r="F35" t="s">
        <v>31</v>
      </c>
      <c r="G35" t="s">
        <v>849</v>
      </c>
      <c r="H35" t="s">
        <v>850</v>
      </c>
      <c r="I35" t="s">
        <v>851</v>
      </c>
      <c r="J35" t="s">
        <v>89</v>
      </c>
      <c r="K35" t="s">
        <v>85</v>
      </c>
      <c r="L35" t="s">
        <v>338</v>
      </c>
      <c r="M35" t="s">
        <v>205</v>
      </c>
      <c r="N35" t="s">
        <v>88</v>
      </c>
      <c r="O35" t="s">
        <v>89</v>
      </c>
      <c r="P35" t="s">
        <v>240</v>
      </c>
      <c r="Q35" t="s">
        <v>852</v>
      </c>
      <c r="R35" t="s">
        <v>853</v>
      </c>
      <c r="S35" t="s">
        <v>93</v>
      </c>
      <c r="T35" t="s">
        <v>854</v>
      </c>
      <c r="U35" t="s">
        <v>119</v>
      </c>
      <c r="V35" t="s">
        <v>88</v>
      </c>
      <c r="W35" t="s">
        <v>217</v>
      </c>
      <c r="X35" t="s">
        <v>98</v>
      </c>
      <c r="Y35" t="s">
        <v>855</v>
      </c>
      <c r="Z35" t="s">
        <v>856</v>
      </c>
      <c r="AA35" t="s">
        <v>93</v>
      </c>
      <c r="AB35" t="s">
        <v>857</v>
      </c>
      <c r="AC35" t="s">
        <v>858</v>
      </c>
      <c r="AF35" s="6">
        <f>Tabela4[[#This Row],[kan_params]] * 1</f>
        <v>18466</v>
      </c>
      <c r="AG35" s="5">
        <f>Tabela4[[#This Row],[kan_test_acc]] * 1</f>
        <v>0.97902095317840498</v>
      </c>
      <c r="AH35" s="5">
        <f>Tabela4[[#This Row],[mlp_test_acc]] * 1</f>
        <v>0.95804195804195802</v>
      </c>
      <c r="AI35" s="5">
        <f>Tabela4[[#This Row],[mlp2_test_acc]] * 1</f>
        <v>0.95104895104895104</v>
      </c>
    </row>
    <row r="36" spans="1:35" x14ac:dyDescent="0.25">
      <c r="A36" t="s">
        <v>28</v>
      </c>
      <c r="B36" t="s">
        <v>814</v>
      </c>
      <c r="C36" t="s">
        <v>666</v>
      </c>
      <c r="D36" t="s">
        <v>79</v>
      </c>
      <c r="E36" t="s">
        <v>80</v>
      </c>
      <c r="F36" t="s">
        <v>34</v>
      </c>
      <c r="G36" t="s">
        <v>874</v>
      </c>
      <c r="H36" t="s">
        <v>875</v>
      </c>
      <c r="I36" t="s">
        <v>876</v>
      </c>
      <c r="J36" t="s">
        <v>89</v>
      </c>
      <c r="K36" t="s">
        <v>85</v>
      </c>
      <c r="L36" t="s">
        <v>338</v>
      </c>
      <c r="M36" t="s">
        <v>239</v>
      </c>
      <c r="N36" t="s">
        <v>88</v>
      </c>
      <c r="O36" t="s">
        <v>89</v>
      </c>
      <c r="P36" t="s">
        <v>263</v>
      </c>
      <c r="Q36" t="s">
        <v>877</v>
      </c>
      <c r="R36" t="s">
        <v>256</v>
      </c>
      <c r="S36" t="s">
        <v>93</v>
      </c>
      <c r="T36" t="s">
        <v>257</v>
      </c>
      <c r="U36" t="s">
        <v>141</v>
      </c>
      <c r="V36" t="s">
        <v>96</v>
      </c>
      <c r="W36" t="s">
        <v>89</v>
      </c>
      <c r="X36" t="s">
        <v>98</v>
      </c>
      <c r="Y36" t="s">
        <v>878</v>
      </c>
      <c r="Z36" t="s">
        <v>392</v>
      </c>
      <c r="AA36" t="s">
        <v>93</v>
      </c>
      <c r="AB36" t="s">
        <v>393</v>
      </c>
      <c r="AC36" t="s">
        <v>879</v>
      </c>
      <c r="AF36" s="6">
        <f>Tabela4[[#This Row],[kan_params]] * 1</f>
        <v>27121</v>
      </c>
      <c r="AG36" s="5">
        <f>Tabela4[[#This Row],[kan_test_acc]] * 1</f>
        <v>0.97902095317840498</v>
      </c>
      <c r="AH36" s="5">
        <f>Tabela4[[#This Row],[mlp_test_acc]] * 1</f>
        <v>0.98601398601398604</v>
      </c>
      <c r="AI36" s="5">
        <f>Tabela4[[#This Row],[mlp2_test_acc]] * 1</f>
        <v>0.99300699300699302</v>
      </c>
    </row>
    <row r="37" spans="1:35" x14ac:dyDescent="0.25">
      <c r="A37" t="s">
        <v>28</v>
      </c>
      <c r="B37" t="s">
        <v>959</v>
      </c>
      <c r="C37" t="s">
        <v>1026</v>
      </c>
      <c r="D37" t="s">
        <v>79</v>
      </c>
      <c r="E37" t="s">
        <v>80</v>
      </c>
      <c r="F37" t="s">
        <v>322</v>
      </c>
      <c r="G37" t="s">
        <v>1047</v>
      </c>
      <c r="H37" t="s">
        <v>1048</v>
      </c>
      <c r="I37" t="s">
        <v>941</v>
      </c>
      <c r="J37" t="s">
        <v>89</v>
      </c>
      <c r="K37" t="s">
        <v>198</v>
      </c>
      <c r="L37" t="s">
        <v>338</v>
      </c>
      <c r="M37" t="s">
        <v>239</v>
      </c>
      <c r="N37" t="s">
        <v>88</v>
      </c>
      <c r="O37" t="s">
        <v>89</v>
      </c>
      <c r="P37" t="s">
        <v>510</v>
      </c>
      <c r="Q37" t="s">
        <v>1049</v>
      </c>
      <c r="R37" t="s">
        <v>1050</v>
      </c>
      <c r="S37" t="s">
        <v>93</v>
      </c>
      <c r="T37" t="s">
        <v>1051</v>
      </c>
      <c r="U37" t="s">
        <v>239</v>
      </c>
      <c r="V37" t="s">
        <v>88</v>
      </c>
      <c r="W37" t="s">
        <v>268</v>
      </c>
      <c r="X37" t="s">
        <v>98</v>
      </c>
      <c r="Y37" t="s">
        <v>1052</v>
      </c>
      <c r="Z37" t="s">
        <v>939</v>
      </c>
      <c r="AA37" t="s">
        <v>93</v>
      </c>
      <c r="AB37" t="s">
        <v>940</v>
      </c>
      <c r="AC37" t="s">
        <v>1053</v>
      </c>
      <c r="AF37" s="6">
        <f>Tabela4[[#This Row],[kan_params]] * 1</f>
        <v>51557</v>
      </c>
      <c r="AG37" s="5">
        <f>Tabela4[[#This Row],[kan_test_acc]] * 1</f>
        <v>0.97902095317840498</v>
      </c>
      <c r="AH37" s="5">
        <f>Tabela4[[#This Row],[mlp_test_acc]] * 1</f>
        <v>0.98601398601398604</v>
      </c>
      <c r="AI37" s="5">
        <f>Tabela4[[#This Row],[mlp2_test_acc]] * 1</f>
        <v>0.98601398601398604</v>
      </c>
    </row>
    <row r="38" spans="1:35" x14ac:dyDescent="0.25">
      <c r="A38" t="s">
        <v>28</v>
      </c>
      <c r="B38" t="s">
        <v>959</v>
      </c>
      <c r="C38" t="s">
        <v>1026</v>
      </c>
      <c r="D38" t="s">
        <v>79</v>
      </c>
      <c r="E38" t="s">
        <v>80</v>
      </c>
      <c r="F38" t="s">
        <v>334</v>
      </c>
      <c r="G38" t="s">
        <v>1054</v>
      </c>
      <c r="H38" t="s">
        <v>1055</v>
      </c>
      <c r="I38" t="s">
        <v>1056</v>
      </c>
      <c r="J38" t="s">
        <v>89</v>
      </c>
      <c r="K38" t="s">
        <v>85</v>
      </c>
      <c r="L38" t="s">
        <v>338</v>
      </c>
      <c r="M38" t="s">
        <v>239</v>
      </c>
      <c r="N38" t="s">
        <v>96</v>
      </c>
      <c r="O38" t="s">
        <v>89</v>
      </c>
      <c r="P38" t="s">
        <v>510</v>
      </c>
      <c r="Q38" t="s">
        <v>1057</v>
      </c>
      <c r="R38" t="s">
        <v>1058</v>
      </c>
      <c r="S38" t="s">
        <v>93</v>
      </c>
      <c r="T38" t="s">
        <v>925</v>
      </c>
      <c r="U38" t="s">
        <v>239</v>
      </c>
      <c r="V38" t="s">
        <v>96</v>
      </c>
      <c r="W38" t="s">
        <v>268</v>
      </c>
      <c r="X38" t="s">
        <v>98</v>
      </c>
      <c r="Y38" t="s">
        <v>1059</v>
      </c>
      <c r="Z38" t="s">
        <v>952</v>
      </c>
      <c r="AA38" t="s">
        <v>93</v>
      </c>
      <c r="AB38" t="s">
        <v>953</v>
      </c>
      <c r="AC38" t="s">
        <v>1060</v>
      </c>
      <c r="AF38" s="6">
        <f>Tabela4[[#This Row],[kan_params]] * 1</f>
        <v>55082</v>
      </c>
      <c r="AG38" s="5">
        <f>Tabela4[[#This Row],[kan_test_acc]] * 1</f>
        <v>0.97902095317840498</v>
      </c>
      <c r="AH38" s="5">
        <f>Tabela4[[#This Row],[mlp_test_acc]] * 1</f>
        <v>0.98601398601398604</v>
      </c>
      <c r="AI38" s="5">
        <f>Tabela4[[#This Row],[mlp2_test_acc]] * 1</f>
        <v>0.98601398601398604</v>
      </c>
    </row>
    <row r="39" spans="1:35" x14ac:dyDescent="0.25">
      <c r="A39" t="s">
        <v>28</v>
      </c>
      <c r="B39" t="s">
        <v>959</v>
      </c>
      <c r="C39" t="s">
        <v>1026</v>
      </c>
      <c r="D39" t="s">
        <v>79</v>
      </c>
      <c r="E39" t="s">
        <v>80</v>
      </c>
      <c r="F39" t="s">
        <v>165</v>
      </c>
      <c r="G39" t="s">
        <v>1116</v>
      </c>
      <c r="H39" t="s">
        <v>1117</v>
      </c>
      <c r="I39" t="s">
        <v>1118</v>
      </c>
      <c r="J39" t="s">
        <v>89</v>
      </c>
      <c r="K39" t="s">
        <v>198</v>
      </c>
      <c r="L39" t="s">
        <v>338</v>
      </c>
      <c r="M39" t="s">
        <v>141</v>
      </c>
      <c r="N39" t="s">
        <v>88</v>
      </c>
      <c r="O39" t="s">
        <v>89</v>
      </c>
      <c r="P39" t="s">
        <v>510</v>
      </c>
      <c r="Q39" t="s">
        <v>1119</v>
      </c>
      <c r="R39" t="s">
        <v>144</v>
      </c>
      <c r="S39" t="s">
        <v>93</v>
      </c>
      <c r="T39" t="s">
        <v>145</v>
      </c>
      <c r="U39" t="s">
        <v>136</v>
      </c>
      <c r="V39" t="s">
        <v>88</v>
      </c>
      <c r="W39" t="s">
        <v>89</v>
      </c>
      <c r="X39" t="s">
        <v>98</v>
      </c>
      <c r="Y39" t="s">
        <v>1120</v>
      </c>
      <c r="Z39" t="s">
        <v>614</v>
      </c>
      <c r="AA39" t="s">
        <v>93</v>
      </c>
      <c r="AB39" t="s">
        <v>615</v>
      </c>
      <c r="AC39" t="s">
        <v>1121</v>
      </c>
      <c r="AF39" s="6">
        <f>Tabela4[[#This Row],[kan_params]] * 1</f>
        <v>46266</v>
      </c>
      <c r="AG39" s="5">
        <f>Tabela4[[#This Row],[kan_test_acc]] * 1</f>
        <v>0.97902095317840498</v>
      </c>
      <c r="AH39" s="5">
        <f>Tabela4[[#This Row],[mlp_test_acc]] * 1</f>
        <v>0.99300699300699302</v>
      </c>
      <c r="AI39" s="5">
        <f>Tabela4[[#This Row],[mlp2_test_acc]] * 1</f>
        <v>0.97902097902097895</v>
      </c>
    </row>
    <row r="40" spans="1:35" x14ac:dyDescent="0.25">
      <c r="A40" t="s">
        <v>28</v>
      </c>
      <c r="B40" t="s">
        <v>959</v>
      </c>
      <c r="C40" t="s">
        <v>1026</v>
      </c>
      <c r="D40" t="s">
        <v>79</v>
      </c>
      <c r="E40" t="s">
        <v>80</v>
      </c>
      <c r="F40" t="s">
        <v>465</v>
      </c>
      <c r="G40" t="s">
        <v>1147</v>
      </c>
      <c r="H40" t="s">
        <v>1148</v>
      </c>
      <c r="I40" t="s">
        <v>968</v>
      </c>
      <c r="J40" t="s">
        <v>89</v>
      </c>
      <c r="K40" t="s">
        <v>85</v>
      </c>
      <c r="L40" t="s">
        <v>338</v>
      </c>
      <c r="M40" t="s">
        <v>119</v>
      </c>
      <c r="N40" t="s">
        <v>96</v>
      </c>
      <c r="O40" t="s">
        <v>89</v>
      </c>
      <c r="P40" t="s">
        <v>305</v>
      </c>
      <c r="Q40" t="s">
        <v>1149</v>
      </c>
      <c r="R40" t="s">
        <v>1112</v>
      </c>
      <c r="S40" t="s">
        <v>93</v>
      </c>
      <c r="T40" t="s">
        <v>1113</v>
      </c>
      <c r="U40" t="s">
        <v>119</v>
      </c>
      <c r="V40" t="s">
        <v>96</v>
      </c>
      <c r="W40" t="s">
        <v>268</v>
      </c>
      <c r="X40" t="s">
        <v>98</v>
      </c>
      <c r="Y40" t="s">
        <v>1150</v>
      </c>
      <c r="Z40" t="s">
        <v>982</v>
      </c>
      <c r="AA40" t="s">
        <v>93</v>
      </c>
      <c r="AB40" t="s">
        <v>983</v>
      </c>
      <c r="AC40" t="s">
        <v>1151</v>
      </c>
      <c r="AF40" s="6">
        <f>Tabela4[[#This Row],[kan_params]] * 1</f>
        <v>66091</v>
      </c>
      <c r="AG40" s="5">
        <f>Tabela4[[#This Row],[kan_test_acc]] * 1</f>
        <v>0.97902095317840498</v>
      </c>
      <c r="AH40" s="5">
        <f>Tabela4[[#This Row],[mlp_test_acc]] * 1</f>
        <v>0.95104895104895104</v>
      </c>
      <c r="AI40" s="5">
        <f>Tabela4[[#This Row],[mlp2_test_acc]] * 1</f>
        <v>0.95104895104895104</v>
      </c>
    </row>
    <row r="41" spans="1:35" x14ac:dyDescent="0.25">
      <c r="A41" t="s">
        <v>28</v>
      </c>
      <c r="B41" t="s">
        <v>959</v>
      </c>
      <c r="C41" t="s">
        <v>1026</v>
      </c>
      <c r="D41" t="s">
        <v>79</v>
      </c>
      <c r="E41" t="s">
        <v>80</v>
      </c>
      <c r="F41" t="s">
        <v>537</v>
      </c>
      <c r="G41" t="s">
        <v>1199</v>
      </c>
      <c r="H41" t="s">
        <v>1200</v>
      </c>
      <c r="I41" t="s">
        <v>615</v>
      </c>
      <c r="J41" t="s">
        <v>89</v>
      </c>
      <c r="K41" t="s">
        <v>134</v>
      </c>
      <c r="L41" t="s">
        <v>338</v>
      </c>
      <c r="M41" t="s">
        <v>87</v>
      </c>
      <c r="N41" t="s">
        <v>88</v>
      </c>
      <c r="O41" t="s">
        <v>89</v>
      </c>
      <c r="P41" t="s">
        <v>510</v>
      </c>
      <c r="Q41" t="s">
        <v>1201</v>
      </c>
      <c r="R41" t="s">
        <v>1202</v>
      </c>
      <c r="S41" t="s">
        <v>93</v>
      </c>
      <c r="T41" t="s">
        <v>1203</v>
      </c>
      <c r="U41" t="s">
        <v>136</v>
      </c>
      <c r="V41" t="s">
        <v>88</v>
      </c>
      <c r="W41" t="s">
        <v>89</v>
      </c>
      <c r="X41" t="s">
        <v>98</v>
      </c>
      <c r="Y41" t="s">
        <v>1204</v>
      </c>
      <c r="Z41" t="s">
        <v>1205</v>
      </c>
      <c r="AA41" t="s">
        <v>93</v>
      </c>
      <c r="AB41" t="s">
        <v>1206</v>
      </c>
      <c r="AC41" t="s">
        <v>1207</v>
      </c>
      <c r="AF41" s="6">
        <f>Tabela4[[#This Row],[kan_params]] * 1</f>
        <v>74018</v>
      </c>
      <c r="AG41" s="5">
        <f>Tabela4[[#This Row],[kan_test_acc]] * 1</f>
        <v>0.97902095317840498</v>
      </c>
      <c r="AH41" s="5">
        <f>Tabela4[[#This Row],[mlp_test_acc]] * 1</f>
        <v>0.97202797202797198</v>
      </c>
      <c r="AI41" s="5">
        <f>Tabela4[[#This Row],[mlp2_test_acc]] * 1</f>
        <v>0.97902097902097895</v>
      </c>
    </row>
    <row r="42" spans="1:35" x14ac:dyDescent="0.25">
      <c r="A42" t="s">
        <v>28</v>
      </c>
      <c r="B42" t="s">
        <v>959</v>
      </c>
      <c r="C42" t="s">
        <v>1026</v>
      </c>
      <c r="D42" t="s">
        <v>79</v>
      </c>
      <c r="E42" t="s">
        <v>80</v>
      </c>
      <c r="F42" t="s">
        <v>33</v>
      </c>
      <c r="G42" t="s">
        <v>1261</v>
      </c>
      <c r="H42" t="s">
        <v>1262</v>
      </c>
      <c r="I42" t="s">
        <v>1263</v>
      </c>
      <c r="J42" t="s">
        <v>89</v>
      </c>
      <c r="K42" t="s">
        <v>198</v>
      </c>
      <c r="L42" t="s">
        <v>338</v>
      </c>
      <c r="M42" t="s">
        <v>136</v>
      </c>
      <c r="N42" t="s">
        <v>88</v>
      </c>
      <c r="O42" t="s">
        <v>89</v>
      </c>
      <c r="P42" t="s">
        <v>1264</v>
      </c>
      <c r="Q42" t="s">
        <v>1265</v>
      </c>
      <c r="R42" t="s">
        <v>270</v>
      </c>
      <c r="S42" t="s">
        <v>93</v>
      </c>
      <c r="T42" t="s">
        <v>271</v>
      </c>
      <c r="U42" t="s">
        <v>136</v>
      </c>
      <c r="V42" t="s">
        <v>89</v>
      </c>
      <c r="W42" t="s">
        <v>97</v>
      </c>
      <c r="X42" t="s">
        <v>1266</v>
      </c>
      <c r="Y42" t="s">
        <v>1267</v>
      </c>
      <c r="Z42" t="s">
        <v>401</v>
      </c>
      <c r="AA42" t="s">
        <v>93</v>
      </c>
      <c r="AB42" t="s">
        <v>402</v>
      </c>
      <c r="AC42" t="s">
        <v>1268</v>
      </c>
      <c r="AF42" s="6">
        <f>Tabela4[[#This Row],[kan_params]] * 1</f>
        <v>29612</v>
      </c>
      <c r="AG42" s="5">
        <f>Tabela4[[#This Row],[kan_test_acc]] * 1</f>
        <v>0.97902095317840498</v>
      </c>
      <c r="AH42" s="5">
        <f>Tabela4[[#This Row],[mlp_test_acc]] * 1</f>
        <v>0.97902097902097895</v>
      </c>
      <c r="AI42" s="5">
        <f>Tabela4[[#This Row],[mlp2_test_acc]] * 1</f>
        <v>0.97902097902097895</v>
      </c>
    </row>
    <row r="43" spans="1:35" x14ac:dyDescent="0.25">
      <c r="A43" t="s">
        <v>28</v>
      </c>
      <c r="B43" t="s">
        <v>959</v>
      </c>
      <c r="C43" t="s">
        <v>1026</v>
      </c>
      <c r="D43" t="s">
        <v>79</v>
      </c>
      <c r="E43" t="s">
        <v>80</v>
      </c>
      <c r="F43" t="s">
        <v>35</v>
      </c>
      <c r="G43" t="s">
        <v>1276</v>
      </c>
      <c r="H43" t="s">
        <v>1277</v>
      </c>
      <c r="I43" t="s">
        <v>328</v>
      </c>
      <c r="J43" t="s">
        <v>89</v>
      </c>
      <c r="K43" t="s">
        <v>198</v>
      </c>
      <c r="L43" t="s">
        <v>338</v>
      </c>
      <c r="M43" t="s">
        <v>87</v>
      </c>
      <c r="N43" t="s">
        <v>96</v>
      </c>
      <c r="O43" t="s">
        <v>89</v>
      </c>
      <c r="P43" t="s">
        <v>1278</v>
      </c>
      <c r="Q43" t="s">
        <v>1279</v>
      </c>
      <c r="R43" t="s">
        <v>186</v>
      </c>
      <c r="S43" t="s">
        <v>93</v>
      </c>
      <c r="T43" t="s">
        <v>187</v>
      </c>
      <c r="U43" t="s">
        <v>87</v>
      </c>
      <c r="V43" t="s">
        <v>254</v>
      </c>
      <c r="W43" t="s">
        <v>268</v>
      </c>
      <c r="X43" t="s">
        <v>1280</v>
      </c>
      <c r="Y43" t="s">
        <v>1281</v>
      </c>
      <c r="Z43" t="s">
        <v>191</v>
      </c>
      <c r="AA43" t="s">
        <v>93</v>
      </c>
      <c r="AB43" t="s">
        <v>192</v>
      </c>
      <c r="AC43" t="s">
        <v>1282</v>
      </c>
      <c r="AF43" s="6">
        <f>Tabela4[[#This Row],[kan_params]] * 1</f>
        <v>36662</v>
      </c>
      <c r="AG43" s="5">
        <f>Tabela4[[#This Row],[kan_test_acc]] * 1</f>
        <v>0.97902095317840498</v>
      </c>
      <c r="AH43" s="5">
        <f>Tabela4[[#This Row],[mlp_test_acc]] * 1</f>
        <v>0.97202797202797198</v>
      </c>
      <c r="AI43" s="5">
        <f>Tabela4[[#This Row],[mlp2_test_acc]] * 1</f>
        <v>0.97202797202797198</v>
      </c>
    </row>
    <row r="44" spans="1:35" x14ac:dyDescent="0.25">
      <c r="A44" t="s">
        <v>28</v>
      </c>
      <c r="B44" t="s">
        <v>959</v>
      </c>
      <c r="C44" t="s">
        <v>1026</v>
      </c>
      <c r="D44" t="s">
        <v>79</v>
      </c>
      <c r="E44" t="s">
        <v>80</v>
      </c>
      <c r="F44" t="s">
        <v>36</v>
      </c>
      <c r="G44" t="s">
        <v>1283</v>
      </c>
      <c r="H44" t="s">
        <v>1284</v>
      </c>
      <c r="I44" t="s">
        <v>485</v>
      </c>
      <c r="J44" t="s">
        <v>89</v>
      </c>
      <c r="K44" t="s">
        <v>198</v>
      </c>
      <c r="L44" t="s">
        <v>338</v>
      </c>
      <c r="M44" t="s">
        <v>87</v>
      </c>
      <c r="N44" t="s">
        <v>267</v>
      </c>
      <c r="O44" t="s">
        <v>89</v>
      </c>
      <c r="P44" t="s">
        <v>1285</v>
      </c>
      <c r="Q44" t="s">
        <v>1286</v>
      </c>
      <c r="R44" t="s">
        <v>689</v>
      </c>
      <c r="S44" t="s">
        <v>93</v>
      </c>
      <c r="T44" t="s">
        <v>690</v>
      </c>
      <c r="U44" t="s">
        <v>87</v>
      </c>
      <c r="V44" t="s">
        <v>254</v>
      </c>
      <c r="W44" t="s">
        <v>268</v>
      </c>
      <c r="X44" t="s">
        <v>1287</v>
      </c>
      <c r="Y44" t="s">
        <v>1288</v>
      </c>
      <c r="Z44" t="s">
        <v>597</v>
      </c>
      <c r="AA44" t="s">
        <v>93</v>
      </c>
      <c r="AB44" t="s">
        <v>598</v>
      </c>
      <c r="AC44" t="s">
        <v>1289</v>
      </c>
      <c r="AF44" s="6">
        <f>Tabela4[[#This Row],[kan_params]] * 1</f>
        <v>40187</v>
      </c>
      <c r="AG44" s="5">
        <f>Tabela4[[#This Row],[kan_test_acc]] * 1</f>
        <v>0.97902095317840498</v>
      </c>
      <c r="AH44" s="5">
        <f>Tabela4[[#This Row],[mlp_test_acc]] * 1</f>
        <v>0.97202797202797198</v>
      </c>
      <c r="AI44" s="5">
        <f>Tabela4[[#This Row],[mlp2_test_acc]] * 1</f>
        <v>0.97202797202797198</v>
      </c>
    </row>
    <row r="45" spans="1:35" x14ac:dyDescent="0.25">
      <c r="A45" t="s">
        <v>28</v>
      </c>
      <c r="B45" t="s">
        <v>1297</v>
      </c>
      <c r="C45" t="s">
        <v>1026</v>
      </c>
      <c r="D45" t="s">
        <v>898</v>
      </c>
      <c r="E45" t="s">
        <v>80</v>
      </c>
      <c r="F45" t="s">
        <v>31</v>
      </c>
      <c r="G45" t="s">
        <v>1373</v>
      </c>
      <c r="H45" t="s">
        <v>1374</v>
      </c>
      <c r="I45" t="s">
        <v>833</v>
      </c>
      <c r="J45" t="s">
        <v>89</v>
      </c>
      <c r="K45" t="s">
        <v>89</v>
      </c>
      <c r="L45" t="s">
        <v>338</v>
      </c>
      <c r="M45" t="s">
        <v>95</v>
      </c>
      <c r="N45" t="s">
        <v>89</v>
      </c>
      <c r="O45" t="s">
        <v>1249</v>
      </c>
      <c r="P45" t="s">
        <v>1311</v>
      </c>
      <c r="Q45" t="s">
        <v>1375</v>
      </c>
      <c r="R45" t="s">
        <v>1376</v>
      </c>
      <c r="S45" t="s">
        <v>93</v>
      </c>
      <c r="T45" t="s">
        <v>663</v>
      </c>
      <c r="U45" t="s">
        <v>95</v>
      </c>
      <c r="V45" t="s">
        <v>89</v>
      </c>
      <c r="W45" t="s">
        <v>1221</v>
      </c>
      <c r="X45" t="s">
        <v>1222</v>
      </c>
      <c r="Y45" t="s">
        <v>1377</v>
      </c>
      <c r="Z45" t="s">
        <v>383</v>
      </c>
      <c r="AA45" t="s">
        <v>93</v>
      </c>
      <c r="AB45" t="s">
        <v>384</v>
      </c>
      <c r="AC45" t="s">
        <v>1378</v>
      </c>
      <c r="AF45" s="6">
        <f>Tabela4[[#This Row],[kan_params]] * 1</f>
        <v>25634</v>
      </c>
      <c r="AG45" s="5">
        <f>Tabela4[[#This Row],[kan_test_acc]] * 1</f>
        <v>0.97902095317840498</v>
      </c>
      <c r="AH45" s="5">
        <f>Tabela4[[#This Row],[mlp_test_acc]] * 1</f>
        <v>0.965034965034965</v>
      </c>
      <c r="AI45" s="5">
        <f>Tabela4[[#This Row],[mlp2_test_acc]] * 1</f>
        <v>0.965034965034965</v>
      </c>
    </row>
    <row r="46" spans="1:35" x14ac:dyDescent="0.25">
      <c r="A46" t="s">
        <v>28</v>
      </c>
      <c r="B46" t="s">
        <v>78</v>
      </c>
      <c r="C46" t="s">
        <v>79</v>
      </c>
      <c r="D46" t="s">
        <v>79</v>
      </c>
      <c r="E46" t="s">
        <v>80</v>
      </c>
      <c r="F46" t="s">
        <v>29</v>
      </c>
      <c r="G46" t="s">
        <v>81</v>
      </c>
      <c r="H46" t="s">
        <v>82</v>
      </c>
      <c r="I46" t="s">
        <v>83</v>
      </c>
      <c r="J46" t="s">
        <v>84</v>
      </c>
      <c r="K46" t="s">
        <v>85</v>
      </c>
      <c r="L46" t="s">
        <v>86</v>
      </c>
      <c r="M46" t="s">
        <v>87</v>
      </c>
      <c r="N46" t="s">
        <v>88</v>
      </c>
      <c r="O46" t="s">
        <v>89</v>
      </c>
      <c r="P46" t="s">
        <v>90</v>
      </c>
      <c r="Q46" t="s">
        <v>91</v>
      </c>
      <c r="R46" t="s">
        <v>92</v>
      </c>
      <c r="S46" t="s">
        <v>93</v>
      </c>
      <c r="T46" t="s">
        <v>94</v>
      </c>
      <c r="U46" t="s">
        <v>95</v>
      </c>
      <c r="V46" t="s">
        <v>96</v>
      </c>
      <c r="W46" t="s">
        <v>97</v>
      </c>
      <c r="X46" t="s">
        <v>98</v>
      </c>
      <c r="Y46" t="s">
        <v>99</v>
      </c>
      <c r="Z46" t="s">
        <v>100</v>
      </c>
      <c r="AA46" t="s">
        <v>93</v>
      </c>
      <c r="AB46" t="s">
        <v>101</v>
      </c>
      <c r="AC46" t="s">
        <v>102</v>
      </c>
      <c r="AF46" s="6">
        <f>Tabela4[[#This Row],[kan_params]] * 1</f>
        <v>11288</v>
      </c>
      <c r="AG46" s="5">
        <f>Tabela4[[#This Row],[kan_test_acc]] * 1</f>
        <v>0.97202795743942205</v>
      </c>
      <c r="AH46" s="5">
        <f>Tabela4[[#This Row],[mlp_test_acc]] * 1</f>
        <v>0.97202797202797198</v>
      </c>
      <c r="AI46" s="5">
        <f>Tabela4[[#This Row],[mlp2_test_acc]] * 1</f>
        <v>0.965034965034965</v>
      </c>
    </row>
    <row r="47" spans="1:35" x14ac:dyDescent="0.25">
      <c r="A47" t="s">
        <v>28</v>
      </c>
      <c r="B47" t="s">
        <v>78</v>
      </c>
      <c r="C47" t="s">
        <v>79</v>
      </c>
      <c r="D47" t="s">
        <v>79</v>
      </c>
      <c r="E47" t="s">
        <v>80</v>
      </c>
      <c r="F47" t="s">
        <v>30</v>
      </c>
      <c r="G47" t="s">
        <v>103</v>
      </c>
      <c r="H47" t="s">
        <v>104</v>
      </c>
      <c r="I47" t="s">
        <v>105</v>
      </c>
      <c r="J47" t="s">
        <v>89</v>
      </c>
      <c r="K47" t="s">
        <v>89</v>
      </c>
      <c r="L47" t="s">
        <v>86</v>
      </c>
      <c r="M47" t="s">
        <v>87</v>
      </c>
      <c r="N47" t="s">
        <v>96</v>
      </c>
      <c r="O47" t="s">
        <v>89</v>
      </c>
      <c r="P47" t="s">
        <v>106</v>
      </c>
      <c r="Q47" t="s">
        <v>107</v>
      </c>
      <c r="R47" t="s">
        <v>108</v>
      </c>
      <c r="S47" t="s">
        <v>93</v>
      </c>
      <c r="T47" t="s">
        <v>109</v>
      </c>
      <c r="U47" t="s">
        <v>95</v>
      </c>
      <c r="V47" t="s">
        <v>96</v>
      </c>
      <c r="W47" t="s">
        <v>110</v>
      </c>
      <c r="X47" t="s">
        <v>98</v>
      </c>
      <c r="Y47" t="s">
        <v>111</v>
      </c>
      <c r="Z47" t="s">
        <v>112</v>
      </c>
      <c r="AA47" t="s">
        <v>93</v>
      </c>
      <c r="AB47" t="s">
        <v>113</v>
      </c>
      <c r="AC47" t="s">
        <v>114</v>
      </c>
      <c r="AF47" s="6">
        <f>Tabela4[[#This Row],[kan_params]] * 1</f>
        <v>13853</v>
      </c>
      <c r="AG47" s="5">
        <f>Tabela4[[#This Row],[kan_test_acc]] * 1</f>
        <v>0.97202795743942205</v>
      </c>
      <c r="AH47" s="5">
        <f>Tabela4[[#This Row],[mlp_test_acc]] * 1</f>
        <v>0.97202797202797198</v>
      </c>
      <c r="AI47" s="5">
        <f>Tabela4[[#This Row],[mlp2_test_acc]] * 1</f>
        <v>0.965034965034965</v>
      </c>
    </row>
    <row r="48" spans="1:35" x14ac:dyDescent="0.25">
      <c r="A48" t="s">
        <v>28</v>
      </c>
      <c r="B48" t="s">
        <v>78</v>
      </c>
      <c r="C48" t="s">
        <v>79</v>
      </c>
      <c r="D48" t="s">
        <v>79</v>
      </c>
      <c r="E48" t="s">
        <v>80</v>
      </c>
      <c r="F48" t="s">
        <v>35</v>
      </c>
      <c r="G48" t="s">
        <v>248</v>
      </c>
      <c r="H48" t="s">
        <v>249</v>
      </c>
      <c r="I48" t="s">
        <v>250</v>
      </c>
      <c r="J48" t="s">
        <v>89</v>
      </c>
      <c r="K48" t="s">
        <v>198</v>
      </c>
      <c r="L48" t="s">
        <v>86</v>
      </c>
      <c r="M48" t="s">
        <v>141</v>
      </c>
      <c r="N48" t="s">
        <v>96</v>
      </c>
      <c r="O48" t="s">
        <v>89</v>
      </c>
      <c r="P48" t="s">
        <v>240</v>
      </c>
      <c r="Q48" t="s">
        <v>251</v>
      </c>
      <c r="R48" t="s">
        <v>252</v>
      </c>
      <c r="S48" t="s">
        <v>93</v>
      </c>
      <c r="T48" t="s">
        <v>253</v>
      </c>
      <c r="U48" t="s">
        <v>136</v>
      </c>
      <c r="V48" t="s">
        <v>254</v>
      </c>
      <c r="W48" t="s">
        <v>89</v>
      </c>
      <c r="X48" t="s">
        <v>98</v>
      </c>
      <c r="Y48" t="s">
        <v>255</v>
      </c>
      <c r="Z48" t="s">
        <v>256</v>
      </c>
      <c r="AA48" t="s">
        <v>93</v>
      </c>
      <c r="AB48" t="s">
        <v>257</v>
      </c>
      <c r="AC48" t="s">
        <v>258</v>
      </c>
      <c r="AF48" s="6">
        <f>Tabela4[[#This Row],[kan_params]] * 1</f>
        <v>26678</v>
      </c>
      <c r="AG48" s="5">
        <f>Tabela4[[#This Row],[kan_test_acc]] * 1</f>
        <v>0.97202795743942205</v>
      </c>
      <c r="AH48" s="5">
        <f>Tabela4[[#This Row],[mlp_test_acc]] * 1</f>
        <v>0.99300699300699302</v>
      </c>
      <c r="AI48" s="5">
        <f>Tabela4[[#This Row],[mlp2_test_acc]] * 1</f>
        <v>0.97902097902097895</v>
      </c>
    </row>
    <row r="49" spans="1:35" x14ac:dyDescent="0.25">
      <c r="A49" t="s">
        <v>28</v>
      </c>
      <c r="B49" t="s">
        <v>273</v>
      </c>
      <c r="C49" t="s">
        <v>79</v>
      </c>
      <c r="D49" t="s">
        <v>274</v>
      </c>
      <c r="E49" t="s">
        <v>80</v>
      </c>
      <c r="F49" t="s">
        <v>30</v>
      </c>
      <c r="G49" t="s">
        <v>287</v>
      </c>
      <c r="H49" t="s">
        <v>288</v>
      </c>
      <c r="I49" t="s">
        <v>289</v>
      </c>
      <c r="J49" t="s">
        <v>89</v>
      </c>
      <c r="K49" t="s">
        <v>290</v>
      </c>
      <c r="L49" t="s">
        <v>86</v>
      </c>
      <c r="M49" t="s">
        <v>205</v>
      </c>
      <c r="N49" t="s">
        <v>291</v>
      </c>
      <c r="O49" t="s">
        <v>89</v>
      </c>
      <c r="P49" t="s">
        <v>278</v>
      </c>
      <c r="Q49" t="s">
        <v>292</v>
      </c>
      <c r="R49" t="s">
        <v>92</v>
      </c>
      <c r="S49" t="s">
        <v>93</v>
      </c>
      <c r="T49" t="s">
        <v>94</v>
      </c>
      <c r="U49" t="s">
        <v>87</v>
      </c>
      <c r="V49" t="s">
        <v>291</v>
      </c>
      <c r="W49" t="s">
        <v>89</v>
      </c>
      <c r="X49" t="s">
        <v>278</v>
      </c>
      <c r="Y49" t="s">
        <v>293</v>
      </c>
      <c r="Z49" t="s">
        <v>100</v>
      </c>
      <c r="AA49" t="s">
        <v>93</v>
      </c>
      <c r="AB49" t="s">
        <v>101</v>
      </c>
      <c r="AC49" t="s">
        <v>294</v>
      </c>
      <c r="AF49" s="6">
        <f>Tabela4[[#This Row],[kan_params]] * 1</f>
        <v>11261</v>
      </c>
      <c r="AG49" s="5">
        <f>Tabela4[[#This Row],[kan_test_acc]] * 1</f>
        <v>0.97202795743942205</v>
      </c>
      <c r="AH49" s="5">
        <f>Tabela4[[#This Row],[mlp_test_acc]] * 1</f>
        <v>0.95804195804195802</v>
      </c>
      <c r="AI49" s="5">
        <f>Tabela4[[#This Row],[mlp2_test_acc]] * 1</f>
        <v>0.97202797202797198</v>
      </c>
    </row>
    <row r="50" spans="1:35" x14ac:dyDescent="0.25">
      <c r="A50" t="s">
        <v>28</v>
      </c>
      <c r="B50" t="s">
        <v>273</v>
      </c>
      <c r="C50" t="s">
        <v>79</v>
      </c>
      <c r="D50" t="s">
        <v>274</v>
      </c>
      <c r="E50" t="s">
        <v>80</v>
      </c>
      <c r="F50" t="s">
        <v>43</v>
      </c>
      <c r="G50" t="s">
        <v>302</v>
      </c>
      <c r="H50" t="s">
        <v>303</v>
      </c>
      <c r="I50" t="s">
        <v>304</v>
      </c>
      <c r="J50" t="s">
        <v>89</v>
      </c>
      <c r="K50" t="s">
        <v>85</v>
      </c>
      <c r="L50" t="s">
        <v>86</v>
      </c>
      <c r="M50" t="s">
        <v>95</v>
      </c>
      <c r="N50" t="s">
        <v>96</v>
      </c>
      <c r="O50" t="s">
        <v>89</v>
      </c>
      <c r="P50" t="s">
        <v>305</v>
      </c>
      <c r="Q50" t="s">
        <v>306</v>
      </c>
      <c r="R50" t="s">
        <v>307</v>
      </c>
      <c r="S50" t="s">
        <v>93</v>
      </c>
      <c r="T50" t="s">
        <v>308</v>
      </c>
      <c r="U50" t="s">
        <v>136</v>
      </c>
      <c r="V50" t="s">
        <v>254</v>
      </c>
      <c r="W50" t="s">
        <v>268</v>
      </c>
      <c r="X50" t="s">
        <v>98</v>
      </c>
      <c r="Y50" t="s">
        <v>309</v>
      </c>
      <c r="Z50" t="s">
        <v>252</v>
      </c>
      <c r="AA50" t="s">
        <v>93</v>
      </c>
      <c r="AB50" t="s">
        <v>253</v>
      </c>
      <c r="AC50" t="s">
        <v>310</v>
      </c>
      <c r="AF50" s="6">
        <f>Tabela4[[#This Row],[kan_params]] * 1</f>
        <v>26327</v>
      </c>
      <c r="AG50" s="5">
        <f>Tabela4[[#This Row],[kan_test_acc]] * 1</f>
        <v>0.97202795743942205</v>
      </c>
      <c r="AH50" s="5">
        <f>Tabela4[[#This Row],[mlp_test_acc]] * 1</f>
        <v>0.965034965034965</v>
      </c>
      <c r="AI50" s="5">
        <f>Tabela4[[#This Row],[mlp2_test_acc]] * 1</f>
        <v>0.97902097902097895</v>
      </c>
    </row>
    <row r="51" spans="1:35" x14ac:dyDescent="0.25">
      <c r="A51" t="s">
        <v>28</v>
      </c>
      <c r="B51" t="s">
        <v>273</v>
      </c>
      <c r="C51" t="s">
        <v>79</v>
      </c>
      <c r="D51" t="s">
        <v>274</v>
      </c>
      <c r="E51" t="s">
        <v>80</v>
      </c>
      <c r="F51" t="s">
        <v>322</v>
      </c>
      <c r="G51" t="s">
        <v>323</v>
      </c>
      <c r="H51" t="s">
        <v>324</v>
      </c>
      <c r="I51" t="s">
        <v>325</v>
      </c>
      <c r="J51" t="s">
        <v>89</v>
      </c>
      <c r="K51" t="s">
        <v>85</v>
      </c>
      <c r="L51" t="s">
        <v>86</v>
      </c>
      <c r="M51" t="s">
        <v>205</v>
      </c>
      <c r="N51" t="s">
        <v>89</v>
      </c>
      <c r="O51" t="s">
        <v>89</v>
      </c>
      <c r="P51" t="s">
        <v>263</v>
      </c>
      <c r="Q51" t="s">
        <v>326</v>
      </c>
      <c r="R51" t="s">
        <v>327</v>
      </c>
      <c r="S51" t="s">
        <v>93</v>
      </c>
      <c r="T51" t="s">
        <v>328</v>
      </c>
      <c r="U51" t="s">
        <v>157</v>
      </c>
      <c r="V51" t="s">
        <v>88</v>
      </c>
      <c r="W51" t="s">
        <v>89</v>
      </c>
      <c r="X51" t="s">
        <v>329</v>
      </c>
      <c r="Y51" t="s">
        <v>330</v>
      </c>
      <c r="Z51" t="s">
        <v>331</v>
      </c>
      <c r="AA51" t="s">
        <v>93</v>
      </c>
      <c r="AB51" t="s">
        <v>332</v>
      </c>
      <c r="AC51" t="s">
        <v>333</v>
      </c>
      <c r="AF51" s="6">
        <f>Tabela4[[#This Row],[kan_params]] * 1</f>
        <v>30497</v>
      </c>
      <c r="AG51" s="5">
        <f>Tabela4[[#This Row],[kan_test_acc]] * 1</f>
        <v>0.97202795743942205</v>
      </c>
      <c r="AH51" s="5">
        <f>Tabela4[[#This Row],[mlp_test_acc]] * 1</f>
        <v>0.95804195804195802</v>
      </c>
      <c r="AI51" s="5">
        <f>Tabela4[[#This Row],[mlp2_test_acc]] * 1</f>
        <v>0.93706293706293697</v>
      </c>
    </row>
    <row r="52" spans="1:35" x14ac:dyDescent="0.25">
      <c r="A52" t="s">
        <v>28</v>
      </c>
      <c r="B52" t="s">
        <v>273</v>
      </c>
      <c r="C52" t="s">
        <v>79</v>
      </c>
      <c r="D52" t="s">
        <v>274</v>
      </c>
      <c r="E52" t="s">
        <v>80</v>
      </c>
      <c r="F52" t="s">
        <v>358</v>
      </c>
      <c r="G52" t="s">
        <v>359</v>
      </c>
      <c r="H52" t="s">
        <v>360</v>
      </c>
      <c r="I52" t="s">
        <v>361</v>
      </c>
      <c r="J52" t="s">
        <v>89</v>
      </c>
      <c r="K52" t="s">
        <v>85</v>
      </c>
      <c r="L52" t="s">
        <v>86</v>
      </c>
      <c r="M52" t="s">
        <v>136</v>
      </c>
      <c r="N52" t="s">
        <v>89</v>
      </c>
      <c r="O52" t="s">
        <v>89</v>
      </c>
      <c r="P52" t="s">
        <v>362</v>
      </c>
      <c r="Q52" t="s">
        <v>363</v>
      </c>
      <c r="R52" t="s">
        <v>191</v>
      </c>
      <c r="S52" t="s">
        <v>93</v>
      </c>
      <c r="T52" t="s">
        <v>192</v>
      </c>
      <c r="U52" t="s">
        <v>136</v>
      </c>
      <c r="V52" t="s">
        <v>96</v>
      </c>
      <c r="W52" t="s">
        <v>229</v>
      </c>
      <c r="X52" t="s">
        <v>98</v>
      </c>
      <c r="Y52" t="s">
        <v>364</v>
      </c>
      <c r="Z52" t="s">
        <v>365</v>
      </c>
      <c r="AA52" t="s">
        <v>93</v>
      </c>
      <c r="AB52" t="s">
        <v>366</v>
      </c>
      <c r="AC52" t="s">
        <v>367</v>
      </c>
      <c r="AF52" s="6">
        <f>Tabela4[[#This Row],[kan_params]] * 1</f>
        <v>36752</v>
      </c>
      <c r="AG52" s="5">
        <f>Tabela4[[#This Row],[kan_test_acc]] * 1</f>
        <v>0.97202795743942205</v>
      </c>
      <c r="AH52" s="5">
        <f>Tabela4[[#This Row],[mlp_test_acc]] * 1</f>
        <v>0.97902097902097895</v>
      </c>
      <c r="AI52" s="5">
        <f>Tabela4[[#This Row],[mlp2_test_acc]] * 1</f>
        <v>0.97902097902097895</v>
      </c>
    </row>
    <row r="53" spans="1:35" x14ac:dyDescent="0.25">
      <c r="A53" t="s">
        <v>28</v>
      </c>
      <c r="B53" t="s">
        <v>273</v>
      </c>
      <c r="C53" t="s">
        <v>79</v>
      </c>
      <c r="D53" t="s">
        <v>274</v>
      </c>
      <c r="E53" t="s">
        <v>80</v>
      </c>
      <c r="F53" t="s">
        <v>378</v>
      </c>
      <c r="G53" t="s">
        <v>379</v>
      </c>
      <c r="H53" t="s">
        <v>380</v>
      </c>
      <c r="I53" t="s">
        <v>381</v>
      </c>
      <c r="J53" t="s">
        <v>89</v>
      </c>
      <c r="K53" t="s">
        <v>89</v>
      </c>
      <c r="L53" t="s">
        <v>86</v>
      </c>
      <c r="M53" t="s">
        <v>136</v>
      </c>
      <c r="N53" t="s">
        <v>88</v>
      </c>
      <c r="O53" t="s">
        <v>89</v>
      </c>
      <c r="P53" t="s">
        <v>240</v>
      </c>
      <c r="Q53" t="s">
        <v>382</v>
      </c>
      <c r="R53" t="s">
        <v>383</v>
      </c>
      <c r="S53" t="s">
        <v>93</v>
      </c>
      <c r="T53" t="s">
        <v>384</v>
      </c>
      <c r="U53" t="s">
        <v>87</v>
      </c>
      <c r="V53" t="s">
        <v>96</v>
      </c>
      <c r="W53" t="s">
        <v>268</v>
      </c>
      <c r="X53" t="s">
        <v>98</v>
      </c>
      <c r="Y53" t="s">
        <v>385</v>
      </c>
      <c r="Z53" t="s">
        <v>307</v>
      </c>
      <c r="AA53" t="s">
        <v>93</v>
      </c>
      <c r="AB53" t="s">
        <v>308</v>
      </c>
      <c r="AC53" t="s">
        <v>386</v>
      </c>
      <c r="AF53" s="6">
        <f>Tabela4[[#This Row],[kan_params]] * 1</f>
        <v>25804</v>
      </c>
      <c r="AG53" s="5">
        <f>Tabela4[[#This Row],[kan_test_acc]] * 1</f>
        <v>0.97202795743942205</v>
      </c>
      <c r="AH53" s="5">
        <f>Tabela4[[#This Row],[mlp_test_acc]] * 1</f>
        <v>0.97902097902097895</v>
      </c>
      <c r="AI53" s="5">
        <f>Tabela4[[#This Row],[mlp2_test_acc]] * 1</f>
        <v>0.97202797202797198</v>
      </c>
    </row>
    <row r="54" spans="1:35" x14ac:dyDescent="0.25">
      <c r="A54" t="s">
        <v>28</v>
      </c>
      <c r="B54" t="s">
        <v>273</v>
      </c>
      <c r="C54" t="s">
        <v>79</v>
      </c>
      <c r="D54" t="s">
        <v>274</v>
      </c>
      <c r="E54" t="s">
        <v>80</v>
      </c>
      <c r="F54" t="s">
        <v>396</v>
      </c>
      <c r="G54" t="s">
        <v>397</v>
      </c>
      <c r="H54" t="s">
        <v>398</v>
      </c>
      <c r="I54" t="s">
        <v>399</v>
      </c>
      <c r="J54" t="s">
        <v>89</v>
      </c>
      <c r="K54" t="s">
        <v>198</v>
      </c>
      <c r="L54" t="s">
        <v>86</v>
      </c>
      <c r="M54" t="s">
        <v>87</v>
      </c>
      <c r="N54" t="s">
        <v>88</v>
      </c>
      <c r="O54" t="s">
        <v>89</v>
      </c>
      <c r="P54" t="s">
        <v>263</v>
      </c>
      <c r="Q54" t="s">
        <v>400</v>
      </c>
      <c r="R54" t="s">
        <v>401</v>
      </c>
      <c r="S54" t="s">
        <v>93</v>
      </c>
      <c r="T54" t="s">
        <v>402</v>
      </c>
      <c r="U54" t="s">
        <v>95</v>
      </c>
      <c r="V54" t="s">
        <v>88</v>
      </c>
      <c r="W54" t="s">
        <v>89</v>
      </c>
      <c r="X54" t="s">
        <v>98</v>
      </c>
      <c r="Y54" t="s">
        <v>403</v>
      </c>
      <c r="Z54" t="s">
        <v>327</v>
      </c>
      <c r="AA54" t="s">
        <v>93</v>
      </c>
      <c r="AB54" t="s">
        <v>328</v>
      </c>
      <c r="AC54" t="s">
        <v>404</v>
      </c>
      <c r="AF54" s="6">
        <f>Tabela4[[#This Row],[kan_params]] * 1</f>
        <v>30234</v>
      </c>
      <c r="AG54" s="5">
        <f>Tabela4[[#This Row],[kan_test_acc]] * 1</f>
        <v>0.97202795743942205</v>
      </c>
      <c r="AH54" s="5">
        <f>Tabela4[[#This Row],[mlp_test_acc]] * 1</f>
        <v>0.97202797202797198</v>
      </c>
      <c r="AI54" s="5">
        <f>Tabela4[[#This Row],[mlp2_test_acc]] * 1</f>
        <v>0.965034965034965</v>
      </c>
    </row>
    <row r="55" spans="1:35" x14ac:dyDescent="0.25">
      <c r="A55" t="s">
        <v>28</v>
      </c>
      <c r="B55" t="s">
        <v>273</v>
      </c>
      <c r="C55" t="s">
        <v>79</v>
      </c>
      <c r="D55" t="s">
        <v>274</v>
      </c>
      <c r="E55" t="s">
        <v>80</v>
      </c>
      <c r="F55" t="s">
        <v>405</v>
      </c>
      <c r="G55" t="s">
        <v>406</v>
      </c>
      <c r="H55" t="s">
        <v>407</v>
      </c>
      <c r="I55" t="s">
        <v>408</v>
      </c>
      <c r="J55" t="s">
        <v>89</v>
      </c>
      <c r="K55" t="s">
        <v>198</v>
      </c>
      <c r="L55" t="s">
        <v>86</v>
      </c>
      <c r="M55" t="s">
        <v>87</v>
      </c>
      <c r="N55" t="s">
        <v>88</v>
      </c>
      <c r="O55" t="s">
        <v>89</v>
      </c>
      <c r="P55" t="s">
        <v>120</v>
      </c>
      <c r="Q55" t="s">
        <v>409</v>
      </c>
      <c r="R55" t="s">
        <v>410</v>
      </c>
      <c r="S55" t="s">
        <v>93</v>
      </c>
      <c r="T55" t="s">
        <v>411</v>
      </c>
      <c r="U55" t="s">
        <v>205</v>
      </c>
      <c r="V55" t="s">
        <v>88</v>
      </c>
      <c r="W55" t="s">
        <v>89</v>
      </c>
      <c r="X55" t="s">
        <v>98</v>
      </c>
      <c r="Y55" t="s">
        <v>412</v>
      </c>
      <c r="Z55" t="s">
        <v>340</v>
      </c>
      <c r="AA55" t="s">
        <v>93</v>
      </c>
      <c r="AB55" t="s">
        <v>341</v>
      </c>
      <c r="AC55" t="s">
        <v>413</v>
      </c>
      <c r="AF55" s="6">
        <f>Tabela4[[#This Row],[kan_params]] * 1</f>
        <v>32449</v>
      </c>
      <c r="AG55" s="5">
        <f>Tabela4[[#This Row],[kan_test_acc]] * 1</f>
        <v>0.97202795743942205</v>
      </c>
      <c r="AH55" s="5">
        <f>Tabela4[[#This Row],[mlp_test_acc]] * 1</f>
        <v>0.97202797202797198</v>
      </c>
      <c r="AI55" s="5">
        <f>Tabela4[[#This Row],[mlp2_test_acc]] * 1</f>
        <v>0.95804195804195802</v>
      </c>
    </row>
    <row r="56" spans="1:35" x14ac:dyDescent="0.25">
      <c r="A56" t="s">
        <v>28</v>
      </c>
      <c r="B56" t="s">
        <v>273</v>
      </c>
      <c r="C56" t="s">
        <v>79</v>
      </c>
      <c r="D56" t="s">
        <v>274</v>
      </c>
      <c r="E56" t="s">
        <v>80</v>
      </c>
      <c r="F56" t="s">
        <v>165</v>
      </c>
      <c r="G56" t="s">
        <v>433</v>
      </c>
      <c r="H56" t="s">
        <v>434</v>
      </c>
      <c r="I56" t="s">
        <v>435</v>
      </c>
      <c r="J56" t="s">
        <v>89</v>
      </c>
      <c r="K56" t="s">
        <v>89</v>
      </c>
      <c r="L56" t="s">
        <v>86</v>
      </c>
      <c r="M56" t="s">
        <v>87</v>
      </c>
      <c r="N56" t="s">
        <v>96</v>
      </c>
      <c r="O56" t="s">
        <v>89</v>
      </c>
      <c r="P56" t="s">
        <v>120</v>
      </c>
      <c r="Q56" t="s">
        <v>436</v>
      </c>
      <c r="R56" t="s">
        <v>256</v>
      </c>
      <c r="S56" t="s">
        <v>93</v>
      </c>
      <c r="T56" t="s">
        <v>257</v>
      </c>
      <c r="U56" t="s">
        <v>136</v>
      </c>
      <c r="V56" t="s">
        <v>267</v>
      </c>
      <c r="W56" t="s">
        <v>229</v>
      </c>
      <c r="X56" t="s">
        <v>98</v>
      </c>
      <c r="Y56" t="s">
        <v>437</v>
      </c>
      <c r="Z56" t="s">
        <v>392</v>
      </c>
      <c r="AA56" t="s">
        <v>93</v>
      </c>
      <c r="AB56" t="s">
        <v>393</v>
      </c>
      <c r="AC56" t="s">
        <v>438</v>
      </c>
      <c r="AF56" s="6">
        <f>Tabela4[[#This Row],[kan_params]] * 1</f>
        <v>27366</v>
      </c>
      <c r="AG56" s="5">
        <f>Tabela4[[#This Row],[kan_test_acc]] * 1</f>
        <v>0.97202795743942205</v>
      </c>
      <c r="AH56" s="5">
        <f>Tabela4[[#This Row],[mlp_test_acc]] * 1</f>
        <v>0.97202797202797198</v>
      </c>
      <c r="AI56" s="5">
        <f>Tabela4[[#This Row],[mlp2_test_acc]] * 1</f>
        <v>0.97902097902097895</v>
      </c>
    </row>
    <row r="57" spans="1:35" x14ac:dyDescent="0.25">
      <c r="A57" t="s">
        <v>28</v>
      </c>
      <c r="B57" t="s">
        <v>273</v>
      </c>
      <c r="C57" t="s">
        <v>79</v>
      </c>
      <c r="D57" t="s">
        <v>274</v>
      </c>
      <c r="E57" t="s">
        <v>80</v>
      </c>
      <c r="F57" t="s">
        <v>567</v>
      </c>
      <c r="G57" t="s">
        <v>568</v>
      </c>
      <c r="H57" t="s">
        <v>569</v>
      </c>
      <c r="I57" t="s">
        <v>570</v>
      </c>
      <c r="J57" t="s">
        <v>89</v>
      </c>
      <c r="K57" t="s">
        <v>89</v>
      </c>
      <c r="L57" t="s">
        <v>86</v>
      </c>
      <c r="M57" t="s">
        <v>95</v>
      </c>
      <c r="N57" t="s">
        <v>88</v>
      </c>
      <c r="O57" t="s">
        <v>89</v>
      </c>
      <c r="P57" t="s">
        <v>120</v>
      </c>
      <c r="Q57" t="s">
        <v>571</v>
      </c>
      <c r="R57" t="s">
        <v>344</v>
      </c>
      <c r="S57" t="s">
        <v>93</v>
      </c>
      <c r="T57" t="s">
        <v>345</v>
      </c>
      <c r="U57" t="s">
        <v>95</v>
      </c>
      <c r="V57" t="s">
        <v>96</v>
      </c>
      <c r="W57" t="s">
        <v>89</v>
      </c>
      <c r="X57" t="s">
        <v>98</v>
      </c>
      <c r="Y57" t="s">
        <v>572</v>
      </c>
      <c r="Z57" t="s">
        <v>173</v>
      </c>
      <c r="AA57" t="s">
        <v>93</v>
      </c>
      <c r="AB57" t="s">
        <v>174</v>
      </c>
      <c r="AC57" t="s">
        <v>573</v>
      </c>
      <c r="AF57" s="6">
        <f>Tabela4[[#This Row],[kan_params]] * 1</f>
        <v>33095</v>
      </c>
      <c r="AG57" s="5">
        <f>Tabela4[[#This Row],[kan_test_acc]] * 1</f>
        <v>0.97202795743942205</v>
      </c>
      <c r="AH57" s="5">
        <f>Tabela4[[#This Row],[mlp_test_acc]] * 1</f>
        <v>0.965034965034965</v>
      </c>
      <c r="AI57" s="5">
        <f>Tabela4[[#This Row],[mlp2_test_acc]] * 1</f>
        <v>0.965034965034965</v>
      </c>
    </row>
    <row r="58" spans="1:35" x14ac:dyDescent="0.25">
      <c r="A58" t="s">
        <v>28</v>
      </c>
      <c r="B58" t="s">
        <v>273</v>
      </c>
      <c r="C58" t="s">
        <v>79</v>
      </c>
      <c r="D58" t="s">
        <v>274</v>
      </c>
      <c r="E58" t="s">
        <v>80</v>
      </c>
      <c r="F58" t="s">
        <v>35</v>
      </c>
      <c r="G58" t="s">
        <v>641</v>
      </c>
      <c r="H58" t="s">
        <v>642</v>
      </c>
      <c r="I58" t="s">
        <v>643</v>
      </c>
      <c r="J58" t="s">
        <v>644</v>
      </c>
      <c r="K58" t="s">
        <v>89</v>
      </c>
      <c r="L58" t="s">
        <v>86</v>
      </c>
      <c r="M58" t="s">
        <v>509</v>
      </c>
      <c r="N58" t="s">
        <v>89</v>
      </c>
      <c r="O58" t="s">
        <v>620</v>
      </c>
      <c r="P58" t="s">
        <v>645</v>
      </c>
      <c r="Q58" t="s">
        <v>646</v>
      </c>
      <c r="R58" t="s">
        <v>227</v>
      </c>
      <c r="S58" t="s">
        <v>93</v>
      </c>
      <c r="T58" t="s">
        <v>228</v>
      </c>
      <c r="U58" t="s">
        <v>633</v>
      </c>
      <c r="V58" t="s">
        <v>89</v>
      </c>
      <c r="W58" t="s">
        <v>647</v>
      </c>
      <c r="X58" t="s">
        <v>626</v>
      </c>
      <c r="Y58" t="s">
        <v>648</v>
      </c>
      <c r="Z58" t="s">
        <v>232</v>
      </c>
      <c r="AA58" t="s">
        <v>93</v>
      </c>
      <c r="AB58" t="s">
        <v>233</v>
      </c>
      <c r="AC58" t="s">
        <v>649</v>
      </c>
      <c r="AF58" s="6">
        <f>Tabela4[[#This Row],[kan_params]] * 1</f>
        <v>21686</v>
      </c>
      <c r="AG58" s="5">
        <f>Tabela4[[#This Row],[kan_test_acc]] * 1</f>
        <v>0.97202795743942205</v>
      </c>
      <c r="AH58" s="5">
        <f>Tabela4[[#This Row],[mlp_test_acc]] * 1</f>
        <v>0.92307692307692302</v>
      </c>
      <c r="AI58" s="5">
        <f>Tabela4[[#This Row],[mlp2_test_acc]] * 1</f>
        <v>0.93006993006993</v>
      </c>
    </row>
    <row r="59" spans="1:35" x14ac:dyDescent="0.25">
      <c r="A59" t="s">
        <v>28</v>
      </c>
      <c r="B59" t="s">
        <v>78</v>
      </c>
      <c r="C59" t="s">
        <v>666</v>
      </c>
      <c r="D59" t="s">
        <v>274</v>
      </c>
      <c r="E59" t="s">
        <v>80</v>
      </c>
      <c r="F59" t="s">
        <v>39</v>
      </c>
      <c r="G59" t="s">
        <v>675</v>
      </c>
      <c r="H59" t="s">
        <v>676</v>
      </c>
      <c r="I59" t="s">
        <v>677</v>
      </c>
      <c r="J59" t="s">
        <v>89</v>
      </c>
      <c r="K59" t="s">
        <v>89</v>
      </c>
      <c r="L59" t="s">
        <v>86</v>
      </c>
      <c r="M59" t="s">
        <v>87</v>
      </c>
      <c r="N59" t="s">
        <v>89</v>
      </c>
      <c r="O59" t="s">
        <v>89</v>
      </c>
      <c r="P59" t="s">
        <v>678</v>
      </c>
      <c r="Q59" t="s">
        <v>679</v>
      </c>
      <c r="R59" t="s">
        <v>191</v>
      </c>
      <c r="S59" t="s">
        <v>93</v>
      </c>
      <c r="T59" t="s">
        <v>192</v>
      </c>
      <c r="U59" t="s">
        <v>141</v>
      </c>
      <c r="V59" t="s">
        <v>89</v>
      </c>
      <c r="W59" t="s">
        <v>89</v>
      </c>
      <c r="X59" t="s">
        <v>680</v>
      </c>
      <c r="Y59" t="s">
        <v>681</v>
      </c>
      <c r="Z59" t="s">
        <v>365</v>
      </c>
      <c r="AA59" t="s">
        <v>93</v>
      </c>
      <c r="AB59" t="s">
        <v>366</v>
      </c>
      <c r="AC59" t="s">
        <v>682</v>
      </c>
      <c r="AF59" s="6">
        <f>Tabela4[[#This Row],[kan_params]] * 1</f>
        <v>36976</v>
      </c>
      <c r="AG59" s="5">
        <f>Tabela4[[#This Row],[kan_test_acc]] * 1</f>
        <v>0.97202795743942205</v>
      </c>
      <c r="AH59" s="5">
        <f>Tabela4[[#This Row],[mlp_test_acc]] * 1</f>
        <v>0.97202797202797198</v>
      </c>
      <c r="AI59" s="5">
        <f>Tabela4[[#This Row],[mlp2_test_acc]] * 1</f>
        <v>0.99300699300699302</v>
      </c>
    </row>
    <row r="60" spans="1:35" x14ac:dyDescent="0.25">
      <c r="A60" t="s">
        <v>28</v>
      </c>
      <c r="B60" t="s">
        <v>78</v>
      </c>
      <c r="C60" t="s">
        <v>666</v>
      </c>
      <c r="D60" t="s">
        <v>274</v>
      </c>
      <c r="E60" t="s">
        <v>80</v>
      </c>
      <c r="F60" t="s">
        <v>40</v>
      </c>
      <c r="G60" t="s">
        <v>683</v>
      </c>
      <c r="H60" t="s">
        <v>684</v>
      </c>
      <c r="I60" t="s">
        <v>685</v>
      </c>
      <c r="J60" t="s">
        <v>89</v>
      </c>
      <c r="K60" t="s">
        <v>85</v>
      </c>
      <c r="L60" t="s">
        <v>86</v>
      </c>
      <c r="M60" t="s">
        <v>239</v>
      </c>
      <c r="N60" t="s">
        <v>89</v>
      </c>
      <c r="O60" t="s">
        <v>243</v>
      </c>
      <c r="P60" t="s">
        <v>686</v>
      </c>
      <c r="Q60" t="s">
        <v>687</v>
      </c>
      <c r="R60" t="s">
        <v>208</v>
      </c>
      <c r="S60" t="s">
        <v>93</v>
      </c>
      <c r="T60" t="s">
        <v>209</v>
      </c>
      <c r="U60" t="s">
        <v>136</v>
      </c>
      <c r="V60" t="s">
        <v>89</v>
      </c>
      <c r="W60" t="s">
        <v>89</v>
      </c>
      <c r="X60" t="s">
        <v>278</v>
      </c>
      <c r="Y60" t="s">
        <v>688</v>
      </c>
      <c r="Z60" t="s">
        <v>689</v>
      </c>
      <c r="AA60" t="s">
        <v>93</v>
      </c>
      <c r="AB60" t="s">
        <v>690</v>
      </c>
      <c r="AC60" t="s">
        <v>691</v>
      </c>
      <c r="AF60" s="6">
        <f>Tabela4[[#This Row],[kan_params]] * 1</f>
        <v>39681</v>
      </c>
      <c r="AG60" s="5">
        <f>Tabela4[[#This Row],[kan_test_acc]] * 1</f>
        <v>0.97202795743942205</v>
      </c>
      <c r="AH60" s="5">
        <f>Tabela4[[#This Row],[mlp_test_acc]] * 1</f>
        <v>0.98601398601398604</v>
      </c>
      <c r="AI60" s="5">
        <f>Tabela4[[#This Row],[mlp2_test_acc]] * 1</f>
        <v>0.97902097902097895</v>
      </c>
    </row>
    <row r="61" spans="1:35" x14ac:dyDescent="0.25">
      <c r="A61" t="s">
        <v>28</v>
      </c>
      <c r="B61" t="s">
        <v>78</v>
      </c>
      <c r="C61" t="s">
        <v>666</v>
      </c>
      <c r="D61" t="s">
        <v>274</v>
      </c>
      <c r="E61" t="s">
        <v>80</v>
      </c>
      <c r="F61" t="s">
        <v>537</v>
      </c>
      <c r="G61" t="s">
        <v>757</v>
      </c>
      <c r="H61" t="s">
        <v>758</v>
      </c>
      <c r="I61" t="s">
        <v>759</v>
      </c>
      <c r="J61" t="s">
        <v>89</v>
      </c>
      <c r="K61" t="s">
        <v>89</v>
      </c>
      <c r="L61" t="s">
        <v>86</v>
      </c>
      <c r="M61" t="s">
        <v>136</v>
      </c>
      <c r="N61" t="s">
        <v>89</v>
      </c>
      <c r="O61" t="s">
        <v>89</v>
      </c>
      <c r="P61" t="s">
        <v>263</v>
      </c>
      <c r="Q61" t="s">
        <v>760</v>
      </c>
      <c r="R61" t="s">
        <v>761</v>
      </c>
      <c r="S61" t="s">
        <v>93</v>
      </c>
      <c r="T61" t="s">
        <v>762</v>
      </c>
      <c r="U61" t="s">
        <v>239</v>
      </c>
      <c r="V61" t="s">
        <v>89</v>
      </c>
      <c r="W61" t="s">
        <v>89</v>
      </c>
      <c r="X61" t="s">
        <v>246</v>
      </c>
      <c r="Y61" t="s">
        <v>763</v>
      </c>
      <c r="Z61" t="s">
        <v>764</v>
      </c>
      <c r="AA61" t="s">
        <v>93</v>
      </c>
      <c r="AB61" t="s">
        <v>765</v>
      </c>
      <c r="AC61" t="s">
        <v>766</v>
      </c>
      <c r="AF61" s="6">
        <f>Tabela4[[#This Row],[kan_params]] * 1</f>
        <v>50498</v>
      </c>
      <c r="AG61" s="5">
        <f>Tabela4[[#This Row],[kan_test_acc]] * 1</f>
        <v>0.97202795743942205</v>
      </c>
      <c r="AH61" s="5">
        <f>Tabela4[[#This Row],[mlp_test_acc]] * 1</f>
        <v>0.97902097902097895</v>
      </c>
      <c r="AI61" s="5">
        <f>Tabela4[[#This Row],[mlp2_test_acc]] * 1</f>
        <v>0.98601398601398604</v>
      </c>
    </row>
    <row r="62" spans="1:35" x14ac:dyDescent="0.25">
      <c r="A62" t="s">
        <v>28</v>
      </c>
      <c r="B62" t="s">
        <v>78</v>
      </c>
      <c r="C62" t="s">
        <v>666</v>
      </c>
      <c r="D62" t="s">
        <v>274</v>
      </c>
      <c r="E62" t="s">
        <v>80</v>
      </c>
      <c r="F62" t="s">
        <v>560</v>
      </c>
      <c r="G62" t="s">
        <v>767</v>
      </c>
      <c r="H62" t="s">
        <v>768</v>
      </c>
      <c r="I62" t="s">
        <v>769</v>
      </c>
      <c r="J62" t="s">
        <v>89</v>
      </c>
      <c r="K62" t="s">
        <v>198</v>
      </c>
      <c r="L62" t="s">
        <v>86</v>
      </c>
      <c r="M62" t="s">
        <v>136</v>
      </c>
      <c r="N62" t="s">
        <v>96</v>
      </c>
      <c r="O62" t="s">
        <v>89</v>
      </c>
      <c r="P62" t="s">
        <v>263</v>
      </c>
      <c r="Q62" t="s">
        <v>770</v>
      </c>
      <c r="R62" t="s">
        <v>355</v>
      </c>
      <c r="S62" t="s">
        <v>93</v>
      </c>
      <c r="T62" t="s">
        <v>356</v>
      </c>
      <c r="U62" t="s">
        <v>136</v>
      </c>
      <c r="V62" t="s">
        <v>96</v>
      </c>
      <c r="W62" t="s">
        <v>97</v>
      </c>
      <c r="X62" t="s">
        <v>98</v>
      </c>
      <c r="Y62" t="s">
        <v>771</v>
      </c>
      <c r="Z62" t="s">
        <v>579</v>
      </c>
      <c r="AA62" t="s">
        <v>93</v>
      </c>
      <c r="AB62" t="s">
        <v>580</v>
      </c>
      <c r="AC62" t="s">
        <v>772</v>
      </c>
      <c r="AF62" s="6">
        <f>Tabela4[[#This Row],[kan_params]] * 1</f>
        <v>35170</v>
      </c>
      <c r="AG62" s="5">
        <f>Tabela4[[#This Row],[kan_test_acc]] * 1</f>
        <v>0.97202795743942205</v>
      </c>
      <c r="AH62" s="5">
        <f>Tabela4[[#This Row],[mlp_test_acc]] * 1</f>
        <v>0.97902097902097895</v>
      </c>
      <c r="AI62" s="5">
        <f>Tabela4[[#This Row],[mlp2_test_acc]] * 1</f>
        <v>0.97902097902097895</v>
      </c>
    </row>
    <row r="63" spans="1:35" x14ac:dyDescent="0.25">
      <c r="A63" t="s">
        <v>28</v>
      </c>
      <c r="B63" t="s">
        <v>78</v>
      </c>
      <c r="C63" t="s">
        <v>666</v>
      </c>
      <c r="D63" t="s">
        <v>274</v>
      </c>
      <c r="E63" t="s">
        <v>80</v>
      </c>
      <c r="F63" t="s">
        <v>567</v>
      </c>
      <c r="G63" t="s">
        <v>773</v>
      </c>
      <c r="H63" t="s">
        <v>774</v>
      </c>
      <c r="I63" t="s">
        <v>775</v>
      </c>
      <c r="J63" t="s">
        <v>89</v>
      </c>
      <c r="K63" t="s">
        <v>198</v>
      </c>
      <c r="L63" t="s">
        <v>86</v>
      </c>
      <c r="M63" t="s">
        <v>239</v>
      </c>
      <c r="N63" t="s">
        <v>96</v>
      </c>
      <c r="O63" t="s">
        <v>89</v>
      </c>
      <c r="P63" t="s">
        <v>263</v>
      </c>
      <c r="Q63" t="s">
        <v>776</v>
      </c>
      <c r="R63" t="s">
        <v>588</v>
      </c>
      <c r="S63" t="s">
        <v>93</v>
      </c>
      <c r="T63" t="s">
        <v>589</v>
      </c>
      <c r="U63" t="s">
        <v>87</v>
      </c>
      <c r="V63" t="s">
        <v>96</v>
      </c>
      <c r="W63" t="s">
        <v>110</v>
      </c>
      <c r="X63" t="s">
        <v>98</v>
      </c>
      <c r="Y63" t="s">
        <v>777</v>
      </c>
      <c r="Z63" t="s">
        <v>526</v>
      </c>
      <c r="AA63" t="s">
        <v>93</v>
      </c>
      <c r="AB63" t="s">
        <v>527</v>
      </c>
      <c r="AC63" t="s">
        <v>778</v>
      </c>
      <c r="AF63" s="6">
        <f>Tabela4[[#This Row],[kan_params]] * 1</f>
        <v>38175</v>
      </c>
      <c r="AG63" s="5">
        <f>Tabela4[[#This Row],[kan_test_acc]] * 1</f>
        <v>0.97202795743942205</v>
      </c>
      <c r="AH63" s="5">
        <f>Tabela4[[#This Row],[mlp_test_acc]] * 1</f>
        <v>0.98601398601398604</v>
      </c>
      <c r="AI63" s="5">
        <f>Tabela4[[#This Row],[mlp2_test_acc]] * 1</f>
        <v>0.97202797202797198</v>
      </c>
    </row>
    <row r="64" spans="1:35" x14ac:dyDescent="0.25">
      <c r="A64" t="s">
        <v>28</v>
      </c>
      <c r="B64" t="s">
        <v>78</v>
      </c>
      <c r="C64" t="s">
        <v>666</v>
      </c>
      <c r="D64" t="s">
        <v>274</v>
      </c>
      <c r="E64" t="s">
        <v>80</v>
      </c>
      <c r="F64" t="s">
        <v>592</v>
      </c>
      <c r="G64" t="s">
        <v>791</v>
      </c>
      <c r="H64" t="s">
        <v>792</v>
      </c>
      <c r="I64" t="s">
        <v>793</v>
      </c>
      <c r="J64" t="s">
        <v>89</v>
      </c>
      <c r="K64" t="s">
        <v>85</v>
      </c>
      <c r="L64" t="s">
        <v>86</v>
      </c>
      <c r="M64" t="s">
        <v>95</v>
      </c>
      <c r="N64" t="s">
        <v>96</v>
      </c>
      <c r="O64" t="s">
        <v>89</v>
      </c>
      <c r="P64" t="s">
        <v>510</v>
      </c>
      <c r="Q64" t="s">
        <v>794</v>
      </c>
      <c r="R64" t="s">
        <v>753</v>
      </c>
      <c r="S64" t="s">
        <v>93</v>
      </c>
      <c r="T64" t="s">
        <v>754</v>
      </c>
      <c r="U64" t="s">
        <v>205</v>
      </c>
      <c r="V64" t="s">
        <v>267</v>
      </c>
      <c r="W64" t="s">
        <v>89</v>
      </c>
      <c r="X64" t="s">
        <v>98</v>
      </c>
      <c r="Y64" t="s">
        <v>795</v>
      </c>
      <c r="Z64" t="s">
        <v>155</v>
      </c>
      <c r="AA64" t="s">
        <v>93</v>
      </c>
      <c r="AB64" t="s">
        <v>156</v>
      </c>
      <c r="AC64" t="s">
        <v>796</v>
      </c>
      <c r="AF64" s="6">
        <f>Tabela4[[#This Row],[kan_params]] * 1</f>
        <v>47190</v>
      </c>
      <c r="AG64" s="5">
        <f>Tabela4[[#This Row],[kan_test_acc]] * 1</f>
        <v>0.97202795743942205</v>
      </c>
      <c r="AH64" s="5">
        <f>Tabela4[[#This Row],[mlp_test_acc]] * 1</f>
        <v>0.965034965034965</v>
      </c>
      <c r="AI64" s="5">
        <f>Tabela4[[#This Row],[mlp2_test_acc]] * 1</f>
        <v>0.95804195804195802</v>
      </c>
    </row>
    <row r="65" spans="1:35" x14ac:dyDescent="0.25">
      <c r="A65" t="s">
        <v>28</v>
      </c>
      <c r="B65" t="s">
        <v>78</v>
      </c>
      <c r="C65" t="s">
        <v>666</v>
      </c>
      <c r="D65" t="s">
        <v>274</v>
      </c>
      <c r="E65" t="s">
        <v>80</v>
      </c>
      <c r="F65" t="s">
        <v>601</v>
      </c>
      <c r="G65" t="s">
        <v>797</v>
      </c>
      <c r="H65" t="s">
        <v>798</v>
      </c>
      <c r="I65" t="s">
        <v>799</v>
      </c>
      <c r="J65" t="s">
        <v>89</v>
      </c>
      <c r="K65" t="s">
        <v>198</v>
      </c>
      <c r="L65" t="s">
        <v>86</v>
      </c>
      <c r="M65" t="s">
        <v>205</v>
      </c>
      <c r="N65" t="s">
        <v>267</v>
      </c>
      <c r="O65" t="s">
        <v>89</v>
      </c>
      <c r="P65" t="s">
        <v>305</v>
      </c>
      <c r="Q65" t="s">
        <v>800</v>
      </c>
      <c r="R65" t="s">
        <v>801</v>
      </c>
      <c r="S65" t="s">
        <v>93</v>
      </c>
      <c r="T65" t="s">
        <v>802</v>
      </c>
      <c r="U65" t="s">
        <v>205</v>
      </c>
      <c r="V65" t="s">
        <v>267</v>
      </c>
      <c r="W65" t="s">
        <v>89</v>
      </c>
      <c r="X65" t="s">
        <v>98</v>
      </c>
      <c r="Y65" t="s">
        <v>803</v>
      </c>
      <c r="Z65" t="s">
        <v>761</v>
      </c>
      <c r="AA65" t="s">
        <v>93</v>
      </c>
      <c r="AB65" t="s">
        <v>762</v>
      </c>
      <c r="AC65" t="s">
        <v>804</v>
      </c>
      <c r="AF65" s="6">
        <f>Tabela4[[#This Row],[kan_params]] * 1</f>
        <v>50195</v>
      </c>
      <c r="AG65" s="5">
        <f>Tabela4[[#This Row],[kan_test_acc]] * 1</f>
        <v>0.97202795743942205</v>
      </c>
      <c r="AH65" s="5">
        <f>Tabela4[[#This Row],[mlp_test_acc]] * 1</f>
        <v>0.95804195804195802</v>
      </c>
      <c r="AI65" s="5">
        <f>Tabela4[[#This Row],[mlp2_test_acc]] * 1</f>
        <v>0.95804195804195802</v>
      </c>
    </row>
    <row r="66" spans="1:35" x14ac:dyDescent="0.25">
      <c r="A66" t="s">
        <v>28</v>
      </c>
      <c r="B66" t="s">
        <v>814</v>
      </c>
      <c r="C66" t="s">
        <v>666</v>
      </c>
      <c r="D66" t="s">
        <v>79</v>
      </c>
      <c r="E66" t="s">
        <v>80</v>
      </c>
      <c r="F66" t="s">
        <v>29</v>
      </c>
      <c r="G66" t="s">
        <v>815</v>
      </c>
      <c r="H66" t="s">
        <v>816</v>
      </c>
      <c r="I66" t="s">
        <v>817</v>
      </c>
      <c r="J66" t="s">
        <v>89</v>
      </c>
      <c r="K66" t="s">
        <v>85</v>
      </c>
      <c r="L66" t="s">
        <v>86</v>
      </c>
      <c r="M66" t="s">
        <v>205</v>
      </c>
      <c r="N66" t="s">
        <v>267</v>
      </c>
      <c r="O66" t="s">
        <v>89</v>
      </c>
      <c r="P66" t="s">
        <v>510</v>
      </c>
      <c r="Q66" t="s">
        <v>818</v>
      </c>
      <c r="R66" t="s">
        <v>819</v>
      </c>
      <c r="S66" t="s">
        <v>93</v>
      </c>
      <c r="T66" t="s">
        <v>820</v>
      </c>
      <c r="U66" t="s">
        <v>119</v>
      </c>
      <c r="V66" t="s">
        <v>254</v>
      </c>
      <c r="W66" t="s">
        <v>268</v>
      </c>
      <c r="X66" t="s">
        <v>98</v>
      </c>
      <c r="Y66" t="s">
        <v>821</v>
      </c>
      <c r="Z66" t="s">
        <v>822</v>
      </c>
      <c r="AA66" t="s">
        <v>93</v>
      </c>
      <c r="AB66" t="s">
        <v>823</v>
      </c>
      <c r="AC66" t="s">
        <v>824</v>
      </c>
      <c r="AF66" s="6">
        <f>Tabela4[[#This Row],[kan_params]] * 1</f>
        <v>12696</v>
      </c>
      <c r="AG66" s="5">
        <f>Tabela4[[#This Row],[kan_test_acc]] * 1</f>
        <v>0.97202795743942205</v>
      </c>
      <c r="AH66" s="5">
        <f>Tabela4[[#This Row],[mlp_test_acc]] * 1</f>
        <v>0.95804195804195802</v>
      </c>
      <c r="AI66" s="5">
        <f>Tabela4[[#This Row],[mlp2_test_acc]] * 1</f>
        <v>0.95104895104895104</v>
      </c>
    </row>
    <row r="67" spans="1:35" x14ac:dyDescent="0.25">
      <c r="A67" t="s">
        <v>28</v>
      </c>
      <c r="B67" t="s">
        <v>814</v>
      </c>
      <c r="C67" t="s">
        <v>666</v>
      </c>
      <c r="D67" t="s">
        <v>79</v>
      </c>
      <c r="E67" t="s">
        <v>80</v>
      </c>
      <c r="F67" t="s">
        <v>32</v>
      </c>
      <c r="G67" t="s">
        <v>859</v>
      </c>
      <c r="H67" t="s">
        <v>860</v>
      </c>
      <c r="I67" t="s">
        <v>120</v>
      </c>
      <c r="J67" t="s">
        <v>89</v>
      </c>
      <c r="K67" t="s">
        <v>89</v>
      </c>
      <c r="L67" t="s">
        <v>86</v>
      </c>
      <c r="M67" t="s">
        <v>95</v>
      </c>
      <c r="N67" t="s">
        <v>88</v>
      </c>
      <c r="O67" t="s">
        <v>89</v>
      </c>
      <c r="P67" t="s">
        <v>861</v>
      </c>
      <c r="Q67" t="s">
        <v>862</v>
      </c>
      <c r="R67" t="s">
        <v>863</v>
      </c>
      <c r="S67" t="s">
        <v>93</v>
      </c>
      <c r="T67" t="s">
        <v>864</v>
      </c>
      <c r="U67" t="s">
        <v>119</v>
      </c>
      <c r="V67" t="s">
        <v>88</v>
      </c>
      <c r="W67" t="s">
        <v>268</v>
      </c>
      <c r="X67" t="s">
        <v>98</v>
      </c>
      <c r="Y67" t="s">
        <v>865</v>
      </c>
      <c r="Z67" t="s">
        <v>227</v>
      </c>
      <c r="AA67" t="s">
        <v>93</v>
      </c>
      <c r="AB67" t="s">
        <v>228</v>
      </c>
      <c r="AC67" t="s">
        <v>866</v>
      </c>
      <c r="AF67" s="6">
        <f>Tabela4[[#This Row],[kan_params]] * 1</f>
        <v>21351</v>
      </c>
      <c r="AG67" s="5">
        <f>Tabela4[[#This Row],[kan_test_acc]] * 1</f>
        <v>0.97202795743942205</v>
      </c>
      <c r="AH67" s="5">
        <f>Tabela4[[#This Row],[mlp_test_acc]] * 1</f>
        <v>0.965034965034965</v>
      </c>
      <c r="AI67" s="5">
        <f>Tabela4[[#This Row],[mlp2_test_acc]] * 1</f>
        <v>0.95104895104895104</v>
      </c>
    </row>
    <row r="68" spans="1:35" x14ac:dyDescent="0.25">
      <c r="A68" t="s">
        <v>28</v>
      </c>
      <c r="B68" t="s">
        <v>959</v>
      </c>
      <c r="C68" t="s">
        <v>1026</v>
      </c>
      <c r="D68" t="s">
        <v>79</v>
      </c>
      <c r="E68" t="s">
        <v>80</v>
      </c>
      <c r="F68" t="s">
        <v>405</v>
      </c>
      <c r="G68" t="s">
        <v>1093</v>
      </c>
      <c r="H68" t="s">
        <v>1094</v>
      </c>
      <c r="I68" t="s">
        <v>156</v>
      </c>
      <c r="J68" t="s">
        <v>89</v>
      </c>
      <c r="K68" t="s">
        <v>198</v>
      </c>
      <c r="L68" t="s">
        <v>86</v>
      </c>
      <c r="M68" t="s">
        <v>205</v>
      </c>
      <c r="N68" t="s">
        <v>267</v>
      </c>
      <c r="O68" t="s">
        <v>89</v>
      </c>
      <c r="P68" t="s">
        <v>510</v>
      </c>
      <c r="Q68" t="s">
        <v>1095</v>
      </c>
      <c r="R68" t="s">
        <v>1058</v>
      </c>
      <c r="S68" t="s">
        <v>93</v>
      </c>
      <c r="T68" t="s">
        <v>925</v>
      </c>
      <c r="U68" t="s">
        <v>449</v>
      </c>
      <c r="V68" t="s">
        <v>267</v>
      </c>
      <c r="W68" t="s">
        <v>89</v>
      </c>
      <c r="X68" t="s">
        <v>98</v>
      </c>
      <c r="Y68" t="s">
        <v>1096</v>
      </c>
      <c r="Z68" t="s">
        <v>952</v>
      </c>
      <c r="AA68" t="s">
        <v>93</v>
      </c>
      <c r="AB68" t="s">
        <v>953</v>
      </c>
      <c r="AC68" t="s">
        <v>1097</v>
      </c>
      <c r="AF68" s="6">
        <f>Tabela4[[#This Row],[kan_params]] * 1</f>
        <v>54859</v>
      </c>
      <c r="AG68" s="5">
        <f>Tabela4[[#This Row],[kan_test_acc]] * 1</f>
        <v>0.97202795743942205</v>
      </c>
      <c r="AH68" s="5">
        <f>Tabela4[[#This Row],[mlp_test_acc]] * 1</f>
        <v>0.95804195804195802</v>
      </c>
      <c r="AI68" s="5">
        <f>Tabela4[[#This Row],[mlp2_test_acc]] * 1</f>
        <v>0.94405594405594395</v>
      </c>
    </row>
    <row r="69" spans="1:35" x14ac:dyDescent="0.25">
      <c r="A69" t="s">
        <v>28</v>
      </c>
      <c r="B69" t="s">
        <v>959</v>
      </c>
      <c r="C69" t="s">
        <v>1026</v>
      </c>
      <c r="D69" t="s">
        <v>79</v>
      </c>
      <c r="E69" t="s">
        <v>80</v>
      </c>
      <c r="F69" t="s">
        <v>560</v>
      </c>
      <c r="G69" t="s">
        <v>1208</v>
      </c>
      <c r="H69" t="s">
        <v>1209</v>
      </c>
      <c r="I69" t="s">
        <v>1206</v>
      </c>
      <c r="J69" t="s">
        <v>89</v>
      </c>
      <c r="K69" t="s">
        <v>134</v>
      </c>
      <c r="L69" t="s">
        <v>86</v>
      </c>
      <c r="M69" t="s">
        <v>239</v>
      </c>
      <c r="N69" t="s">
        <v>88</v>
      </c>
      <c r="O69" t="s">
        <v>89</v>
      </c>
      <c r="P69" t="s">
        <v>305</v>
      </c>
      <c r="Q69" t="s">
        <v>1210</v>
      </c>
      <c r="R69" t="s">
        <v>1050</v>
      </c>
      <c r="S69" t="s">
        <v>93</v>
      </c>
      <c r="T69" t="s">
        <v>1051</v>
      </c>
      <c r="U69" t="s">
        <v>136</v>
      </c>
      <c r="V69" t="s">
        <v>96</v>
      </c>
      <c r="W69" t="s">
        <v>243</v>
      </c>
      <c r="X69" t="s">
        <v>98</v>
      </c>
      <c r="Y69" t="s">
        <v>1211</v>
      </c>
      <c r="Z69" t="s">
        <v>939</v>
      </c>
      <c r="AA69" t="s">
        <v>93</v>
      </c>
      <c r="AB69" t="s">
        <v>940</v>
      </c>
      <c r="AC69" t="s">
        <v>1212</v>
      </c>
      <c r="AF69" s="6">
        <f>Tabela4[[#This Row],[kan_params]] * 1</f>
        <v>51550</v>
      </c>
      <c r="AG69" s="5">
        <f>Tabela4[[#This Row],[kan_test_acc]] * 1</f>
        <v>0.97202795743942205</v>
      </c>
      <c r="AH69" s="5">
        <f>Tabela4[[#This Row],[mlp_test_acc]] * 1</f>
        <v>0.98601398601398604</v>
      </c>
      <c r="AI69" s="5">
        <f>Tabela4[[#This Row],[mlp2_test_acc]] * 1</f>
        <v>0.97902097902097895</v>
      </c>
    </row>
    <row r="70" spans="1:35" x14ac:dyDescent="0.25">
      <c r="A70" t="s">
        <v>28</v>
      </c>
      <c r="B70" t="s">
        <v>959</v>
      </c>
      <c r="C70" t="s">
        <v>1026</v>
      </c>
      <c r="D70" t="s">
        <v>79</v>
      </c>
      <c r="E70" t="s">
        <v>80</v>
      </c>
      <c r="F70" t="s">
        <v>583</v>
      </c>
      <c r="G70" t="s">
        <v>1229</v>
      </c>
      <c r="H70" t="s">
        <v>1230</v>
      </c>
      <c r="I70" t="s">
        <v>1225</v>
      </c>
      <c r="J70" t="s">
        <v>89</v>
      </c>
      <c r="K70" t="s">
        <v>89</v>
      </c>
      <c r="L70" t="s">
        <v>86</v>
      </c>
      <c r="M70" t="s">
        <v>95</v>
      </c>
      <c r="N70" t="s">
        <v>89</v>
      </c>
      <c r="O70" t="s">
        <v>1221</v>
      </c>
      <c r="P70" t="s">
        <v>1231</v>
      </c>
      <c r="Q70" t="s">
        <v>1232</v>
      </c>
      <c r="R70" t="s">
        <v>1233</v>
      </c>
      <c r="S70" t="s">
        <v>93</v>
      </c>
      <c r="T70" t="s">
        <v>1234</v>
      </c>
      <c r="U70" t="s">
        <v>95</v>
      </c>
      <c r="V70" t="s">
        <v>89</v>
      </c>
      <c r="W70" t="s">
        <v>1221</v>
      </c>
      <c r="X70" t="s">
        <v>1235</v>
      </c>
      <c r="Y70" t="s">
        <v>1236</v>
      </c>
      <c r="Z70" t="s">
        <v>1190</v>
      </c>
      <c r="AA70" t="s">
        <v>93</v>
      </c>
      <c r="AB70" t="s">
        <v>1191</v>
      </c>
      <c r="AC70" t="s">
        <v>1237</v>
      </c>
      <c r="AF70" s="6">
        <f>Tabela4[[#This Row],[kan_params]] * 1</f>
        <v>64765</v>
      </c>
      <c r="AG70" s="5">
        <f>Tabela4[[#This Row],[kan_test_acc]] * 1</f>
        <v>0.97202795743942205</v>
      </c>
      <c r="AH70" s="5">
        <f>Tabela4[[#This Row],[mlp_test_acc]] * 1</f>
        <v>0.965034965034965</v>
      </c>
      <c r="AI70" s="5">
        <f>Tabela4[[#This Row],[mlp2_test_acc]] * 1</f>
        <v>0.965034965034965</v>
      </c>
    </row>
    <row r="71" spans="1:35" x14ac:dyDescent="0.25">
      <c r="A71" t="s">
        <v>28</v>
      </c>
      <c r="B71" t="s">
        <v>959</v>
      </c>
      <c r="C71" t="s">
        <v>1026</v>
      </c>
      <c r="D71" t="s">
        <v>79</v>
      </c>
      <c r="E71" t="s">
        <v>80</v>
      </c>
      <c r="F71" t="s">
        <v>601</v>
      </c>
      <c r="G71" t="s">
        <v>1245</v>
      </c>
      <c r="H71" t="s">
        <v>1246</v>
      </c>
      <c r="I71" t="s">
        <v>580</v>
      </c>
      <c r="J71" t="s">
        <v>89</v>
      </c>
      <c r="K71" t="s">
        <v>89</v>
      </c>
      <c r="L71" t="s">
        <v>86</v>
      </c>
      <c r="M71" t="s">
        <v>87</v>
      </c>
      <c r="N71" t="s">
        <v>89</v>
      </c>
      <c r="O71" t="s">
        <v>188</v>
      </c>
      <c r="P71" t="s">
        <v>1247</v>
      </c>
      <c r="Q71" t="s">
        <v>1248</v>
      </c>
      <c r="R71" t="s">
        <v>1202</v>
      </c>
      <c r="S71" t="s">
        <v>93</v>
      </c>
      <c r="T71" t="s">
        <v>1203</v>
      </c>
      <c r="U71" t="s">
        <v>95</v>
      </c>
      <c r="V71" t="s">
        <v>89</v>
      </c>
      <c r="W71" t="s">
        <v>1249</v>
      </c>
      <c r="X71" t="s">
        <v>1250</v>
      </c>
      <c r="Y71" t="s">
        <v>1251</v>
      </c>
      <c r="Z71" t="s">
        <v>1205</v>
      </c>
      <c r="AA71" t="s">
        <v>93</v>
      </c>
      <c r="AB71" t="s">
        <v>1206</v>
      </c>
      <c r="AC71" t="s">
        <v>1252</v>
      </c>
      <c r="AF71" s="6">
        <f>Tabela4[[#This Row],[kan_params]] * 1</f>
        <v>73575</v>
      </c>
      <c r="AG71" s="5">
        <f>Tabela4[[#This Row],[kan_test_acc]] * 1</f>
        <v>0.97202795743942205</v>
      </c>
      <c r="AH71" s="5">
        <f>Tabela4[[#This Row],[mlp_test_acc]] * 1</f>
        <v>0.97202797202797198</v>
      </c>
      <c r="AI71" s="5">
        <f>Tabela4[[#This Row],[mlp2_test_acc]] * 1</f>
        <v>0.965034965034965</v>
      </c>
    </row>
    <row r="72" spans="1:35" x14ac:dyDescent="0.25">
      <c r="A72" t="s">
        <v>28</v>
      </c>
      <c r="B72" t="s">
        <v>959</v>
      </c>
      <c r="C72" t="s">
        <v>1026</v>
      </c>
      <c r="D72" t="s">
        <v>79</v>
      </c>
      <c r="E72" t="s">
        <v>80</v>
      </c>
      <c r="F72" t="s">
        <v>34</v>
      </c>
      <c r="G72" t="s">
        <v>1269</v>
      </c>
      <c r="H72" t="s">
        <v>1270</v>
      </c>
      <c r="I72" t="s">
        <v>580</v>
      </c>
      <c r="J72" t="s">
        <v>89</v>
      </c>
      <c r="K72" t="s">
        <v>134</v>
      </c>
      <c r="L72" t="s">
        <v>86</v>
      </c>
      <c r="M72" t="s">
        <v>95</v>
      </c>
      <c r="N72" t="s">
        <v>267</v>
      </c>
      <c r="O72" t="s">
        <v>89</v>
      </c>
      <c r="P72" t="s">
        <v>1271</v>
      </c>
      <c r="Q72" t="s">
        <v>1272</v>
      </c>
      <c r="R72" t="s">
        <v>344</v>
      </c>
      <c r="S72" t="s">
        <v>93</v>
      </c>
      <c r="T72" t="s">
        <v>345</v>
      </c>
      <c r="U72" t="s">
        <v>87</v>
      </c>
      <c r="V72" t="s">
        <v>88</v>
      </c>
      <c r="W72" t="s">
        <v>89</v>
      </c>
      <c r="X72" t="s">
        <v>1273</v>
      </c>
      <c r="Y72" t="s">
        <v>1274</v>
      </c>
      <c r="Z72" t="s">
        <v>173</v>
      </c>
      <c r="AA72" t="s">
        <v>93</v>
      </c>
      <c r="AB72" t="s">
        <v>174</v>
      </c>
      <c r="AC72" t="s">
        <v>1275</v>
      </c>
      <c r="AF72" s="6">
        <f>Tabela4[[#This Row],[kan_params]] * 1</f>
        <v>33137</v>
      </c>
      <c r="AG72" s="5">
        <f>Tabela4[[#This Row],[kan_test_acc]] * 1</f>
        <v>0.97202795743942205</v>
      </c>
      <c r="AH72" s="5">
        <f>Tabela4[[#This Row],[mlp_test_acc]] * 1</f>
        <v>0.965034965034965</v>
      </c>
      <c r="AI72" s="5">
        <f>Tabela4[[#This Row],[mlp2_test_acc]] * 1</f>
        <v>0.97202797202797198</v>
      </c>
    </row>
    <row r="73" spans="1:35" x14ac:dyDescent="0.25">
      <c r="A73" t="s">
        <v>28</v>
      </c>
      <c r="B73" t="s">
        <v>1297</v>
      </c>
      <c r="C73" t="s">
        <v>1026</v>
      </c>
      <c r="D73" t="s">
        <v>898</v>
      </c>
      <c r="E73" t="s">
        <v>80</v>
      </c>
      <c r="F73" t="s">
        <v>29</v>
      </c>
      <c r="G73" t="s">
        <v>1298</v>
      </c>
      <c r="H73" t="s">
        <v>1299</v>
      </c>
      <c r="I73" t="s">
        <v>1300</v>
      </c>
      <c r="J73" t="s">
        <v>89</v>
      </c>
      <c r="K73" t="s">
        <v>89</v>
      </c>
      <c r="L73" t="s">
        <v>86</v>
      </c>
      <c r="M73" t="s">
        <v>136</v>
      </c>
      <c r="N73" t="s">
        <v>89</v>
      </c>
      <c r="O73" t="s">
        <v>996</v>
      </c>
      <c r="P73" t="s">
        <v>1301</v>
      </c>
      <c r="Q73" t="s">
        <v>1302</v>
      </c>
      <c r="R73" t="s">
        <v>623</v>
      </c>
      <c r="S73" t="s">
        <v>93</v>
      </c>
      <c r="T73" t="s">
        <v>624</v>
      </c>
      <c r="U73" t="s">
        <v>87</v>
      </c>
      <c r="V73" t="s">
        <v>89</v>
      </c>
      <c r="W73" t="s">
        <v>1221</v>
      </c>
      <c r="X73" t="s">
        <v>1303</v>
      </c>
      <c r="Y73" t="s">
        <v>1304</v>
      </c>
      <c r="Z73" t="s">
        <v>628</v>
      </c>
      <c r="AA73" t="s">
        <v>93</v>
      </c>
      <c r="AB73" t="s">
        <v>629</v>
      </c>
      <c r="AC73" t="s">
        <v>1305</v>
      </c>
      <c r="AF73" s="6">
        <f>Tabela4[[#This Row],[kan_params]] * 1</f>
        <v>17624</v>
      </c>
      <c r="AG73" s="5">
        <f>Tabela4[[#This Row],[kan_test_acc]] * 1</f>
        <v>0.97202795743942205</v>
      </c>
      <c r="AH73" s="5">
        <f>Tabela4[[#This Row],[mlp_test_acc]] * 1</f>
        <v>0.97902097902097895</v>
      </c>
      <c r="AI73" s="5">
        <f>Tabela4[[#This Row],[mlp2_test_acc]] * 1</f>
        <v>0.97202797202797198</v>
      </c>
    </row>
    <row r="74" spans="1:35" x14ac:dyDescent="0.25">
      <c r="A74" t="s">
        <v>28</v>
      </c>
      <c r="B74" t="s">
        <v>1297</v>
      </c>
      <c r="C74" t="s">
        <v>1026</v>
      </c>
      <c r="D74" t="s">
        <v>898</v>
      </c>
      <c r="E74" t="s">
        <v>80</v>
      </c>
      <c r="F74" t="s">
        <v>30</v>
      </c>
      <c r="G74" t="s">
        <v>1306</v>
      </c>
      <c r="H74" t="s">
        <v>1307</v>
      </c>
      <c r="I74" t="s">
        <v>1308</v>
      </c>
      <c r="J74" t="s">
        <v>89</v>
      </c>
      <c r="K74" t="s">
        <v>89</v>
      </c>
      <c r="L74" t="s">
        <v>86</v>
      </c>
      <c r="M74" t="s">
        <v>95</v>
      </c>
      <c r="N74" t="s">
        <v>89</v>
      </c>
      <c r="O74" t="s">
        <v>1249</v>
      </c>
      <c r="P74" t="s">
        <v>1309</v>
      </c>
      <c r="Q74" t="s">
        <v>1310</v>
      </c>
      <c r="R74" t="s">
        <v>227</v>
      </c>
      <c r="S74" t="s">
        <v>93</v>
      </c>
      <c r="T74" t="s">
        <v>228</v>
      </c>
      <c r="U74" t="s">
        <v>87</v>
      </c>
      <c r="V74" t="s">
        <v>89</v>
      </c>
      <c r="W74" t="s">
        <v>1221</v>
      </c>
      <c r="X74" t="s">
        <v>1311</v>
      </c>
      <c r="Y74" t="s">
        <v>1312</v>
      </c>
      <c r="Z74" t="s">
        <v>232</v>
      </c>
      <c r="AA74" t="s">
        <v>93</v>
      </c>
      <c r="AB74" t="s">
        <v>233</v>
      </c>
      <c r="AC74" t="s">
        <v>1313</v>
      </c>
      <c r="AF74" s="6">
        <f>Tabela4[[#This Row],[kan_params]] * 1</f>
        <v>21629</v>
      </c>
      <c r="AG74" s="5">
        <f>Tabela4[[#This Row],[kan_test_acc]] * 1</f>
        <v>0.97202795743942205</v>
      </c>
      <c r="AH74" s="5">
        <f>Tabela4[[#This Row],[mlp_test_acc]] * 1</f>
        <v>0.965034965034965</v>
      </c>
      <c r="AI74" s="5">
        <f>Tabela4[[#This Row],[mlp2_test_acc]] * 1</f>
        <v>0.97202797202797198</v>
      </c>
    </row>
    <row r="75" spans="1:35" x14ac:dyDescent="0.25">
      <c r="A75" t="s">
        <v>28</v>
      </c>
      <c r="B75" t="s">
        <v>1297</v>
      </c>
      <c r="C75" t="s">
        <v>1026</v>
      </c>
      <c r="D75" t="s">
        <v>898</v>
      </c>
      <c r="E75" t="s">
        <v>80</v>
      </c>
      <c r="F75" t="s">
        <v>32</v>
      </c>
      <c r="G75" t="s">
        <v>1394</v>
      </c>
      <c r="H75" t="s">
        <v>1395</v>
      </c>
      <c r="I75" t="s">
        <v>1396</v>
      </c>
      <c r="J75" t="s">
        <v>89</v>
      </c>
      <c r="K75" t="s">
        <v>85</v>
      </c>
      <c r="L75" t="s">
        <v>86</v>
      </c>
      <c r="M75" t="s">
        <v>87</v>
      </c>
      <c r="N75" t="s">
        <v>89</v>
      </c>
      <c r="O75" t="s">
        <v>200</v>
      </c>
      <c r="P75" t="s">
        <v>1397</v>
      </c>
      <c r="Q75" t="s">
        <v>1398</v>
      </c>
      <c r="R75" t="s">
        <v>270</v>
      </c>
      <c r="S75" t="s">
        <v>93</v>
      </c>
      <c r="T75" t="s">
        <v>271</v>
      </c>
      <c r="U75" t="s">
        <v>95</v>
      </c>
      <c r="V75" t="s">
        <v>89</v>
      </c>
      <c r="W75" t="s">
        <v>1399</v>
      </c>
      <c r="X75" t="s">
        <v>1400</v>
      </c>
      <c r="Y75" t="s">
        <v>1401</v>
      </c>
      <c r="Z75" t="s">
        <v>401</v>
      </c>
      <c r="AA75" t="s">
        <v>93</v>
      </c>
      <c r="AB75" t="s">
        <v>402</v>
      </c>
      <c r="AC75" t="s">
        <v>1402</v>
      </c>
      <c r="AF75" s="6">
        <f>Tabela4[[#This Row],[kan_params]] * 1</f>
        <v>29639</v>
      </c>
      <c r="AG75" s="5">
        <f>Tabela4[[#This Row],[kan_test_acc]] * 1</f>
        <v>0.97202795743942205</v>
      </c>
      <c r="AH75" s="5">
        <f>Tabela4[[#This Row],[mlp_test_acc]] * 1</f>
        <v>0.97202797202797198</v>
      </c>
      <c r="AI75" s="5">
        <f>Tabela4[[#This Row],[mlp2_test_acc]] * 1</f>
        <v>0.965034965034965</v>
      </c>
    </row>
    <row r="76" spans="1:35" x14ac:dyDescent="0.25">
      <c r="A76" t="s">
        <v>28</v>
      </c>
      <c r="B76" t="s">
        <v>1297</v>
      </c>
      <c r="C76" t="s">
        <v>1026</v>
      </c>
      <c r="D76" t="s">
        <v>898</v>
      </c>
      <c r="E76" t="s">
        <v>80</v>
      </c>
      <c r="F76" t="s">
        <v>33</v>
      </c>
      <c r="G76" t="s">
        <v>1403</v>
      </c>
      <c r="H76" t="s">
        <v>1404</v>
      </c>
      <c r="I76" t="s">
        <v>1405</v>
      </c>
      <c r="J76" t="s">
        <v>89</v>
      </c>
      <c r="K76" t="s">
        <v>89</v>
      </c>
      <c r="L76" t="s">
        <v>86</v>
      </c>
      <c r="M76" t="s">
        <v>136</v>
      </c>
      <c r="N76" t="s">
        <v>89</v>
      </c>
      <c r="O76" t="s">
        <v>1249</v>
      </c>
      <c r="P76" t="s">
        <v>1311</v>
      </c>
      <c r="Q76" t="s">
        <v>1406</v>
      </c>
      <c r="R76" t="s">
        <v>173</v>
      </c>
      <c r="S76" t="s">
        <v>93</v>
      </c>
      <c r="T76" t="s">
        <v>174</v>
      </c>
      <c r="U76" t="s">
        <v>95</v>
      </c>
      <c r="V76" t="s">
        <v>89</v>
      </c>
      <c r="W76" t="s">
        <v>1221</v>
      </c>
      <c r="X76" t="s">
        <v>1247</v>
      </c>
      <c r="Y76" t="s">
        <v>1407</v>
      </c>
      <c r="Z76" t="s">
        <v>177</v>
      </c>
      <c r="AA76" t="s">
        <v>93</v>
      </c>
      <c r="AB76" t="s">
        <v>178</v>
      </c>
      <c r="AC76" t="s">
        <v>1408</v>
      </c>
      <c r="AF76" s="6">
        <f>Tabela4[[#This Row],[kan_params]] * 1</f>
        <v>33644</v>
      </c>
      <c r="AG76" s="5">
        <f>Tabela4[[#This Row],[kan_test_acc]] * 1</f>
        <v>0.97202795743942205</v>
      </c>
      <c r="AH76" s="5">
        <f>Tabela4[[#This Row],[mlp_test_acc]] * 1</f>
        <v>0.97902097902097895</v>
      </c>
      <c r="AI76" s="5">
        <f>Tabela4[[#This Row],[mlp2_test_acc]] * 1</f>
        <v>0.965034965034965</v>
      </c>
    </row>
    <row r="77" spans="1:35" x14ac:dyDescent="0.25">
      <c r="A77" t="s">
        <v>28</v>
      </c>
      <c r="B77" t="s">
        <v>1297</v>
      </c>
      <c r="C77" t="s">
        <v>1026</v>
      </c>
      <c r="D77" t="s">
        <v>898</v>
      </c>
      <c r="E77" t="s">
        <v>80</v>
      </c>
      <c r="F77" t="s">
        <v>35</v>
      </c>
      <c r="G77" t="s">
        <v>1416</v>
      </c>
      <c r="H77" t="s">
        <v>1417</v>
      </c>
      <c r="I77" t="s">
        <v>1418</v>
      </c>
      <c r="J77" t="s">
        <v>89</v>
      </c>
      <c r="K77" t="s">
        <v>85</v>
      </c>
      <c r="L77" t="s">
        <v>86</v>
      </c>
      <c r="M77" t="s">
        <v>87</v>
      </c>
      <c r="N77" t="s">
        <v>89</v>
      </c>
      <c r="O77" t="s">
        <v>1221</v>
      </c>
      <c r="P77" t="s">
        <v>1400</v>
      </c>
      <c r="Q77" t="s">
        <v>1419</v>
      </c>
      <c r="R77" t="s">
        <v>480</v>
      </c>
      <c r="S77" t="s">
        <v>93</v>
      </c>
      <c r="T77" t="s">
        <v>481</v>
      </c>
      <c r="U77" t="s">
        <v>95</v>
      </c>
      <c r="V77" t="s">
        <v>89</v>
      </c>
      <c r="W77" t="s">
        <v>1221</v>
      </c>
      <c r="X77" t="s">
        <v>1400</v>
      </c>
      <c r="Y77" t="s">
        <v>1420</v>
      </c>
      <c r="Z77" t="s">
        <v>484</v>
      </c>
      <c r="AA77" t="s">
        <v>93</v>
      </c>
      <c r="AB77" t="s">
        <v>485</v>
      </c>
      <c r="AC77" t="s">
        <v>1421</v>
      </c>
      <c r="AF77" s="6">
        <f>Tabela4[[#This Row],[kan_params]] * 1</f>
        <v>41654</v>
      </c>
      <c r="AG77" s="5">
        <f>Tabela4[[#This Row],[kan_test_acc]] * 1</f>
        <v>0.97202795743942205</v>
      </c>
      <c r="AH77" s="5">
        <f>Tabela4[[#This Row],[mlp_test_acc]] * 1</f>
        <v>0.97202797202797198</v>
      </c>
      <c r="AI77" s="5">
        <f>Tabela4[[#This Row],[mlp2_test_acc]] * 1</f>
        <v>0.965034965034965</v>
      </c>
    </row>
    <row r="78" spans="1:35" x14ac:dyDescent="0.25">
      <c r="A78" t="s">
        <v>28</v>
      </c>
      <c r="B78" t="s">
        <v>1297</v>
      </c>
      <c r="C78" t="s">
        <v>1026</v>
      </c>
      <c r="D78" t="s">
        <v>898</v>
      </c>
      <c r="E78" t="s">
        <v>80</v>
      </c>
      <c r="F78" t="s">
        <v>36</v>
      </c>
      <c r="G78" t="s">
        <v>1422</v>
      </c>
      <c r="H78" t="s">
        <v>1423</v>
      </c>
      <c r="I78" t="s">
        <v>1024</v>
      </c>
      <c r="J78" t="s">
        <v>89</v>
      </c>
      <c r="K78" t="s">
        <v>89</v>
      </c>
      <c r="L78" t="s">
        <v>86</v>
      </c>
      <c r="M78" t="s">
        <v>95</v>
      </c>
      <c r="N78" t="s">
        <v>89</v>
      </c>
      <c r="O78" t="s">
        <v>1221</v>
      </c>
      <c r="P78" t="s">
        <v>1337</v>
      </c>
      <c r="Q78" t="s">
        <v>1424</v>
      </c>
      <c r="R78" t="s">
        <v>139</v>
      </c>
      <c r="S78" t="s">
        <v>93</v>
      </c>
      <c r="T78" t="s">
        <v>140</v>
      </c>
      <c r="U78" t="s">
        <v>95</v>
      </c>
      <c r="V78" t="s">
        <v>89</v>
      </c>
      <c r="W78" t="s">
        <v>1221</v>
      </c>
      <c r="X78" t="s">
        <v>1337</v>
      </c>
      <c r="Y78" t="s">
        <v>1425</v>
      </c>
      <c r="Z78" t="s">
        <v>144</v>
      </c>
      <c r="AA78" t="s">
        <v>93</v>
      </c>
      <c r="AB78" t="s">
        <v>145</v>
      </c>
      <c r="AC78" t="s">
        <v>1426</v>
      </c>
      <c r="AF78" s="6">
        <f>Tabela4[[#This Row],[kan_params]] * 1</f>
        <v>45659</v>
      </c>
      <c r="AG78" s="5">
        <f>Tabela4[[#This Row],[kan_test_acc]] * 1</f>
        <v>0.97202795743942205</v>
      </c>
      <c r="AH78" s="5">
        <f>Tabela4[[#This Row],[mlp_test_acc]] * 1</f>
        <v>0.965034965034965</v>
      </c>
      <c r="AI78" s="5">
        <f>Tabela4[[#This Row],[mlp2_test_acc]] * 1</f>
        <v>0.965034965034965</v>
      </c>
    </row>
    <row r="79" spans="1:35" x14ac:dyDescent="0.25">
      <c r="A79" t="s">
        <v>28</v>
      </c>
      <c r="B79" t="s">
        <v>1297</v>
      </c>
      <c r="C79" t="s">
        <v>1026</v>
      </c>
      <c r="D79" t="s">
        <v>898</v>
      </c>
      <c r="E79" t="s">
        <v>80</v>
      </c>
      <c r="F79" t="s">
        <v>37</v>
      </c>
      <c r="G79" t="s">
        <v>1427</v>
      </c>
      <c r="H79" t="s">
        <v>1428</v>
      </c>
      <c r="I79" t="s">
        <v>787</v>
      </c>
      <c r="J79" t="s">
        <v>89</v>
      </c>
      <c r="K79" t="s">
        <v>85</v>
      </c>
      <c r="L79" t="s">
        <v>86</v>
      </c>
      <c r="M79" t="s">
        <v>87</v>
      </c>
      <c r="N79" t="s">
        <v>89</v>
      </c>
      <c r="O79" t="s">
        <v>1221</v>
      </c>
      <c r="P79" t="s">
        <v>1337</v>
      </c>
      <c r="Q79" t="s">
        <v>1429</v>
      </c>
      <c r="R79" t="s">
        <v>801</v>
      </c>
      <c r="S79" t="s">
        <v>93</v>
      </c>
      <c r="T79" t="s">
        <v>802</v>
      </c>
      <c r="U79" t="s">
        <v>95</v>
      </c>
      <c r="V79" t="s">
        <v>89</v>
      </c>
      <c r="W79" t="s">
        <v>1430</v>
      </c>
      <c r="X79" t="s">
        <v>1247</v>
      </c>
      <c r="Y79" t="s">
        <v>1431</v>
      </c>
      <c r="Z79" t="s">
        <v>761</v>
      </c>
      <c r="AA79" t="s">
        <v>93</v>
      </c>
      <c r="AB79" t="s">
        <v>762</v>
      </c>
      <c r="AC79" t="s">
        <v>1432</v>
      </c>
      <c r="AF79" s="6">
        <f>Tabela4[[#This Row],[kan_params]] * 1</f>
        <v>49664</v>
      </c>
      <c r="AG79" s="5">
        <f>Tabela4[[#This Row],[kan_test_acc]] * 1</f>
        <v>0.97202795743942205</v>
      </c>
      <c r="AH79" s="5">
        <f>Tabela4[[#This Row],[mlp_test_acc]] * 1</f>
        <v>0.97202797202797198</v>
      </c>
      <c r="AI79" s="5">
        <f>Tabela4[[#This Row],[mlp2_test_acc]] * 1</f>
        <v>0.965034965034965</v>
      </c>
    </row>
    <row r="80" spans="1:35" x14ac:dyDescent="0.25">
      <c r="A80" t="s">
        <v>28</v>
      </c>
      <c r="B80" t="s">
        <v>78</v>
      </c>
      <c r="C80" t="s">
        <v>79</v>
      </c>
      <c r="D80" t="s">
        <v>79</v>
      </c>
      <c r="E80" t="s">
        <v>80</v>
      </c>
      <c r="F80" t="s">
        <v>31</v>
      </c>
      <c r="G80" t="s">
        <v>115</v>
      </c>
      <c r="H80" t="s">
        <v>116</v>
      </c>
      <c r="I80" t="s">
        <v>117</v>
      </c>
      <c r="J80" t="s">
        <v>89</v>
      </c>
      <c r="K80" t="s">
        <v>89</v>
      </c>
      <c r="L80" t="s">
        <v>118</v>
      </c>
      <c r="M80" t="s">
        <v>119</v>
      </c>
      <c r="N80" t="s">
        <v>89</v>
      </c>
      <c r="O80" t="s">
        <v>89</v>
      </c>
      <c r="P80" t="s">
        <v>120</v>
      </c>
      <c r="Q80" t="s">
        <v>121</v>
      </c>
      <c r="R80" t="s">
        <v>122</v>
      </c>
      <c r="S80" t="s">
        <v>93</v>
      </c>
      <c r="T80" t="s">
        <v>123</v>
      </c>
      <c r="U80" t="s">
        <v>119</v>
      </c>
      <c r="V80" t="s">
        <v>89</v>
      </c>
      <c r="W80" t="s">
        <v>97</v>
      </c>
      <c r="X80" t="s">
        <v>124</v>
      </c>
      <c r="Y80" t="s">
        <v>125</v>
      </c>
      <c r="Z80" t="s">
        <v>126</v>
      </c>
      <c r="AA80" t="s">
        <v>93</v>
      </c>
      <c r="AB80" t="s">
        <v>127</v>
      </c>
      <c r="AC80" t="s">
        <v>128</v>
      </c>
      <c r="AF80" s="6">
        <f>Tabela4[[#This Row],[kan_params]] * 1</f>
        <v>16418</v>
      </c>
      <c r="AG80" s="5">
        <f>Tabela4[[#This Row],[kan_test_acc]] * 1</f>
        <v>0.96503496170043901</v>
      </c>
      <c r="AH80" s="5">
        <f>Tabela4[[#This Row],[mlp_test_acc]] * 1</f>
        <v>0.95104895104895104</v>
      </c>
      <c r="AI80" s="5">
        <f>Tabela4[[#This Row],[mlp2_test_acc]] * 1</f>
        <v>0.95104895104895104</v>
      </c>
    </row>
    <row r="81" spans="1:35" x14ac:dyDescent="0.25">
      <c r="A81" t="s">
        <v>28</v>
      </c>
      <c r="B81" t="s">
        <v>78</v>
      </c>
      <c r="C81" t="s">
        <v>79</v>
      </c>
      <c r="D81" t="s">
        <v>79</v>
      </c>
      <c r="E81" t="s">
        <v>80</v>
      </c>
      <c r="F81" t="s">
        <v>38</v>
      </c>
      <c r="G81" t="s">
        <v>180</v>
      </c>
      <c r="H81" t="s">
        <v>181</v>
      </c>
      <c r="I81" t="s">
        <v>182</v>
      </c>
      <c r="J81" t="s">
        <v>183</v>
      </c>
      <c r="K81" t="s">
        <v>89</v>
      </c>
      <c r="L81" t="s">
        <v>118</v>
      </c>
      <c r="M81" t="s">
        <v>141</v>
      </c>
      <c r="N81" t="s">
        <v>89</v>
      </c>
      <c r="O81" t="s">
        <v>89</v>
      </c>
      <c r="P81" t="s">
        <v>184</v>
      </c>
      <c r="Q81" t="s">
        <v>185</v>
      </c>
      <c r="R81" t="s">
        <v>186</v>
      </c>
      <c r="S81" t="s">
        <v>93</v>
      </c>
      <c r="T81" t="s">
        <v>187</v>
      </c>
      <c r="U81" t="s">
        <v>87</v>
      </c>
      <c r="V81" t="s">
        <v>89</v>
      </c>
      <c r="W81" t="s">
        <v>188</v>
      </c>
      <c r="X81" t="s">
        <v>189</v>
      </c>
      <c r="Y81" t="s">
        <v>190</v>
      </c>
      <c r="Z81" t="s">
        <v>191</v>
      </c>
      <c r="AA81" t="s">
        <v>93</v>
      </c>
      <c r="AB81" t="s">
        <v>192</v>
      </c>
      <c r="AC81" t="s">
        <v>193</v>
      </c>
      <c r="AF81" s="6">
        <f>Tabela4[[#This Row],[kan_params]] * 1</f>
        <v>36551</v>
      </c>
      <c r="AG81" s="5">
        <f>Tabela4[[#This Row],[kan_test_acc]] * 1</f>
        <v>0.96503496170043901</v>
      </c>
      <c r="AH81" s="5">
        <f>Tabela4[[#This Row],[mlp_test_acc]] * 1</f>
        <v>0.99300699300699302</v>
      </c>
      <c r="AI81" s="5">
        <f>Tabela4[[#This Row],[mlp2_test_acc]] * 1</f>
        <v>0.97202797202797198</v>
      </c>
    </row>
    <row r="82" spans="1:35" x14ac:dyDescent="0.25">
      <c r="A82" t="s">
        <v>28</v>
      </c>
      <c r="B82" t="s">
        <v>273</v>
      </c>
      <c r="C82" t="s">
        <v>79</v>
      </c>
      <c r="D82" t="s">
        <v>274</v>
      </c>
      <c r="E82" t="s">
        <v>80</v>
      </c>
      <c r="F82" t="s">
        <v>387</v>
      </c>
      <c r="G82" t="s">
        <v>388</v>
      </c>
      <c r="H82" t="s">
        <v>389</v>
      </c>
      <c r="I82" t="s">
        <v>390</v>
      </c>
      <c r="J82" t="s">
        <v>89</v>
      </c>
      <c r="K82" t="s">
        <v>198</v>
      </c>
      <c r="L82" t="s">
        <v>118</v>
      </c>
      <c r="M82" t="s">
        <v>95</v>
      </c>
      <c r="N82" t="s">
        <v>88</v>
      </c>
      <c r="O82" t="s">
        <v>89</v>
      </c>
      <c r="P82" t="s">
        <v>120</v>
      </c>
      <c r="Q82" t="s">
        <v>391</v>
      </c>
      <c r="R82" t="s">
        <v>392</v>
      </c>
      <c r="S82" t="s">
        <v>93</v>
      </c>
      <c r="T82" t="s">
        <v>393</v>
      </c>
      <c r="U82" t="s">
        <v>205</v>
      </c>
      <c r="V82" t="s">
        <v>88</v>
      </c>
      <c r="W82" t="s">
        <v>89</v>
      </c>
      <c r="X82" t="s">
        <v>98</v>
      </c>
      <c r="Y82" t="s">
        <v>394</v>
      </c>
      <c r="Z82" t="s">
        <v>316</v>
      </c>
      <c r="AA82" t="s">
        <v>93</v>
      </c>
      <c r="AB82" t="s">
        <v>317</v>
      </c>
      <c r="AC82" t="s">
        <v>395</v>
      </c>
      <c r="AF82" s="6">
        <f>Tabela4[[#This Row],[kan_params]] * 1</f>
        <v>28019</v>
      </c>
      <c r="AG82" s="5">
        <f>Tabela4[[#This Row],[kan_test_acc]] * 1</f>
        <v>0.96503496170043901</v>
      </c>
      <c r="AH82" s="5">
        <f>Tabela4[[#This Row],[mlp_test_acc]] * 1</f>
        <v>0.965034965034965</v>
      </c>
      <c r="AI82" s="5">
        <f>Tabela4[[#This Row],[mlp2_test_acc]] * 1</f>
        <v>0.95804195804195802</v>
      </c>
    </row>
    <row r="83" spans="1:35" x14ac:dyDescent="0.25">
      <c r="A83" t="s">
        <v>28</v>
      </c>
      <c r="B83" t="s">
        <v>273</v>
      </c>
      <c r="C83" t="s">
        <v>79</v>
      </c>
      <c r="D83" t="s">
        <v>274</v>
      </c>
      <c r="E83" t="s">
        <v>80</v>
      </c>
      <c r="F83" t="s">
        <v>129</v>
      </c>
      <c r="G83" t="s">
        <v>421</v>
      </c>
      <c r="H83" t="s">
        <v>422</v>
      </c>
      <c r="I83" t="s">
        <v>423</v>
      </c>
      <c r="J83" t="s">
        <v>89</v>
      </c>
      <c r="K83" t="s">
        <v>89</v>
      </c>
      <c r="L83" t="s">
        <v>118</v>
      </c>
      <c r="M83" t="s">
        <v>136</v>
      </c>
      <c r="N83" t="s">
        <v>96</v>
      </c>
      <c r="O83" t="s">
        <v>89</v>
      </c>
      <c r="P83" t="s">
        <v>263</v>
      </c>
      <c r="Q83" t="s">
        <v>424</v>
      </c>
      <c r="R83" t="s">
        <v>191</v>
      </c>
      <c r="S83" t="s">
        <v>93</v>
      </c>
      <c r="T83" t="s">
        <v>192</v>
      </c>
      <c r="U83" t="s">
        <v>136</v>
      </c>
      <c r="V83" t="s">
        <v>267</v>
      </c>
      <c r="W83" t="s">
        <v>217</v>
      </c>
      <c r="X83" t="s">
        <v>98</v>
      </c>
      <c r="Y83" t="s">
        <v>425</v>
      </c>
      <c r="Z83" t="s">
        <v>365</v>
      </c>
      <c r="AA83" t="s">
        <v>93</v>
      </c>
      <c r="AB83" t="s">
        <v>366</v>
      </c>
      <c r="AC83" t="s">
        <v>426</v>
      </c>
      <c r="AF83" s="6">
        <f>Tabela4[[#This Row],[kan_params]] * 1</f>
        <v>36879</v>
      </c>
      <c r="AG83" s="5">
        <f>Tabela4[[#This Row],[kan_test_acc]] * 1</f>
        <v>0.96503496170043901</v>
      </c>
      <c r="AH83" s="5">
        <f>Tabela4[[#This Row],[mlp_test_acc]] * 1</f>
        <v>0.97902097902097895</v>
      </c>
      <c r="AI83" s="5">
        <f>Tabela4[[#This Row],[mlp2_test_acc]] * 1</f>
        <v>0.97902097902097895</v>
      </c>
    </row>
    <row r="84" spans="1:35" x14ac:dyDescent="0.25">
      <c r="A84" t="s">
        <v>28</v>
      </c>
      <c r="B84" t="s">
        <v>273</v>
      </c>
      <c r="C84" t="s">
        <v>79</v>
      </c>
      <c r="D84" t="s">
        <v>274</v>
      </c>
      <c r="E84" t="s">
        <v>80</v>
      </c>
      <c r="F84" t="s">
        <v>38</v>
      </c>
      <c r="G84" t="s">
        <v>439</v>
      </c>
      <c r="H84" t="s">
        <v>440</v>
      </c>
      <c r="I84" t="s">
        <v>441</v>
      </c>
      <c r="J84" t="s">
        <v>89</v>
      </c>
      <c r="K84" t="s">
        <v>89</v>
      </c>
      <c r="L84" t="s">
        <v>118</v>
      </c>
      <c r="M84" t="s">
        <v>87</v>
      </c>
      <c r="N84" t="s">
        <v>89</v>
      </c>
      <c r="O84" t="s">
        <v>89</v>
      </c>
      <c r="P84" t="s">
        <v>305</v>
      </c>
      <c r="Q84" t="s">
        <v>442</v>
      </c>
      <c r="R84" t="s">
        <v>270</v>
      </c>
      <c r="S84" t="s">
        <v>93</v>
      </c>
      <c r="T84" t="s">
        <v>271</v>
      </c>
      <c r="U84" t="s">
        <v>87</v>
      </c>
      <c r="V84" t="s">
        <v>89</v>
      </c>
      <c r="W84" t="s">
        <v>89</v>
      </c>
      <c r="X84" t="s">
        <v>443</v>
      </c>
      <c r="Y84" t="s">
        <v>444</v>
      </c>
      <c r="Z84" t="s">
        <v>401</v>
      </c>
      <c r="AA84" t="s">
        <v>93</v>
      </c>
      <c r="AB84" t="s">
        <v>402</v>
      </c>
      <c r="AC84" t="s">
        <v>445</v>
      </c>
      <c r="AF84" s="6">
        <f>Tabela4[[#This Row],[kan_params]] * 1</f>
        <v>29711</v>
      </c>
      <c r="AG84" s="5">
        <f>Tabela4[[#This Row],[kan_test_acc]] * 1</f>
        <v>0.96503496170043901</v>
      </c>
      <c r="AH84" s="5">
        <f>Tabela4[[#This Row],[mlp_test_acc]] * 1</f>
        <v>0.97202797202797198</v>
      </c>
      <c r="AI84" s="5">
        <f>Tabela4[[#This Row],[mlp2_test_acc]] * 1</f>
        <v>0.97202797202797198</v>
      </c>
    </row>
    <row r="85" spans="1:35" x14ac:dyDescent="0.25">
      <c r="A85" t="s">
        <v>28</v>
      </c>
      <c r="B85" t="s">
        <v>273</v>
      </c>
      <c r="C85" t="s">
        <v>79</v>
      </c>
      <c r="D85" t="s">
        <v>274</v>
      </c>
      <c r="E85" t="s">
        <v>80</v>
      </c>
      <c r="F85" t="s">
        <v>574</v>
      </c>
      <c r="G85" t="s">
        <v>575</v>
      </c>
      <c r="H85" t="s">
        <v>576</v>
      </c>
      <c r="I85" t="s">
        <v>577</v>
      </c>
      <c r="J85" t="s">
        <v>89</v>
      </c>
      <c r="K85" t="s">
        <v>89</v>
      </c>
      <c r="L85" t="s">
        <v>118</v>
      </c>
      <c r="M85" t="s">
        <v>95</v>
      </c>
      <c r="N85" t="s">
        <v>88</v>
      </c>
      <c r="O85" t="s">
        <v>89</v>
      </c>
      <c r="P85" t="s">
        <v>263</v>
      </c>
      <c r="Q85" t="s">
        <v>578</v>
      </c>
      <c r="R85" t="s">
        <v>579</v>
      </c>
      <c r="S85" t="s">
        <v>93</v>
      </c>
      <c r="T85" t="s">
        <v>580</v>
      </c>
      <c r="U85" t="s">
        <v>95</v>
      </c>
      <c r="V85" t="s">
        <v>96</v>
      </c>
      <c r="W85" t="s">
        <v>243</v>
      </c>
      <c r="X85" t="s">
        <v>98</v>
      </c>
      <c r="Y85" t="s">
        <v>581</v>
      </c>
      <c r="Z85" t="s">
        <v>186</v>
      </c>
      <c r="AA85" t="s">
        <v>93</v>
      </c>
      <c r="AB85" t="s">
        <v>187</v>
      </c>
      <c r="AC85" t="s">
        <v>582</v>
      </c>
      <c r="AF85" s="6">
        <f>Tabela4[[#This Row],[kan_params]] * 1</f>
        <v>35700</v>
      </c>
      <c r="AG85" s="5">
        <f>Tabela4[[#This Row],[kan_test_acc]] * 1</f>
        <v>0.96503496170043901</v>
      </c>
      <c r="AH85" s="5">
        <f>Tabela4[[#This Row],[mlp_test_acc]] * 1</f>
        <v>0.965034965034965</v>
      </c>
      <c r="AI85" s="5">
        <f>Tabela4[[#This Row],[mlp2_test_acc]] * 1</f>
        <v>0.965034965034965</v>
      </c>
    </row>
    <row r="86" spans="1:35" x14ac:dyDescent="0.25">
      <c r="A86" t="s">
        <v>28</v>
      </c>
      <c r="B86" t="s">
        <v>273</v>
      </c>
      <c r="C86" t="s">
        <v>79</v>
      </c>
      <c r="D86" t="s">
        <v>274</v>
      </c>
      <c r="E86" t="s">
        <v>80</v>
      </c>
      <c r="F86" t="s">
        <v>36</v>
      </c>
      <c r="G86" t="s">
        <v>650</v>
      </c>
      <c r="H86" t="s">
        <v>651</v>
      </c>
      <c r="I86" t="s">
        <v>652</v>
      </c>
      <c r="J86" t="s">
        <v>89</v>
      </c>
      <c r="K86" t="s">
        <v>89</v>
      </c>
      <c r="L86" t="s">
        <v>118</v>
      </c>
      <c r="M86" t="s">
        <v>87</v>
      </c>
      <c r="N86" t="s">
        <v>89</v>
      </c>
      <c r="O86" t="s">
        <v>89</v>
      </c>
      <c r="P86" t="s">
        <v>653</v>
      </c>
      <c r="Q86" t="s">
        <v>654</v>
      </c>
      <c r="R86" t="s">
        <v>655</v>
      </c>
      <c r="S86" t="s">
        <v>93</v>
      </c>
      <c r="T86" t="s">
        <v>656</v>
      </c>
      <c r="U86" t="s">
        <v>633</v>
      </c>
      <c r="V86" t="s">
        <v>89</v>
      </c>
      <c r="W86" t="s">
        <v>647</v>
      </c>
      <c r="X86" t="s">
        <v>657</v>
      </c>
      <c r="Y86" t="s">
        <v>658</v>
      </c>
      <c r="Z86" t="s">
        <v>242</v>
      </c>
      <c r="AA86" t="s">
        <v>93</v>
      </c>
      <c r="AB86" t="s">
        <v>98</v>
      </c>
      <c r="AC86" t="s">
        <v>659</v>
      </c>
      <c r="AF86" s="6">
        <f>Tabela4[[#This Row],[kan_params]] * 1</f>
        <v>23771</v>
      </c>
      <c r="AG86" s="5">
        <f>Tabela4[[#This Row],[kan_test_acc]] * 1</f>
        <v>0.96503496170043901</v>
      </c>
      <c r="AH86" s="5">
        <f>Tabela4[[#This Row],[mlp_test_acc]] * 1</f>
        <v>0.97202797202797198</v>
      </c>
      <c r="AI86" s="5">
        <f>Tabela4[[#This Row],[mlp2_test_acc]] * 1</f>
        <v>0.93006993006993</v>
      </c>
    </row>
    <row r="87" spans="1:35" x14ac:dyDescent="0.25">
      <c r="A87" t="s">
        <v>28</v>
      </c>
      <c r="B87" t="s">
        <v>78</v>
      </c>
      <c r="C87" t="s">
        <v>666</v>
      </c>
      <c r="D87" t="s">
        <v>274</v>
      </c>
      <c r="E87" t="s">
        <v>80</v>
      </c>
      <c r="F87" t="s">
        <v>574</v>
      </c>
      <c r="G87" t="s">
        <v>779</v>
      </c>
      <c r="H87" t="s">
        <v>780</v>
      </c>
      <c r="I87" t="s">
        <v>781</v>
      </c>
      <c r="J87" t="s">
        <v>89</v>
      </c>
      <c r="K87" t="s">
        <v>198</v>
      </c>
      <c r="L87" t="s">
        <v>118</v>
      </c>
      <c r="M87" t="s">
        <v>136</v>
      </c>
      <c r="N87" t="s">
        <v>96</v>
      </c>
      <c r="O87" t="s">
        <v>89</v>
      </c>
      <c r="P87" t="s">
        <v>263</v>
      </c>
      <c r="Q87" t="s">
        <v>782</v>
      </c>
      <c r="R87" t="s">
        <v>480</v>
      </c>
      <c r="S87" t="s">
        <v>93</v>
      </c>
      <c r="T87" t="s">
        <v>481</v>
      </c>
      <c r="U87" t="s">
        <v>87</v>
      </c>
      <c r="V87" t="s">
        <v>267</v>
      </c>
      <c r="W87" t="s">
        <v>89</v>
      </c>
      <c r="X87" t="s">
        <v>98</v>
      </c>
      <c r="Y87" t="s">
        <v>783</v>
      </c>
      <c r="Z87" t="s">
        <v>484</v>
      </c>
      <c r="AA87" t="s">
        <v>93</v>
      </c>
      <c r="AB87" t="s">
        <v>485</v>
      </c>
      <c r="AC87" t="s">
        <v>784</v>
      </c>
      <c r="AF87" s="6">
        <f>Tabela4[[#This Row],[kan_params]] * 1</f>
        <v>41180</v>
      </c>
      <c r="AG87" s="5">
        <f>Tabela4[[#This Row],[kan_test_acc]] * 1</f>
        <v>0.96503496170043901</v>
      </c>
      <c r="AH87" s="5">
        <f>Tabela4[[#This Row],[mlp_test_acc]] * 1</f>
        <v>0.97902097902097895</v>
      </c>
      <c r="AI87" s="5">
        <f>Tabela4[[#This Row],[mlp2_test_acc]] * 1</f>
        <v>0.97202797202797198</v>
      </c>
    </row>
    <row r="88" spans="1:35" x14ac:dyDescent="0.25">
      <c r="A88" t="s">
        <v>28</v>
      </c>
      <c r="B88" t="s">
        <v>814</v>
      </c>
      <c r="C88" t="s">
        <v>666</v>
      </c>
      <c r="D88" t="s">
        <v>79</v>
      </c>
      <c r="E88" t="s">
        <v>80</v>
      </c>
      <c r="F88" t="s">
        <v>30</v>
      </c>
      <c r="G88" t="s">
        <v>825</v>
      </c>
      <c r="H88" t="s">
        <v>826</v>
      </c>
      <c r="I88" t="s">
        <v>827</v>
      </c>
      <c r="J88" t="s">
        <v>89</v>
      </c>
      <c r="K88" t="s">
        <v>89</v>
      </c>
      <c r="L88" t="s">
        <v>118</v>
      </c>
      <c r="M88" t="s">
        <v>95</v>
      </c>
      <c r="N88" t="s">
        <v>88</v>
      </c>
      <c r="O88" t="s">
        <v>89</v>
      </c>
      <c r="P88" t="s">
        <v>263</v>
      </c>
      <c r="Q88" t="s">
        <v>828</v>
      </c>
      <c r="R88" t="s">
        <v>553</v>
      </c>
      <c r="S88" t="s">
        <v>93</v>
      </c>
      <c r="T88" t="s">
        <v>554</v>
      </c>
      <c r="U88" t="s">
        <v>119</v>
      </c>
      <c r="V88" t="s">
        <v>88</v>
      </c>
      <c r="W88" t="s">
        <v>89</v>
      </c>
      <c r="X88" t="s">
        <v>98</v>
      </c>
      <c r="Y88" t="s">
        <v>829</v>
      </c>
      <c r="Z88" t="s">
        <v>557</v>
      </c>
      <c r="AA88" t="s">
        <v>93</v>
      </c>
      <c r="AB88" t="s">
        <v>558</v>
      </c>
      <c r="AC88" t="s">
        <v>830</v>
      </c>
      <c r="AF88" s="6">
        <f>Tabela4[[#This Row],[kan_params]] * 1</f>
        <v>15581</v>
      </c>
      <c r="AG88" s="5">
        <f>Tabela4[[#This Row],[kan_test_acc]] * 1</f>
        <v>0.96503496170043901</v>
      </c>
      <c r="AH88" s="5">
        <f>Tabela4[[#This Row],[mlp_test_acc]] * 1</f>
        <v>0.965034965034965</v>
      </c>
      <c r="AI88" s="5">
        <f>Tabela4[[#This Row],[mlp2_test_acc]] * 1</f>
        <v>0.95104895104895104</v>
      </c>
    </row>
    <row r="89" spans="1:35" x14ac:dyDescent="0.25">
      <c r="A89" t="s">
        <v>28</v>
      </c>
      <c r="B89" t="s">
        <v>814</v>
      </c>
      <c r="C89" t="s">
        <v>666</v>
      </c>
      <c r="D89" t="s">
        <v>79</v>
      </c>
      <c r="E89" t="s">
        <v>80</v>
      </c>
      <c r="F89" t="s">
        <v>33</v>
      </c>
      <c r="G89" t="s">
        <v>867</v>
      </c>
      <c r="H89" t="s">
        <v>868</v>
      </c>
      <c r="I89" t="s">
        <v>869</v>
      </c>
      <c r="J89" t="s">
        <v>89</v>
      </c>
      <c r="K89" t="s">
        <v>85</v>
      </c>
      <c r="L89" t="s">
        <v>118</v>
      </c>
      <c r="M89" t="s">
        <v>119</v>
      </c>
      <c r="N89" t="s">
        <v>89</v>
      </c>
      <c r="O89" t="s">
        <v>89</v>
      </c>
      <c r="P89" t="s">
        <v>263</v>
      </c>
      <c r="Q89" t="s">
        <v>870</v>
      </c>
      <c r="R89" t="s">
        <v>242</v>
      </c>
      <c r="S89" t="s">
        <v>93</v>
      </c>
      <c r="T89" t="s">
        <v>98</v>
      </c>
      <c r="U89" t="s">
        <v>95</v>
      </c>
      <c r="V89" t="s">
        <v>89</v>
      </c>
      <c r="W89" t="s">
        <v>110</v>
      </c>
      <c r="X89" t="s">
        <v>871</v>
      </c>
      <c r="Y89" t="s">
        <v>872</v>
      </c>
      <c r="Z89" t="s">
        <v>245</v>
      </c>
      <c r="AA89" t="s">
        <v>93</v>
      </c>
      <c r="AB89" t="s">
        <v>246</v>
      </c>
      <c r="AC89" t="s">
        <v>873</v>
      </c>
      <c r="AF89" s="6">
        <f>Tabela4[[#This Row],[kan_params]] * 1</f>
        <v>24236</v>
      </c>
      <c r="AG89" s="5">
        <f>Tabela4[[#This Row],[kan_test_acc]] * 1</f>
        <v>0.96503496170043901</v>
      </c>
      <c r="AH89" s="5">
        <f>Tabela4[[#This Row],[mlp_test_acc]] * 1</f>
        <v>0.95104895104895104</v>
      </c>
      <c r="AI89" s="5">
        <f>Tabela4[[#This Row],[mlp2_test_acc]] * 1</f>
        <v>0.965034965034965</v>
      </c>
    </row>
    <row r="90" spans="1:35" x14ac:dyDescent="0.25">
      <c r="A90" t="s">
        <v>28</v>
      </c>
      <c r="B90" t="s">
        <v>959</v>
      </c>
      <c r="C90" t="s">
        <v>1026</v>
      </c>
      <c r="D90" t="s">
        <v>79</v>
      </c>
      <c r="E90" t="s">
        <v>80</v>
      </c>
      <c r="F90" t="s">
        <v>42</v>
      </c>
      <c r="G90" t="s">
        <v>1027</v>
      </c>
      <c r="H90" t="s">
        <v>1028</v>
      </c>
      <c r="I90" t="s">
        <v>1029</v>
      </c>
      <c r="J90" t="s">
        <v>89</v>
      </c>
      <c r="K90" t="s">
        <v>89</v>
      </c>
      <c r="L90" t="s">
        <v>118</v>
      </c>
      <c r="M90" t="s">
        <v>136</v>
      </c>
      <c r="N90" t="s">
        <v>89</v>
      </c>
      <c r="O90" t="s">
        <v>89</v>
      </c>
      <c r="P90" t="s">
        <v>1030</v>
      </c>
      <c r="Q90" t="s">
        <v>1031</v>
      </c>
      <c r="R90" t="s">
        <v>597</v>
      </c>
      <c r="S90" t="s">
        <v>93</v>
      </c>
      <c r="T90" t="s">
        <v>598</v>
      </c>
      <c r="U90" t="s">
        <v>136</v>
      </c>
      <c r="V90" t="s">
        <v>89</v>
      </c>
      <c r="W90" t="s">
        <v>89</v>
      </c>
      <c r="X90" t="s">
        <v>1032</v>
      </c>
      <c r="Y90" t="s">
        <v>1033</v>
      </c>
      <c r="Z90" t="s">
        <v>480</v>
      </c>
      <c r="AA90" t="s">
        <v>93</v>
      </c>
      <c r="AB90" t="s">
        <v>481</v>
      </c>
      <c r="AC90" t="s">
        <v>1034</v>
      </c>
      <c r="AF90" s="6">
        <f>Tabela4[[#This Row],[kan_params]] * 1</f>
        <v>40982</v>
      </c>
      <c r="AG90" s="5">
        <f>Tabela4[[#This Row],[kan_test_acc]] * 1</f>
        <v>0.96503496170043901</v>
      </c>
      <c r="AH90" s="5">
        <f>Tabela4[[#This Row],[mlp_test_acc]] * 1</f>
        <v>0.97902097902097895</v>
      </c>
      <c r="AI90" s="5">
        <f>Tabela4[[#This Row],[mlp2_test_acc]] * 1</f>
        <v>0.97902097902097895</v>
      </c>
    </row>
    <row r="91" spans="1:35" x14ac:dyDescent="0.25">
      <c r="A91" t="s">
        <v>28</v>
      </c>
      <c r="B91" t="s">
        <v>959</v>
      </c>
      <c r="C91" t="s">
        <v>1026</v>
      </c>
      <c r="D91" t="s">
        <v>79</v>
      </c>
      <c r="E91" t="s">
        <v>80</v>
      </c>
      <c r="F91" t="s">
        <v>396</v>
      </c>
      <c r="G91" t="s">
        <v>1088</v>
      </c>
      <c r="H91" t="s">
        <v>1089</v>
      </c>
      <c r="I91" t="s">
        <v>204</v>
      </c>
      <c r="J91" t="s">
        <v>89</v>
      </c>
      <c r="K91" t="s">
        <v>134</v>
      </c>
      <c r="L91" t="s">
        <v>118</v>
      </c>
      <c r="M91" t="s">
        <v>205</v>
      </c>
      <c r="N91" t="s">
        <v>267</v>
      </c>
      <c r="O91" t="s">
        <v>89</v>
      </c>
      <c r="P91" t="s">
        <v>510</v>
      </c>
      <c r="Q91" t="s">
        <v>1090</v>
      </c>
      <c r="R91" t="s">
        <v>764</v>
      </c>
      <c r="S91" t="s">
        <v>93</v>
      </c>
      <c r="T91" t="s">
        <v>765</v>
      </c>
      <c r="U91" t="s">
        <v>449</v>
      </c>
      <c r="V91" t="s">
        <v>267</v>
      </c>
      <c r="W91" t="s">
        <v>89</v>
      </c>
      <c r="X91" t="s">
        <v>98</v>
      </c>
      <c r="Y91" t="s">
        <v>1091</v>
      </c>
      <c r="Z91" t="s">
        <v>1050</v>
      </c>
      <c r="AA91" t="s">
        <v>93</v>
      </c>
      <c r="AB91" t="s">
        <v>1051</v>
      </c>
      <c r="AC91" t="s">
        <v>1092</v>
      </c>
      <c r="AF91" s="6">
        <f>Tabela4[[#This Row],[kan_params]] * 1</f>
        <v>51114</v>
      </c>
      <c r="AG91" s="5">
        <f>Tabela4[[#This Row],[kan_test_acc]] * 1</f>
        <v>0.96503496170043901</v>
      </c>
      <c r="AH91" s="5">
        <f>Tabela4[[#This Row],[mlp_test_acc]] * 1</f>
        <v>0.95804195804195802</v>
      </c>
      <c r="AI91" s="5">
        <f>Tabela4[[#This Row],[mlp2_test_acc]] * 1</f>
        <v>0.94405594405594395</v>
      </c>
    </row>
    <row r="92" spans="1:35" x14ac:dyDescent="0.25">
      <c r="A92" t="s">
        <v>28</v>
      </c>
      <c r="B92" t="s">
        <v>959</v>
      </c>
      <c r="C92" t="s">
        <v>1026</v>
      </c>
      <c r="D92" t="s">
        <v>79</v>
      </c>
      <c r="E92" t="s">
        <v>80</v>
      </c>
      <c r="F92" t="s">
        <v>39</v>
      </c>
      <c r="G92" t="s">
        <v>1127</v>
      </c>
      <c r="H92" t="s">
        <v>1128</v>
      </c>
      <c r="I92" t="s">
        <v>1129</v>
      </c>
      <c r="J92" t="s">
        <v>89</v>
      </c>
      <c r="K92" t="s">
        <v>85</v>
      </c>
      <c r="L92" t="s">
        <v>118</v>
      </c>
      <c r="M92" t="s">
        <v>89</v>
      </c>
      <c r="N92" t="s">
        <v>89</v>
      </c>
      <c r="O92" t="s">
        <v>89</v>
      </c>
      <c r="P92" t="s">
        <v>305</v>
      </c>
      <c r="Q92" t="s">
        <v>1130</v>
      </c>
      <c r="R92" t="s">
        <v>1131</v>
      </c>
      <c r="S92" t="s">
        <v>93</v>
      </c>
      <c r="T92" t="s">
        <v>1132</v>
      </c>
      <c r="U92" t="s">
        <v>89</v>
      </c>
      <c r="V92" t="s">
        <v>89</v>
      </c>
      <c r="W92" t="s">
        <v>89</v>
      </c>
      <c r="X92" t="s">
        <v>1133</v>
      </c>
      <c r="Y92" t="s">
        <v>1134</v>
      </c>
      <c r="Z92" t="s">
        <v>1058</v>
      </c>
      <c r="AA92" t="s">
        <v>93</v>
      </c>
      <c r="AB92" t="s">
        <v>925</v>
      </c>
      <c r="AC92" t="s">
        <v>1135</v>
      </c>
      <c r="AF92" s="6">
        <f>Tabela4[[#This Row],[kan_params]] * 1</f>
        <v>54196</v>
      </c>
      <c r="AG92" s="5">
        <f>Tabela4[[#This Row],[kan_test_acc]] * 1</f>
        <v>0.96503496170043901</v>
      </c>
      <c r="AH92" s="5">
        <f>Tabela4[[#This Row],[mlp_test_acc]] * 1</f>
        <v>1</v>
      </c>
      <c r="AI92" s="5">
        <f>Tabela4[[#This Row],[mlp2_test_acc]] * 1</f>
        <v>1</v>
      </c>
    </row>
    <row r="93" spans="1:35" x14ac:dyDescent="0.25">
      <c r="A93" t="s">
        <v>28</v>
      </c>
      <c r="B93" t="s">
        <v>959</v>
      </c>
      <c r="C93" t="s">
        <v>1026</v>
      </c>
      <c r="D93" t="s">
        <v>79</v>
      </c>
      <c r="E93" t="s">
        <v>80</v>
      </c>
      <c r="F93" t="s">
        <v>40</v>
      </c>
      <c r="G93" t="s">
        <v>1136</v>
      </c>
      <c r="H93" t="s">
        <v>1137</v>
      </c>
      <c r="I93" t="s">
        <v>145</v>
      </c>
      <c r="J93" t="s">
        <v>89</v>
      </c>
      <c r="K93" t="s">
        <v>198</v>
      </c>
      <c r="L93" t="s">
        <v>118</v>
      </c>
      <c r="M93" t="s">
        <v>141</v>
      </c>
      <c r="N93" t="s">
        <v>88</v>
      </c>
      <c r="O93" t="s">
        <v>89</v>
      </c>
      <c r="P93" t="s">
        <v>305</v>
      </c>
      <c r="Q93" t="s">
        <v>1138</v>
      </c>
      <c r="R93" t="s">
        <v>1064</v>
      </c>
      <c r="S93" t="s">
        <v>93</v>
      </c>
      <c r="T93" t="s">
        <v>1065</v>
      </c>
      <c r="U93" t="s">
        <v>141</v>
      </c>
      <c r="V93" t="s">
        <v>88</v>
      </c>
      <c r="W93" t="s">
        <v>268</v>
      </c>
      <c r="X93" t="s">
        <v>98</v>
      </c>
      <c r="Y93" t="s">
        <v>1139</v>
      </c>
      <c r="Z93" t="s">
        <v>1067</v>
      </c>
      <c r="AA93" t="s">
        <v>93</v>
      </c>
      <c r="AB93" t="s">
        <v>1068</v>
      </c>
      <c r="AC93" t="s">
        <v>1140</v>
      </c>
      <c r="AF93" s="6">
        <f>Tabela4[[#This Row],[kan_params]] * 1</f>
        <v>58161</v>
      </c>
      <c r="AG93" s="5">
        <f>Tabela4[[#This Row],[kan_test_acc]] * 1</f>
        <v>0.96503496170043901</v>
      </c>
      <c r="AH93" s="5">
        <f>Tabela4[[#This Row],[mlp_test_acc]] * 1</f>
        <v>0.99300699300699302</v>
      </c>
      <c r="AI93" s="5">
        <f>Tabela4[[#This Row],[mlp2_test_acc]] * 1</f>
        <v>0.99300699300699302</v>
      </c>
    </row>
    <row r="94" spans="1:35" x14ac:dyDescent="0.25">
      <c r="A94" t="s">
        <v>28</v>
      </c>
      <c r="B94" t="s">
        <v>959</v>
      </c>
      <c r="C94" t="s">
        <v>1026</v>
      </c>
      <c r="D94" t="s">
        <v>79</v>
      </c>
      <c r="E94" t="s">
        <v>80</v>
      </c>
      <c r="F94" t="s">
        <v>495</v>
      </c>
      <c r="G94" t="s">
        <v>1167</v>
      </c>
      <c r="H94" t="s">
        <v>1168</v>
      </c>
      <c r="I94" t="s">
        <v>957</v>
      </c>
      <c r="J94" t="s">
        <v>89</v>
      </c>
      <c r="K94" t="s">
        <v>89</v>
      </c>
      <c r="L94" t="s">
        <v>118</v>
      </c>
      <c r="M94" t="s">
        <v>205</v>
      </c>
      <c r="N94" t="s">
        <v>88</v>
      </c>
      <c r="O94" t="s">
        <v>89</v>
      </c>
      <c r="P94" t="s">
        <v>305</v>
      </c>
      <c r="Q94" t="s">
        <v>1169</v>
      </c>
      <c r="R94" t="s">
        <v>808</v>
      </c>
      <c r="S94" t="s">
        <v>93</v>
      </c>
      <c r="T94" t="s">
        <v>809</v>
      </c>
      <c r="U94" t="s">
        <v>95</v>
      </c>
      <c r="V94" t="s">
        <v>96</v>
      </c>
      <c r="W94" t="s">
        <v>97</v>
      </c>
      <c r="X94" t="s">
        <v>98</v>
      </c>
      <c r="Y94" t="s">
        <v>1170</v>
      </c>
      <c r="Z94" t="s">
        <v>811</v>
      </c>
      <c r="AA94" t="s">
        <v>93</v>
      </c>
      <c r="AB94" t="s">
        <v>812</v>
      </c>
      <c r="AC94" t="s">
        <v>1171</v>
      </c>
      <c r="AF94" s="6">
        <f>Tabela4[[#This Row],[kan_params]] * 1</f>
        <v>53093</v>
      </c>
      <c r="AG94" s="5">
        <f>Tabela4[[#This Row],[kan_test_acc]] * 1</f>
        <v>0.96503496170043901</v>
      </c>
      <c r="AH94" s="5">
        <f>Tabela4[[#This Row],[mlp_test_acc]] * 1</f>
        <v>0.95804195804195802</v>
      </c>
      <c r="AI94" s="5">
        <f>Tabela4[[#This Row],[mlp2_test_acc]] * 1</f>
        <v>0.965034965034965</v>
      </c>
    </row>
    <row r="95" spans="1:35" x14ac:dyDescent="0.25">
      <c r="A95" t="s">
        <v>28</v>
      </c>
      <c r="B95" t="s">
        <v>959</v>
      </c>
      <c r="C95" t="s">
        <v>1026</v>
      </c>
      <c r="D95" t="s">
        <v>79</v>
      </c>
      <c r="E95" t="s">
        <v>80</v>
      </c>
      <c r="F95" t="s">
        <v>521</v>
      </c>
      <c r="G95" t="s">
        <v>1187</v>
      </c>
      <c r="H95" t="s">
        <v>1188</v>
      </c>
      <c r="I95" t="s">
        <v>209</v>
      </c>
      <c r="J95" t="s">
        <v>89</v>
      </c>
      <c r="K95" t="s">
        <v>85</v>
      </c>
      <c r="L95" t="s">
        <v>118</v>
      </c>
      <c r="M95" t="s">
        <v>119</v>
      </c>
      <c r="N95" t="s">
        <v>88</v>
      </c>
      <c r="O95" t="s">
        <v>89</v>
      </c>
      <c r="P95" t="s">
        <v>510</v>
      </c>
      <c r="Q95" t="s">
        <v>1189</v>
      </c>
      <c r="R95" t="s">
        <v>1190</v>
      </c>
      <c r="S95" t="s">
        <v>93</v>
      </c>
      <c r="T95" t="s">
        <v>1191</v>
      </c>
      <c r="U95" t="s">
        <v>136</v>
      </c>
      <c r="V95" t="s">
        <v>96</v>
      </c>
      <c r="W95" t="s">
        <v>97</v>
      </c>
      <c r="X95" t="s">
        <v>98</v>
      </c>
      <c r="Y95" t="s">
        <v>1192</v>
      </c>
      <c r="Z95" t="s">
        <v>1112</v>
      </c>
      <c r="AA95" t="s">
        <v>93</v>
      </c>
      <c r="AB95" t="s">
        <v>1113</v>
      </c>
      <c r="AC95" t="s">
        <v>1193</v>
      </c>
      <c r="AF95" s="6">
        <f>Tabela4[[#This Row],[kan_params]] * 1</f>
        <v>65648</v>
      </c>
      <c r="AG95" s="5">
        <f>Tabela4[[#This Row],[kan_test_acc]] * 1</f>
        <v>0.96503496170043901</v>
      </c>
      <c r="AH95" s="5">
        <f>Tabela4[[#This Row],[mlp_test_acc]] * 1</f>
        <v>0.95104895104895104</v>
      </c>
      <c r="AI95" s="5">
        <f>Tabela4[[#This Row],[mlp2_test_acc]] * 1</f>
        <v>0.97902097902097895</v>
      </c>
    </row>
    <row r="96" spans="1:35" x14ac:dyDescent="0.25">
      <c r="A96" t="s">
        <v>28</v>
      </c>
      <c r="B96" t="s">
        <v>959</v>
      </c>
      <c r="C96" t="s">
        <v>1026</v>
      </c>
      <c r="D96" t="s">
        <v>79</v>
      </c>
      <c r="E96" t="s">
        <v>80</v>
      </c>
      <c r="F96" t="s">
        <v>530</v>
      </c>
      <c r="G96" t="s">
        <v>1194</v>
      </c>
      <c r="H96" t="s">
        <v>1195</v>
      </c>
      <c r="I96" t="s">
        <v>812</v>
      </c>
      <c r="J96" t="s">
        <v>89</v>
      </c>
      <c r="K96" t="s">
        <v>198</v>
      </c>
      <c r="L96" t="s">
        <v>118</v>
      </c>
      <c r="M96" t="s">
        <v>136</v>
      </c>
      <c r="N96" t="s">
        <v>88</v>
      </c>
      <c r="O96" t="s">
        <v>89</v>
      </c>
      <c r="P96" t="s">
        <v>263</v>
      </c>
      <c r="Q96" t="s">
        <v>1196</v>
      </c>
      <c r="R96" t="s">
        <v>1156</v>
      </c>
      <c r="S96" t="s">
        <v>93</v>
      </c>
      <c r="T96" t="s">
        <v>1157</v>
      </c>
      <c r="U96" t="s">
        <v>87</v>
      </c>
      <c r="V96" t="s">
        <v>96</v>
      </c>
      <c r="W96" t="s">
        <v>268</v>
      </c>
      <c r="X96" t="s">
        <v>98</v>
      </c>
      <c r="Y96" t="s">
        <v>1197</v>
      </c>
      <c r="Z96" t="s">
        <v>1159</v>
      </c>
      <c r="AA96" t="s">
        <v>93</v>
      </c>
      <c r="AB96" t="s">
        <v>937</v>
      </c>
      <c r="AC96" t="s">
        <v>1198</v>
      </c>
      <c r="AF96" s="6">
        <f>Tabela4[[#This Row],[kan_params]] * 1</f>
        <v>69833</v>
      </c>
      <c r="AG96" s="5">
        <f>Tabela4[[#This Row],[kan_test_acc]] * 1</f>
        <v>0.96503496170043901</v>
      </c>
      <c r="AH96" s="5">
        <f>Tabela4[[#This Row],[mlp_test_acc]] * 1</f>
        <v>0.97902097902097895</v>
      </c>
      <c r="AI96" s="5">
        <f>Tabela4[[#This Row],[mlp2_test_acc]] * 1</f>
        <v>0.97202797202797198</v>
      </c>
    </row>
    <row r="97" spans="1:35" x14ac:dyDescent="0.25">
      <c r="A97" t="s">
        <v>28</v>
      </c>
      <c r="B97" t="s">
        <v>959</v>
      </c>
      <c r="C97" t="s">
        <v>1026</v>
      </c>
      <c r="D97" t="s">
        <v>79</v>
      </c>
      <c r="E97" t="s">
        <v>80</v>
      </c>
      <c r="F97" t="s">
        <v>608</v>
      </c>
      <c r="G97" t="s">
        <v>1253</v>
      </c>
      <c r="H97" t="s">
        <v>1254</v>
      </c>
      <c r="I97" t="s">
        <v>802</v>
      </c>
      <c r="J97" t="s">
        <v>89</v>
      </c>
      <c r="K97" t="s">
        <v>89</v>
      </c>
      <c r="L97" t="s">
        <v>118</v>
      </c>
      <c r="M97" t="s">
        <v>95</v>
      </c>
      <c r="N97" t="s">
        <v>89</v>
      </c>
      <c r="O97" t="s">
        <v>1221</v>
      </c>
      <c r="P97" t="s">
        <v>1255</v>
      </c>
      <c r="Q97" t="s">
        <v>1256</v>
      </c>
      <c r="R97" t="s">
        <v>1257</v>
      </c>
      <c r="S97" t="s">
        <v>93</v>
      </c>
      <c r="T97" t="s">
        <v>1056</v>
      </c>
      <c r="U97" t="s">
        <v>87</v>
      </c>
      <c r="V97" t="s">
        <v>89</v>
      </c>
      <c r="W97" t="s">
        <v>969</v>
      </c>
      <c r="X97" t="s">
        <v>1226</v>
      </c>
      <c r="Y97" t="s">
        <v>1258</v>
      </c>
      <c r="Z97" t="s">
        <v>1259</v>
      </c>
      <c r="AA97" t="s">
        <v>93</v>
      </c>
      <c r="AB97" t="s">
        <v>1215</v>
      </c>
      <c r="AC97" t="s">
        <v>1260</v>
      </c>
      <c r="AF97" s="6">
        <f>Tabela4[[#This Row],[kan_params]] * 1</f>
        <v>77980</v>
      </c>
      <c r="AG97" s="5">
        <f>Tabela4[[#This Row],[kan_test_acc]] * 1</f>
        <v>0.96503496170043901</v>
      </c>
      <c r="AH97" s="5">
        <f>Tabela4[[#This Row],[mlp_test_acc]] * 1</f>
        <v>0.965034965034965</v>
      </c>
      <c r="AI97" s="5">
        <f>Tabela4[[#This Row],[mlp2_test_acc]] * 1</f>
        <v>0.97202797202797198</v>
      </c>
    </row>
    <row r="98" spans="1:35" x14ac:dyDescent="0.25">
      <c r="A98" t="s">
        <v>28</v>
      </c>
      <c r="B98" t="s">
        <v>78</v>
      </c>
      <c r="C98" t="s">
        <v>79</v>
      </c>
      <c r="D98" t="s">
        <v>79</v>
      </c>
      <c r="E98" t="s">
        <v>80</v>
      </c>
      <c r="F98" t="s">
        <v>34</v>
      </c>
      <c r="G98" t="s">
        <v>235</v>
      </c>
      <c r="H98" t="s">
        <v>236</v>
      </c>
      <c r="I98" t="s">
        <v>237</v>
      </c>
      <c r="J98" t="s">
        <v>89</v>
      </c>
      <c r="K98" t="s">
        <v>198</v>
      </c>
      <c r="L98" t="s">
        <v>238</v>
      </c>
      <c r="M98" t="s">
        <v>239</v>
      </c>
      <c r="N98" t="s">
        <v>96</v>
      </c>
      <c r="O98" t="s">
        <v>89</v>
      </c>
      <c r="P98" t="s">
        <v>240</v>
      </c>
      <c r="Q98" t="s">
        <v>241</v>
      </c>
      <c r="R98" t="s">
        <v>242</v>
      </c>
      <c r="S98" t="s">
        <v>93</v>
      </c>
      <c r="T98" t="s">
        <v>98</v>
      </c>
      <c r="U98" t="s">
        <v>136</v>
      </c>
      <c r="V98" t="s">
        <v>96</v>
      </c>
      <c r="W98" t="s">
        <v>243</v>
      </c>
      <c r="X98" t="s">
        <v>98</v>
      </c>
      <c r="Y98" t="s">
        <v>244</v>
      </c>
      <c r="Z98" t="s">
        <v>245</v>
      </c>
      <c r="AA98" t="s">
        <v>93</v>
      </c>
      <c r="AB98" t="s">
        <v>246</v>
      </c>
      <c r="AC98" t="s">
        <v>247</v>
      </c>
      <c r="AF98" s="6">
        <f>Tabela4[[#This Row],[kan_params]] * 1</f>
        <v>24113</v>
      </c>
      <c r="AG98" s="5">
        <f>Tabela4[[#This Row],[kan_test_acc]] * 1</f>
        <v>0.95804196596145597</v>
      </c>
      <c r="AH98" s="5">
        <f>Tabela4[[#This Row],[mlp_test_acc]] * 1</f>
        <v>0.98601398601398604</v>
      </c>
      <c r="AI98" s="5">
        <f>Tabela4[[#This Row],[mlp2_test_acc]] * 1</f>
        <v>0.97902097902097895</v>
      </c>
    </row>
    <row r="99" spans="1:35" x14ac:dyDescent="0.25">
      <c r="A99" t="s">
        <v>28</v>
      </c>
      <c r="B99" t="s">
        <v>273</v>
      </c>
      <c r="C99" t="s">
        <v>79</v>
      </c>
      <c r="D99" t="s">
        <v>274</v>
      </c>
      <c r="E99" t="s">
        <v>80</v>
      </c>
      <c r="F99" t="s">
        <v>147</v>
      </c>
      <c r="G99" t="s">
        <v>427</v>
      </c>
      <c r="H99" t="s">
        <v>428</v>
      </c>
      <c r="I99" t="s">
        <v>429</v>
      </c>
      <c r="J99" t="s">
        <v>89</v>
      </c>
      <c r="K99" t="s">
        <v>85</v>
      </c>
      <c r="L99" t="s">
        <v>238</v>
      </c>
      <c r="M99" t="s">
        <v>87</v>
      </c>
      <c r="N99" t="s">
        <v>96</v>
      </c>
      <c r="O99" t="s">
        <v>89</v>
      </c>
      <c r="P99" t="s">
        <v>263</v>
      </c>
      <c r="Q99" t="s">
        <v>430</v>
      </c>
      <c r="R99" t="s">
        <v>203</v>
      </c>
      <c r="S99" t="s">
        <v>93</v>
      </c>
      <c r="T99" t="s">
        <v>204</v>
      </c>
      <c r="U99" t="s">
        <v>136</v>
      </c>
      <c r="V99" t="s">
        <v>267</v>
      </c>
      <c r="W99" t="s">
        <v>217</v>
      </c>
      <c r="X99" t="s">
        <v>98</v>
      </c>
      <c r="Y99" t="s">
        <v>431</v>
      </c>
      <c r="Z99" t="s">
        <v>208</v>
      </c>
      <c r="AA99" t="s">
        <v>93</v>
      </c>
      <c r="AB99" t="s">
        <v>209</v>
      </c>
      <c r="AC99" t="s">
        <v>432</v>
      </c>
      <c r="AF99" s="6">
        <f>Tabela4[[#This Row],[kan_params]] * 1</f>
        <v>39094</v>
      </c>
      <c r="AG99" s="5">
        <f>Tabela4[[#This Row],[kan_test_acc]] * 1</f>
        <v>0.95804196596145597</v>
      </c>
      <c r="AH99" s="5">
        <f>Tabela4[[#This Row],[mlp_test_acc]] * 1</f>
        <v>0.97202797202797198</v>
      </c>
      <c r="AI99" s="5">
        <f>Tabela4[[#This Row],[mlp2_test_acc]] * 1</f>
        <v>0.97902097902097895</v>
      </c>
    </row>
    <row r="100" spans="1:35" x14ac:dyDescent="0.25">
      <c r="A100" t="s">
        <v>28</v>
      </c>
      <c r="B100" t="s">
        <v>273</v>
      </c>
      <c r="C100" t="s">
        <v>79</v>
      </c>
      <c r="D100" t="s">
        <v>274</v>
      </c>
      <c r="E100" t="s">
        <v>80</v>
      </c>
      <c r="F100" t="s">
        <v>34</v>
      </c>
      <c r="G100" t="s">
        <v>631</v>
      </c>
      <c r="H100" t="s">
        <v>632</v>
      </c>
      <c r="I100" t="s">
        <v>83</v>
      </c>
      <c r="J100" t="s">
        <v>89</v>
      </c>
      <c r="K100" t="s">
        <v>89</v>
      </c>
      <c r="L100" t="s">
        <v>238</v>
      </c>
      <c r="M100" t="s">
        <v>633</v>
      </c>
      <c r="N100" t="s">
        <v>89</v>
      </c>
      <c r="O100" t="s">
        <v>634</v>
      </c>
      <c r="P100" t="s">
        <v>635</v>
      </c>
      <c r="Q100" t="s">
        <v>636</v>
      </c>
      <c r="R100" t="s">
        <v>220</v>
      </c>
      <c r="S100" t="s">
        <v>93</v>
      </c>
      <c r="T100" t="s">
        <v>221</v>
      </c>
      <c r="U100" t="s">
        <v>633</v>
      </c>
      <c r="V100" t="s">
        <v>89</v>
      </c>
      <c r="W100" t="s">
        <v>620</v>
      </c>
      <c r="X100" t="s">
        <v>621</v>
      </c>
      <c r="Y100" t="s">
        <v>637</v>
      </c>
      <c r="Z100" t="s">
        <v>638</v>
      </c>
      <c r="AA100" t="s">
        <v>93</v>
      </c>
      <c r="AB100" t="s">
        <v>639</v>
      </c>
      <c r="AC100" t="s">
        <v>640</v>
      </c>
      <c r="AF100" s="6">
        <f>Tabela4[[#This Row],[kan_params]] * 1</f>
        <v>19601</v>
      </c>
      <c r="AG100" s="5">
        <f>Tabela4[[#This Row],[kan_test_acc]] * 1</f>
        <v>0.95804196596145597</v>
      </c>
      <c r="AH100" s="5">
        <f>Tabela4[[#This Row],[mlp_test_acc]] * 1</f>
        <v>0.93006993006993</v>
      </c>
      <c r="AI100" s="5">
        <f>Tabela4[[#This Row],[mlp2_test_acc]] * 1</f>
        <v>0.93006993006993</v>
      </c>
    </row>
    <row r="101" spans="1:35" x14ac:dyDescent="0.25">
      <c r="A101" t="s">
        <v>28</v>
      </c>
      <c r="B101" t="s">
        <v>78</v>
      </c>
      <c r="C101" t="s">
        <v>666</v>
      </c>
      <c r="D101" t="s">
        <v>274</v>
      </c>
      <c r="E101" t="s">
        <v>80</v>
      </c>
      <c r="F101" t="s">
        <v>504</v>
      </c>
      <c r="G101" t="s">
        <v>731</v>
      </c>
      <c r="H101" t="s">
        <v>732</v>
      </c>
      <c r="I101" t="s">
        <v>733</v>
      </c>
      <c r="J101" t="s">
        <v>89</v>
      </c>
      <c r="K101" t="s">
        <v>89</v>
      </c>
      <c r="L101" t="s">
        <v>238</v>
      </c>
      <c r="M101" t="s">
        <v>89</v>
      </c>
      <c r="N101" t="s">
        <v>88</v>
      </c>
      <c r="O101" t="s">
        <v>89</v>
      </c>
      <c r="P101" t="s">
        <v>305</v>
      </c>
      <c r="Q101" t="s">
        <v>734</v>
      </c>
      <c r="R101" t="s">
        <v>203</v>
      </c>
      <c r="S101" t="s">
        <v>93</v>
      </c>
      <c r="T101" t="s">
        <v>204</v>
      </c>
      <c r="U101" t="s">
        <v>89</v>
      </c>
      <c r="V101" t="s">
        <v>88</v>
      </c>
      <c r="W101" t="s">
        <v>243</v>
      </c>
      <c r="X101" t="s">
        <v>98</v>
      </c>
      <c r="Y101" t="s">
        <v>735</v>
      </c>
      <c r="Z101" t="s">
        <v>208</v>
      </c>
      <c r="AA101" t="s">
        <v>93</v>
      </c>
      <c r="AB101" t="s">
        <v>209</v>
      </c>
      <c r="AC101" t="s">
        <v>736</v>
      </c>
      <c r="AF101" s="6">
        <f>Tabela4[[#This Row],[kan_params]] * 1</f>
        <v>39078</v>
      </c>
      <c r="AG101" s="5">
        <f>Tabela4[[#This Row],[kan_test_acc]] * 1</f>
        <v>0.95804196596145597</v>
      </c>
      <c r="AH101" s="5">
        <f>Tabela4[[#This Row],[mlp_test_acc]] * 1</f>
        <v>1</v>
      </c>
      <c r="AI101" s="5">
        <f>Tabela4[[#This Row],[mlp2_test_acc]] * 1</f>
        <v>1</v>
      </c>
    </row>
    <row r="102" spans="1:35" x14ac:dyDescent="0.25">
      <c r="A102" t="s">
        <v>28</v>
      </c>
      <c r="B102" t="s">
        <v>78</v>
      </c>
      <c r="C102" t="s">
        <v>666</v>
      </c>
      <c r="D102" t="s">
        <v>274</v>
      </c>
      <c r="E102" t="s">
        <v>80</v>
      </c>
      <c r="F102" t="s">
        <v>514</v>
      </c>
      <c r="G102" t="s">
        <v>737</v>
      </c>
      <c r="H102" t="s">
        <v>738</v>
      </c>
      <c r="I102" t="s">
        <v>739</v>
      </c>
      <c r="J102" t="s">
        <v>89</v>
      </c>
      <c r="K102" t="s">
        <v>89</v>
      </c>
      <c r="L102" t="s">
        <v>238</v>
      </c>
      <c r="M102" t="s">
        <v>87</v>
      </c>
      <c r="N102" t="s">
        <v>88</v>
      </c>
      <c r="O102" t="s">
        <v>89</v>
      </c>
      <c r="P102" t="s">
        <v>305</v>
      </c>
      <c r="Q102" t="s">
        <v>740</v>
      </c>
      <c r="R102" t="s">
        <v>484</v>
      </c>
      <c r="S102" t="s">
        <v>93</v>
      </c>
      <c r="T102" t="s">
        <v>485</v>
      </c>
      <c r="U102" t="s">
        <v>95</v>
      </c>
      <c r="V102" t="s">
        <v>96</v>
      </c>
      <c r="W102" t="s">
        <v>243</v>
      </c>
      <c r="X102" t="s">
        <v>98</v>
      </c>
      <c r="Y102" t="s">
        <v>741</v>
      </c>
      <c r="Z102" t="s">
        <v>697</v>
      </c>
      <c r="AA102" t="s">
        <v>93</v>
      </c>
      <c r="AB102" t="s">
        <v>698</v>
      </c>
      <c r="AC102" t="s">
        <v>742</v>
      </c>
      <c r="AF102" s="6">
        <f>Tabela4[[#This Row],[kan_params]] * 1</f>
        <v>41933</v>
      </c>
      <c r="AG102" s="5">
        <f>Tabela4[[#This Row],[kan_test_acc]] * 1</f>
        <v>0.95804196596145597</v>
      </c>
      <c r="AH102" s="5">
        <f>Tabela4[[#This Row],[mlp_test_acc]] * 1</f>
        <v>0.97202797202797198</v>
      </c>
      <c r="AI102" s="5">
        <f>Tabela4[[#This Row],[mlp2_test_acc]] * 1</f>
        <v>0.965034965034965</v>
      </c>
    </row>
    <row r="103" spans="1:35" x14ac:dyDescent="0.25">
      <c r="A103" t="s">
        <v>28</v>
      </c>
      <c r="B103" t="s">
        <v>959</v>
      </c>
      <c r="C103" t="s">
        <v>1026</v>
      </c>
      <c r="D103" t="s">
        <v>79</v>
      </c>
      <c r="E103" t="s">
        <v>80</v>
      </c>
      <c r="F103" t="s">
        <v>147</v>
      </c>
      <c r="G103" t="s">
        <v>1108</v>
      </c>
      <c r="H103" t="s">
        <v>1109</v>
      </c>
      <c r="I103" t="s">
        <v>1110</v>
      </c>
      <c r="J103" t="s">
        <v>89</v>
      </c>
      <c r="K103" t="s">
        <v>134</v>
      </c>
      <c r="L103" t="s">
        <v>238</v>
      </c>
      <c r="M103" t="s">
        <v>119</v>
      </c>
      <c r="N103" t="s">
        <v>96</v>
      </c>
      <c r="O103" t="s">
        <v>89</v>
      </c>
      <c r="P103" t="s">
        <v>510</v>
      </c>
      <c r="Q103" t="s">
        <v>1111</v>
      </c>
      <c r="R103" t="s">
        <v>1112</v>
      </c>
      <c r="S103" t="s">
        <v>93</v>
      </c>
      <c r="T103" t="s">
        <v>1113</v>
      </c>
      <c r="U103" t="s">
        <v>119</v>
      </c>
      <c r="V103" t="s">
        <v>267</v>
      </c>
      <c r="W103" t="s">
        <v>89</v>
      </c>
      <c r="X103" t="s">
        <v>98</v>
      </c>
      <c r="Y103" t="s">
        <v>1114</v>
      </c>
      <c r="Z103" t="s">
        <v>982</v>
      </c>
      <c r="AA103" t="s">
        <v>93</v>
      </c>
      <c r="AB103" t="s">
        <v>983</v>
      </c>
      <c r="AC103" t="s">
        <v>1115</v>
      </c>
      <c r="AF103" s="6">
        <f>Tabela4[[#This Row],[kan_params]] * 1</f>
        <v>66094</v>
      </c>
      <c r="AG103" s="5">
        <f>Tabela4[[#This Row],[kan_test_acc]] * 1</f>
        <v>0.95804196596145597</v>
      </c>
      <c r="AH103" s="5">
        <f>Tabela4[[#This Row],[mlp_test_acc]] * 1</f>
        <v>0.95104895104895104</v>
      </c>
      <c r="AI103" s="5">
        <f>Tabela4[[#This Row],[mlp2_test_acc]] * 1</f>
        <v>0.95104895104895104</v>
      </c>
    </row>
    <row r="104" spans="1:35" x14ac:dyDescent="0.25">
      <c r="A104" t="s">
        <v>28</v>
      </c>
      <c r="B104" t="s">
        <v>959</v>
      </c>
      <c r="C104" t="s">
        <v>1026</v>
      </c>
      <c r="D104" t="s">
        <v>79</v>
      </c>
      <c r="E104" t="s">
        <v>80</v>
      </c>
      <c r="F104" t="s">
        <v>38</v>
      </c>
      <c r="G104" t="s">
        <v>1122</v>
      </c>
      <c r="H104" t="s">
        <v>1123</v>
      </c>
      <c r="I104" t="s">
        <v>953</v>
      </c>
      <c r="J104" t="s">
        <v>89</v>
      </c>
      <c r="K104" t="s">
        <v>89</v>
      </c>
      <c r="L104" t="s">
        <v>238</v>
      </c>
      <c r="M104" t="s">
        <v>141</v>
      </c>
      <c r="N104" t="s">
        <v>88</v>
      </c>
      <c r="O104" t="s">
        <v>89</v>
      </c>
      <c r="P104" t="s">
        <v>510</v>
      </c>
      <c r="Q104" t="s">
        <v>1124</v>
      </c>
      <c r="R104" t="s">
        <v>801</v>
      </c>
      <c r="S104" t="s">
        <v>93</v>
      </c>
      <c r="T104" t="s">
        <v>802</v>
      </c>
      <c r="U104" t="s">
        <v>239</v>
      </c>
      <c r="V104" t="s">
        <v>89</v>
      </c>
      <c r="W104" t="s">
        <v>217</v>
      </c>
      <c r="X104" t="s">
        <v>98</v>
      </c>
      <c r="Y104" t="s">
        <v>1125</v>
      </c>
      <c r="Z104" t="s">
        <v>761</v>
      </c>
      <c r="AA104" t="s">
        <v>93</v>
      </c>
      <c r="AB104" t="s">
        <v>762</v>
      </c>
      <c r="AC104" t="s">
        <v>1126</v>
      </c>
      <c r="AF104" s="6">
        <f>Tabela4[[#This Row],[kan_params]] * 1</f>
        <v>50231</v>
      </c>
      <c r="AG104" s="5">
        <f>Tabela4[[#This Row],[kan_test_acc]] * 1</f>
        <v>0.95804196596145597</v>
      </c>
      <c r="AH104" s="5">
        <f>Tabela4[[#This Row],[mlp_test_acc]] * 1</f>
        <v>0.99300699300699302</v>
      </c>
      <c r="AI104" s="5">
        <f>Tabela4[[#This Row],[mlp2_test_acc]] * 1</f>
        <v>0.98601398601398604</v>
      </c>
    </row>
    <row r="105" spans="1:35" x14ac:dyDescent="0.25">
      <c r="A105" t="s">
        <v>28</v>
      </c>
      <c r="B105" t="s">
        <v>959</v>
      </c>
      <c r="C105" t="s">
        <v>1026</v>
      </c>
      <c r="D105" t="s">
        <v>79</v>
      </c>
      <c r="E105" t="s">
        <v>80</v>
      </c>
      <c r="F105" t="s">
        <v>504</v>
      </c>
      <c r="G105" t="s">
        <v>1172</v>
      </c>
      <c r="H105" t="s">
        <v>1173</v>
      </c>
      <c r="I105" t="s">
        <v>1143</v>
      </c>
      <c r="J105" t="s">
        <v>89</v>
      </c>
      <c r="K105" t="s">
        <v>198</v>
      </c>
      <c r="L105" t="s">
        <v>238</v>
      </c>
      <c r="M105" t="s">
        <v>95</v>
      </c>
      <c r="N105" t="s">
        <v>88</v>
      </c>
      <c r="O105" t="s">
        <v>89</v>
      </c>
      <c r="P105" t="s">
        <v>305</v>
      </c>
      <c r="Q105" t="s">
        <v>1174</v>
      </c>
      <c r="R105" t="s">
        <v>1175</v>
      </c>
      <c r="S105" t="s">
        <v>93</v>
      </c>
      <c r="T105" t="s">
        <v>1176</v>
      </c>
      <c r="U105" t="s">
        <v>95</v>
      </c>
      <c r="V105" t="s">
        <v>96</v>
      </c>
      <c r="W105" t="s">
        <v>268</v>
      </c>
      <c r="X105" t="s">
        <v>98</v>
      </c>
      <c r="Y105" t="s">
        <v>1177</v>
      </c>
      <c r="Z105" t="s">
        <v>1178</v>
      </c>
      <c r="AA105" t="s">
        <v>93</v>
      </c>
      <c r="AB105" t="s">
        <v>1179</v>
      </c>
      <c r="AC105" t="s">
        <v>1180</v>
      </c>
      <c r="AF105" s="6">
        <f>Tabela4[[#This Row],[kan_params]] * 1</f>
        <v>57278</v>
      </c>
      <c r="AG105" s="5">
        <f>Tabela4[[#This Row],[kan_test_acc]] * 1</f>
        <v>0.95804196596145597</v>
      </c>
      <c r="AH105" s="5">
        <f>Tabela4[[#This Row],[mlp_test_acc]] * 1</f>
        <v>0.965034965034965</v>
      </c>
      <c r="AI105" s="5">
        <f>Tabela4[[#This Row],[mlp2_test_acc]] * 1</f>
        <v>0.965034965034965</v>
      </c>
    </row>
    <row r="106" spans="1:35" x14ac:dyDescent="0.25">
      <c r="A106" t="s">
        <v>28</v>
      </c>
      <c r="B106" t="s">
        <v>959</v>
      </c>
      <c r="C106" t="s">
        <v>1026</v>
      </c>
      <c r="D106" t="s">
        <v>79</v>
      </c>
      <c r="E106" t="s">
        <v>80</v>
      </c>
      <c r="F106" t="s">
        <v>514</v>
      </c>
      <c r="G106" t="s">
        <v>1181</v>
      </c>
      <c r="H106" t="s">
        <v>1182</v>
      </c>
      <c r="I106" t="s">
        <v>1065</v>
      </c>
      <c r="J106" t="s">
        <v>89</v>
      </c>
      <c r="K106" t="s">
        <v>198</v>
      </c>
      <c r="L106" t="s">
        <v>238</v>
      </c>
      <c r="M106" t="s">
        <v>205</v>
      </c>
      <c r="N106" t="s">
        <v>89</v>
      </c>
      <c r="O106" t="s">
        <v>89</v>
      </c>
      <c r="P106" t="s">
        <v>510</v>
      </c>
      <c r="Q106" t="s">
        <v>1183</v>
      </c>
      <c r="R106" t="s">
        <v>1184</v>
      </c>
      <c r="S106" t="s">
        <v>93</v>
      </c>
      <c r="T106" t="s">
        <v>1129</v>
      </c>
      <c r="U106" t="s">
        <v>119</v>
      </c>
      <c r="V106" t="s">
        <v>96</v>
      </c>
      <c r="W106" t="s">
        <v>110</v>
      </c>
      <c r="X106" t="s">
        <v>98</v>
      </c>
      <c r="Y106" t="s">
        <v>1185</v>
      </c>
      <c r="Z106" t="s">
        <v>1073</v>
      </c>
      <c r="AA106" t="s">
        <v>93</v>
      </c>
      <c r="AB106" t="s">
        <v>1074</v>
      </c>
      <c r="AC106" t="s">
        <v>1186</v>
      </c>
      <c r="AF106" s="6">
        <f>Tabela4[[#This Row],[kan_params]] * 1</f>
        <v>61463</v>
      </c>
      <c r="AG106" s="5">
        <f>Tabela4[[#This Row],[kan_test_acc]] * 1</f>
        <v>0.95804196596145597</v>
      </c>
      <c r="AH106" s="5">
        <f>Tabela4[[#This Row],[mlp_test_acc]] * 1</f>
        <v>0.95804195804195802</v>
      </c>
      <c r="AI106" s="5">
        <f>Tabela4[[#This Row],[mlp2_test_acc]] * 1</f>
        <v>0.95104895104895104</v>
      </c>
    </row>
    <row r="107" spans="1:35" x14ac:dyDescent="0.25">
      <c r="A107" t="s">
        <v>28</v>
      </c>
      <c r="B107" t="s">
        <v>959</v>
      </c>
      <c r="C107" t="s">
        <v>1026</v>
      </c>
      <c r="D107" t="s">
        <v>79</v>
      </c>
      <c r="E107" t="s">
        <v>80</v>
      </c>
      <c r="F107" t="s">
        <v>574</v>
      </c>
      <c r="G107" t="s">
        <v>1219</v>
      </c>
      <c r="H107" t="s">
        <v>1220</v>
      </c>
      <c r="I107" t="s">
        <v>1132</v>
      </c>
      <c r="J107" t="s">
        <v>89</v>
      </c>
      <c r="K107" t="s">
        <v>89</v>
      </c>
      <c r="L107" t="s">
        <v>238</v>
      </c>
      <c r="M107" t="s">
        <v>95</v>
      </c>
      <c r="N107" t="s">
        <v>89</v>
      </c>
      <c r="O107" t="s">
        <v>1221</v>
      </c>
      <c r="P107" t="s">
        <v>1222</v>
      </c>
      <c r="Q107" t="s">
        <v>1223</v>
      </c>
      <c r="R107" t="s">
        <v>1224</v>
      </c>
      <c r="S107" t="s">
        <v>93</v>
      </c>
      <c r="T107" t="s">
        <v>1225</v>
      </c>
      <c r="U107" t="s">
        <v>87</v>
      </c>
      <c r="V107" t="s">
        <v>89</v>
      </c>
      <c r="W107" t="s">
        <v>1221</v>
      </c>
      <c r="X107" t="s">
        <v>1226</v>
      </c>
      <c r="Y107" t="s">
        <v>1227</v>
      </c>
      <c r="Z107" t="s">
        <v>1184</v>
      </c>
      <c r="AA107" t="s">
        <v>93</v>
      </c>
      <c r="AB107" t="s">
        <v>1129</v>
      </c>
      <c r="AC107" t="s">
        <v>1228</v>
      </c>
      <c r="AF107" s="6">
        <f>Tabela4[[#This Row],[kan_params]] * 1</f>
        <v>60360</v>
      </c>
      <c r="AG107" s="5">
        <f>Tabela4[[#This Row],[kan_test_acc]] * 1</f>
        <v>0.95804196596145597</v>
      </c>
      <c r="AH107" s="5">
        <f>Tabela4[[#This Row],[mlp_test_acc]] * 1</f>
        <v>0.965034965034965</v>
      </c>
      <c r="AI107" s="5">
        <f>Tabela4[[#This Row],[mlp2_test_acc]] * 1</f>
        <v>0.97202797202797198</v>
      </c>
    </row>
    <row r="108" spans="1:35" x14ac:dyDescent="0.25">
      <c r="A108" t="s">
        <v>28</v>
      </c>
      <c r="B108" t="s">
        <v>959</v>
      </c>
      <c r="C108" t="s">
        <v>1026</v>
      </c>
      <c r="D108" t="s">
        <v>79</v>
      </c>
      <c r="E108" t="s">
        <v>80</v>
      </c>
      <c r="F108" t="s">
        <v>592</v>
      </c>
      <c r="G108" t="s">
        <v>1238</v>
      </c>
      <c r="H108" t="s">
        <v>1239</v>
      </c>
      <c r="I108" t="s">
        <v>156</v>
      </c>
      <c r="J108" t="s">
        <v>89</v>
      </c>
      <c r="K108" t="s">
        <v>89</v>
      </c>
      <c r="L108" t="s">
        <v>238</v>
      </c>
      <c r="M108" t="s">
        <v>136</v>
      </c>
      <c r="N108" t="s">
        <v>89</v>
      </c>
      <c r="O108" t="s">
        <v>969</v>
      </c>
      <c r="P108" t="s">
        <v>1240</v>
      </c>
      <c r="Q108" t="s">
        <v>1241</v>
      </c>
      <c r="R108" t="s">
        <v>1242</v>
      </c>
      <c r="S108" t="s">
        <v>93</v>
      </c>
      <c r="T108" t="s">
        <v>950</v>
      </c>
      <c r="U108" t="s">
        <v>87</v>
      </c>
      <c r="V108" t="s">
        <v>89</v>
      </c>
      <c r="W108" t="s">
        <v>1221</v>
      </c>
      <c r="X108" t="s">
        <v>1235</v>
      </c>
      <c r="Y108" t="s">
        <v>1243</v>
      </c>
      <c r="Z108" t="s">
        <v>1156</v>
      </c>
      <c r="AA108" t="s">
        <v>93</v>
      </c>
      <c r="AB108" t="s">
        <v>1157</v>
      </c>
      <c r="AC108" t="s">
        <v>1244</v>
      </c>
      <c r="AF108" s="6">
        <f>Tabela4[[#This Row],[kan_params]] * 1</f>
        <v>69170</v>
      </c>
      <c r="AG108" s="5">
        <f>Tabela4[[#This Row],[kan_test_acc]] * 1</f>
        <v>0.95804196596145597</v>
      </c>
      <c r="AH108" s="5">
        <f>Tabela4[[#This Row],[mlp_test_acc]] * 1</f>
        <v>0.97902097902097895</v>
      </c>
      <c r="AI108" s="5">
        <f>Tabela4[[#This Row],[mlp2_test_acc]] * 1</f>
        <v>0.97202797202797198</v>
      </c>
    </row>
    <row r="109" spans="1:35" x14ac:dyDescent="0.25">
      <c r="A109" t="s">
        <v>28</v>
      </c>
      <c r="B109" t="s">
        <v>1297</v>
      </c>
      <c r="C109" t="s">
        <v>1026</v>
      </c>
      <c r="D109" t="s">
        <v>898</v>
      </c>
      <c r="E109" t="s">
        <v>80</v>
      </c>
      <c r="F109" t="s">
        <v>34</v>
      </c>
      <c r="G109" t="s">
        <v>1409</v>
      </c>
      <c r="H109" t="s">
        <v>1410</v>
      </c>
      <c r="I109" t="s">
        <v>1411</v>
      </c>
      <c r="J109" t="s">
        <v>89</v>
      </c>
      <c r="K109" t="s">
        <v>89</v>
      </c>
      <c r="L109" t="s">
        <v>238</v>
      </c>
      <c r="M109" t="s">
        <v>87</v>
      </c>
      <c r="N109" t="s">
        <v>89</v>
      </c>
      <c r="O109" t="s">
        <v>1221</v>
      </c>
      <c r="P109" t="s">
        <v>1412</v>
      </c>
      <c r="Q109" t="s">
        <v>1413</v>
      </c>
      <c r="R109" t="s">
        <v>365</v>
      </c>
      <c r="S109" t="s">
        <v>93</v>
      </c>
      <c r="T109" t="s">
        <v>366</v>
      </c>
      <c r="U109" t="s">
        <v>87</v>
      </c>
      <c r="V109" t="s">
        <v>89</v>
      </c>
      <c r="W109" t="s">
        <v>1249</v>
      </c>
      <c r="X109" t="s">
        <v>1255</v>
      </c>
      <c r="Y109" t="s">
        <v>1414</v>
      </c>
      <c r="Z109" t="s">
        <v>588</v>
      </c>
      <c r="AA109" t="s">
        <v>93</v>
      </c>
      <c r="AB109" t="s">
        <v>589</v>
      </c>
      <c r="AC109" t="s">
        <v>1415</v>
      </c>
      <c r="AF109" s="6">
        <f>Tabela4[[#This Row],[kan_params]] * 1</f>
        <v>37649</v>
      </c>
      <c r="AG109" s="5">
        <f>Tabela4[[#This Row],[kan_test_acc]] * 1</f>
        <v>0.95804196596145597</v>
      </c>
      <c r="AH109" s="5">
        <f>Tabela4[[#This Row],[mlp_test_acc]] * 1</f>
        <v>0.97202797202797198</v>
      </c>
      <c r="AI109" s="5">
        <f>Tabela4[[#This Row],[mlp2_test_acc]] * 1</f>
        <v>0.97202797202797198</v>
      </c>
    </row>
    <row r="110" spans="1:35" x14ac:dyDescent="0.25">
      <c r="A110" t="s">
        <v>28</v>
      </c>
      <c r="B110" t="s">
        <v>78</v>
      </c>
      <c r="C110" t="s">
        <v>79</v>
      </c>
      <c r="D110" t="s">
        <v>79</v>
      </c>
      <c r="E110" t="s">
        <v>80</v>
      </c>
      <c r="F110" t="s">
        <v>129</v>
      </c>
      <c r="G110" t="s">
        <v>130</v>
      </c>
      <c r="H110" t="s">
        <v>131</v>
      </c>
      <c r="I110" t="s">
        <v>132</v>
      </c>
      <c r="J110" t="s">
        <v>133</v>
      </c>
      <c r="K110" t="s">
        <v>134</v>
      </c>
      <c r="L110" t="s">
        <v>135</v>
      </c>
      <c r="M110" t="s">
        <v>136</v>
      </c>
      <c r="N110" t="s">
        <v>88</v>
      </c>
      <c r="O110" t="s">
        <v>89</v>
      </c>
      <c r="P110" t="s">
        <v>137</v>
      </c>
      <c r="Q110" t="s">
        <v>138</v>
      </c>
      <c r="R110" t="s">
        <v>139</v>
      </c>
      <c r="S110" t="s">
        <v>93</v>
      </c>
      <c r="T110" t="s">
        <v>140</v>
      </c>
      <c r="U110" t="s">
        <v>141</v>
      </c>
      <c r="V110" t="s">
        <v>88</v>
      </c>
      <c r="W110" t="s">
        <v>89</v>
      </c>
      <c r="X110" t="s">
        <v>142</v>
      </c>
      <c r="Y110" t="s">
        <v>143</v>
      </c>
      <c r="Z110" t="s">
        <v>144</v>
      </c>
      <c r="AA110" t="s">
        <v>93</v>
      </c>
      <c r="AB110" t="s">
        <v>145</v>
      </c>
      <c r="AC110" t="s">
        <v>146</v>
      </c>
      <c r="AF110" s="6">
        <f>Tabela4[[#This Row],[kan_params]] * 1</f>
        <v>45369</v>
      </c>
      <c r="AG110" s="5">
        <f>Tabela4[[#This Row],[kan_test_acc]] * 1</f>
        <v>0.95104897022247303</v>
      </c>
      <c r="AH110" s="5">
        <f>Tabela4[[#This Row],[mlp_test_acc]] * 1</f>
        <v>0.97902097902097895</v>
      </c>
      <c r="AI110" s="5">
        <f>Tabela4[[#This Row],[mlp2_test_acc]] * 1</f>
        <v>0.99300699300699302</v>
      </c>
    </row>
    <row r="111" spans="1:35" x14ac:dyDescent="0.25">
      <c r="A111" t="s">
        <v>28</v>
      </c>
      <c r="B111" t="s">
        <v>273</v>
      </c>
      <c r="C111" t="s">
        <v>79</v>
      </c>
      <c r="D111" t="s">
        <v>274</v>
      </c>
      <c r="E111" t="s">
        <v>80</v>
      </c>
      <c r="F111" t="s">
        <v>39</v>
      </c>
      <c r="G111" t="s">
        <v>446</v>
      </c>
      <c r="H111" t="s">
        <v>447</v>
      </c>
      <c r="I111" t="s">
        <v>448</v>
      </c>
      <c r="J111" t="s">
        <v>89</v>
      </c>
      <c r="K111" t="s">
        <v>89</v>
      </c>
      <c r="L111" t="s">
        <v>135</v>
      </c>
      <c r="M111" t="s">
        <v>449</v>
      </c>
      <c r="N111" t="s">
        <v>89</v>
      </c>
      <c r="O111" t="s">
        <v>89</v>
      </c>
      <c r="P111" t="s">
        <v>120</v>
      </c>
      <c r="Q111" t="s">
        <v>450</v>
      </c>
      <c r="R111" t="s">
        <v>410</v>
      </c>
      <c r="S111" t="s">
        <v>93</v>
      </c>
      <c r="T111" t="s">
        <v>411</v>
      </c>
      <c r="U111" t="s">
        <v>157</v>
      </c>
      <c r="V111" t="s">
        <v>89</v>
      </c>
      <c r="W111" t="s">
        <v>110</v>
      </c>
      <c r="X111" t="s">
        <v>98</v>
      </c>
      <c r="Y111" t="s">
        <v>451</v>
      </c>
      <c r="Z111" t="s">
        <v>340</v>
      </c>
      <c r="AA111" t="s">
        <v>93</v>
      </c>
      <c r="AB111" t="s">
        <v>341</v>
      </c>
      <c r="AC111" t="s">
        <v>452</v>
      </c>
      <c r="AF111" s="6">
        <f>Tabela4[[#This Row],[kan_params]] * 1</f>
        <v>32056</v>
      </c>
      <c r="AG111" s="5">
        <f>Tabela4[[#This Row],[kan_test_acc]] * 1</f>
        <v>0.95104897022247303</v>
      </c>
      <c r="AH111" s="5">
        <f>Tabela4[[#This Row],[mlp_test_acc]] * 1</f>
        <v>0.94405594405594395</v>
      </c>
      <c r="AI111" s="5">
        <f>Tabela4[[#This Row],[mlp2_test_acc]] * 1</f>
        <v>0.93706293706293697</v>
      </c>
    </row>
    <row r="112" spans="1:35" x14ac:dyDescent="0.25">
      <c r="A112" t="s">
        <v>28</v>
      </c>
      <c r="B112" t="s">
        <v>273</v>
      </c>
      <c r="C112" t="s">
        <v>79</v>
      </c>
      <c r="D112" t="s">
        <v>274</v>
      </c>
      <c r="E112" t="s">
        <v>80</v>
      </c>
      <c r="F112" t="s">
        <v>583</v>
      </c>
      <c r="G112" t="s">
        <v>584</v>
      </c>
      <c r="H112" t="s">
        <v>585</v>
      </c>
      <c r="I112" t="s">
        <v>586</v>
      </c>
      <c r="J112" t="s">
        <v>89</v>
      </c>
      <c r="K112" t="s">
        <v>89</v>
      </c>
      <c r="L112" t="s">
        <v>135</v>
      </c>
      <c r="M112" t="s">
        <v>87</v>
      </c>
      <c r="N112" t="s">
        <v>96</v>
      </c>
      <c r="O112" t="s">
        <v>89</v>
      </c>
      <c r="P112" t="s">
        <v>305</v>
      </c>
      <c r="Q112" t="s">
        <v>587</v>
      </c>
      <c r="R112" t="s">
        <v>588</v>
      </c>
      <c r="S112" t="s">
        <v>93</v>
      </c>
      <c r="T112" t="s">
        <v>589</v>
      </c>
      <c r="U112" t="s">
        <v>205</v>
      </c>
      <c r="V112" t="s">
        <v>96</v>
      </c>
      <c r="W112" t="s">
        <v>268</v>
      </c>
      <c r="X112" t="s">
        <v>98</v>
      </c>
      <c r="Y112" t="s">
        <v>590</v>
      </c>
      <c r="Z112" t="s">
        <v>526</v>
      </c>
      <c r="AA112" t="s">
        <v>93</v>
      </c>
      <c r="AB112" t="s">
        <v>527</v>
      </c>
      <c r="AC112" t="s">
        <v>591</v>
      </c>
      <c r="AF112" s="6">
        <f>Tabela4[[#This Row],[kan_params]] * 1</f>
        <v>38305</v>
      </c>
      <c r="AG112" s="5">
        <f>Tabela4[[#This Row],[kan_test_acc]] * 1</f>
        <v>0.95104897022247303</v>
      </c>
      <c r="AH112" s="5">
        <f>Tabela4[[#This Row],[mlp_test_acc]] * 1</f>
        <v>0.97202797202797198</v>
      </c>
      <c r="AI112" s="5">
        <f>Tabela4[[#This Row],[mlp2_test_acc]] * 1</f>
        <v>0.95804195804195802</v>
      </c>
    </row>
    <row r="113" spans="1:35" x14ac:dyDescent="0.25">
      <c r="A113" t="s">
        <v>28</v>
      </c>
      <c r="B113" t="s">
        <v>273</v>
      </c>
      <c r="C113" t="s">
        <v>79</v>
      </c>
      <c r="D113" t="s">
        <v>274</v>
      </c>
      <c r="E113" t="s">
        <v>80</v>
      </c>
      <c r="F113" t="s">
        <v>592</v>
      </c>
      <c r="G113" t="s">
        <v>593</v>
      </c>
      <c r="H113" t="s">
        <v>594</v>
      </c>
      <c r="I113" t="s">
        <v>595</v>
      </c>
      <c r="J113" t="s">
        <v>89</v>
      </c>
      <c r="K113" t="s">
        <v>89</v>
      </c>
      <c r="L113" t="s">
        <v>135</v>
      </c>
      <c r="M113" t="s">
        <v>136</v>
      </c>
      <c r="N113" t="s">
        <v>96</v>
      </c>
      <c r="O113" t="s">
        <v>89</v>
      </c>
      <c r="P113" t="s">
        <v>263</v>
      </c>
      <c r="Q113" t="s">
        <v>596</v>
      </c>
      <c r="R113" t="s">
        <v>597</v>
      </c>
      <c r="S113" t="s">
        <v>93</v>
      </c>
      <c r="T113" t="s">
        <v>598</v>
      </c>
      <c r="U113" t="s">
        <v>87</v>
      </c>
      <c r="V113" t="s">
        <v>96</v>
      </c>
      <c r="W113" t="s">
        <v>268</v>
      </c>
      <c r="X113" t="s">
        <v>98</v>
      </c>
      <c r="Y113" t="s">
        <v>599</v>
      </c>
      <c r="Z113" t="s">
        <v>480</v>
      </c>
      <c r="AA113" t="s">
        <v>93</v>
      </c>
      <c r="AB113" t="s">
        <v>481</v>
      </c>
      <c r="AC113" t="s">
        <v>600</v>
      </c>
      <c r="AF113" s="6">
        <f>Tabela4[[#This Row],[kan_params]] * 1</f>
        <v>40910</v>
      </c>
      <c r="AG113" s="5">
        <f>Tabela4[[#This Row],[kan_test_acc]] * 1</f>
        <v>0.95104897022247303</v>
      </c>
      <c r="AH113" s="5">
        <f>Tabela4[[#This Row],[mlp_test_acc]] * 1</f>
        <v>0.97902097902097895</v>
      </c>
      <c r="AI113" s="5">
        <f>Tabela4[[#This Row],[mlp2_test_acc]] * 1</f>
        <v>0.97202797202797198</v>
      </c>
    </row>
    <row r="114" spans="1:35" x14ac:dyDescent="0.25">
      <c r="A114" t="s">
        <v>28</v>
      </c>
      <c r="B114" t="s">
        <v>273</v>
      </c>
      <c r="C114" t="s">
        <v>79</v>
      </c>
      <c r="D114" t="s">
        <v>274</v>
      </c>
      <c r="E114" t="s">
        <v>80</v>
      </c>
      <c r="F114" t="s">
        <v>608</v>
      </c>
      <c r="G114" t="s">
        <v>609</v>
      </c>
      <c r="H114" t="s">
        <v>610</v>
      </c>
      <c r="I114" t="s">
        <v>611</v>
      </c>
      <c r="J114" t="s">
        <v>89</v>
      </c>
      <c r="K114" t="s">
        <v>89</v>
      </c>
      <c r="L114" t="s">
        <v>135</v>
      </c>
      <c r="M114" t="s">
        <v>136</v>
      </c>
      <c r="N114" t="s">
        <v>88</v>
      </c>
      <c r="O114" t="s">
        <v>89</v>
      </c>
      <c r="P114" t="s">
        <v>305</v>
      </c>
      <c r="Q114" t="s">
        <v>612</v>
      </c>
      <c r="R114" t="s">
        <v>144</v>
      </c>
      <c r="S114" t="s">
        <v>93</v>
      </c>
      <c r="T114" t="s">
        <v>145</v>
      </c>
      <c r="U114" t="s">
        <v>87</v>
      </c>
      <c r="V114" t="s">
        <v>96</v>
      </c>
      <c r="W114" t="s">
        <v>243</v>
      </c>
      <c r="X114" t="s">
        <v>98</v>
      </c>
      <c r="Y114" t="s">
        <v>613</v>
      </c>
      <c r="Z114" t="s">
        <v>614</v>
      </c>
      <c r="AA114" t="s">
        <v>93</v>
      </c>
      <c r="AB114" t="s">
        <v>615</v>
      </c>
      <c r="AC114" t="s">
        <v>616</v>
      </c>
      <c r="AF114" s="6">
        <f>Tabela4[[#This Row],[kan_params]] * 1</f>
        <v>46120</v>
      </c>
      <c r="AG114" s="5">
        <f>Tabela4[[#This Row],[kan_test_acc]] * 1</f>
        <v>0.95104897022247303</v>
      </c>
      <c r="AH114" s="5">
        <f>Tabela4[[#This Row],[mlp_test_acc]] * 1</f>
        <v>0.97902097902097895</v>
      </c>
      <c r="AI114" s="5">
        <f>Tabela4[[#This Row],[mlp2_test_acc]] * 1</f>
        <v>0.97202797202797198</v>
      </c>
    </row>
    <row r="115" spans="1:35" x14ac:dyDescent="0.25">
      <c r="A115" t="s">
        <v>28</v>
      </c>
      <c r="B115" t="s">
        <v>78</v>
      </c>
      <c r="C115" t="s">
        <v>666</v>
      </c>
      <c r="D115" t="s">
        <v>274</v>
      </c>
      <c r="E115" t="s">
        <v>80</v>
      </c>
      <c r="F115" t="s">
        <v>38</v>
      </c>
      <c r="G115" t="s">
        <v>667</v>
      </c>
      <c r="H115" t="s">
        <v>668</v>
      </c>
      <c r="I115" t="s">
        <v>669</v>
      </c>
      <c r="J115" t="s">
        <v>89</v>
      </c>
      <c r="K115" t="s">
        <v>89</v>
      </c>
      <c r="L115" t="s">
        <v>135</v>
      </c>
      <c r="M115" t="s">
        <v>87</v>
      </c>
      <c r="N115" t="s">
        <v>88</v>
      </c>
      <c r="O115" t="s">
        <v>89</v>
      </c>
      <c r="P115" t="s">
        <v>670</v>
      </c>
      <c r="Q115" t="s">
        <v>671</v>
      </c>
      <c r="R115" t="s">
        <v>177</v>
      </c>
      <c r="S115" t="s">
        <v>93</v>
      </c>
      <c r="T115" t="s">
        <v>178</v>
      </c>
      <c r="U115" t="s">
        <v>239</v>
      </c>
      <c r="V115" t="s">
        <v>88</v>
      </c>
      <c r="W115" t="s">
        <v>89</v>
      </c>
      <c r="X115" t="s">
        <v>672</v>
      </c>
      <c r="Y115" t="s">
        <v>673</v>
      </c>
      <c r="Z115" t="s">
        <v>352</v>
      </c>
      <c r="AA115" t="s">
        <v>93</v>
      </c>
      <c r="AB115" t="s">
        <v>353</v>
      </c>
      <c r="AC115" t="s">
        <v>674</v>
      </c>
      <c r="AF115" s="6">
        <f>Tabela4[[#This Row],[kan_params]] * 1</f>
        <v>34271</v>
      </c>
      <c r="AG115" s="5">
        <f>Tabela4[[#This Row],[kan_test_acc]] * 1</f>
        <v>0.95104897022247303</v>
      </c>
      <c r="AH115" s="5">
        <f>Tabela4[[#This Row],[mlp_test_acc]] * 1</f>
        <v>0.97202797202797198</v>
      </c>
      <c r="AI115" s="5">
        <f>Tabela4[[#This Row],[mlp2_test_acc]] * 1</f>
        <v>0.98601398601398604</v>
      </c>
    </row>
    <row r="116" spans="1:35" x14ac:dyDescent="0.25">
      <c r="A116" t="s">
        <v>28</v>
      </c>
      <c r="B116" t="s">
        <v>78</v>
      </c>
      <c r="C116" t="s">
        <v>666</v>
      </c>
      <c r="D116" t="s">
        <v>274</v>
      </c>
      <c r="E116" t="s">
        <v>80</v>
      </c>
      <c r="F116" t="s">
        <v>521</v>
      </c>
      <c r="G116" t="s">
        <v>743</v>
      </c>
      <c r="H116" t="s">
        <v>744</v>
      </c>
      <c r="I116" t="s">
        <v>745</v>
      </c>
      <c r="J116" t="s">
        <v>89</v>
      </c>
      <c r="K116" t="s">
        <v>85</v>
      </c>
      <c r="L116" t="s">
        <v>135</v>
      </c>
      <c r="M116" t="s">
        <v>95</v>
      </c>
      <c r="N116" t="s">
        <v>88</v>
      </c>
      <c r="O116" t="s">
        <v>89</v>
      </c>
      <c r="P116" t="s">
        <v>305</v>
      </c>
      <c r="Q116" t="s">
        <v>746</v>
      </c>
      <c r="R116" t="s">
        <v>710</v>
      </c>
      <c r="S116" t="s">
        <v>93</v>
      </c>
      <c r="T116" t="s">
        <v>711</v>
      </c>
      <c r="U116" t="s">
        <v>87</v>
      </c>
      <c r="V116" t="s">
        <v>88</v>
      </c>
      <c r="W116" t="s">
        <v>110</v>
      </c>
      <c r="X116" t="s">
        <v>98</v>
      </c>
      <c r="Y116" t="s">
        <v>747</v>
      </c>
      <c r="Z116" t="s">
        <v>139</v>
      </c>
      <c r="AA116" t="s">
        <v>93</v>
      </c>
      <c r="AB116" t="s">
        <v>140</v>
      </c>
      <c r="AC116" t="s">
        <v>748</v>
      </c>
      <c r="AF116" s="6">
        <f>Tabela4[[#This Row],[kan_params]] * 1</f>
        <v>44788</v>
      </c>
      <c r="AG116" s="5">
        <f>Tabela4[[#This Row],[kan_test_acc]] * 1</f>
        <v>0.95104897022247303</v>
      </c>
      <c r="AH116" s="5">
        <f>Tabela4[[#This Row],[mlp_test_acc]] * 1</f>
        <v>0.965034965034965</v>
      </c>
      <c r="AI116" s="5">
        <f>Tabela4[[#This Row],[mlp2_test_acc]] * 1</f>
        <v>0.97202797202797198</v>
      </c>
    </row>
    <row r="117" spans="1:35" x14ac:dyDescent="0.25">
      <c r="A117" t="s">
        <v>28</v>
      </c>
      <c r="B117" t="s">
        <v>78</v>
      </c>
      <c r="C117" t="s">
        <v>666</v>
      </c>
      <c r="D117" t="s">
        <v>274</v>
      </c>
      <c r="E117" t="s">
        <v>80</v>
      </c>
      <c r="F117" t="s">
        <v>583</v>
      </c>
      <c r="G117" t="s">
        <v>785</v>
      </c>
      <c r="H117" t="s">
        <v>786</v>
      </c>
      <c r="I117" t="s">
        <v>787</v>
      </c>
      <c r="J117" t="s">
        <v>89</v>
      </c>
      <c r="K117" t="s">
        <v>85</v>
      </c>
      <c r="L117" t="s">
        <v>135</v>
      </c>
      <c r="M117" t="s">
        <v>205</v>
      </c>
      <c r="N117" t="s">
        <v>267</v>
      </c>
      <c r="O117" t="s">
        <v>89</v>
      </c>
      <c r="P117" t="s">
        <v>510</v>
      </c>
      <c r="Q117" t="s">
        <v>788</v>
      </c>
      <c r="R117" t="s">
        <v>546</v>
      </c>
      <c r="S117" t="s">
        <v>93</v>
      </c>
      <c r="T117" t="s">
        <v>547</v>
      </c>
      <c r="U117" t="s">
        <v>205</v>
      </c>
      <c r="V117" t="s">
        <v>267</v>
      </c>
      <c r="W117" t="s">
        <v>89</v>
      </c>
      <c r="X117" t="s">
        <v>98</v>
      </c>
      <c r="Y117" t="s">
        <v>789</v>
      </c>
      <c r="Z117" t="s">
        <v>710</v>
      </c>
      <c r="AA117" t="s">
        <v>93</v>
      </c>
      <c r="AB117" t="s">
        <v>711</v>
      </c>
      <c r="AC117" t="s">
        <v>790</v>
      </c>
      <c r="AF117" s="6">
        <f>Tabela4[[#This Row],[kan_params]] * 1</f>
        <v>44185</v>
      </c>
      <c r="AG117" s="5">
        <f>Tabela4[[#This Row],[kan_test_acc]] * 1</f>
        <v>0.95104897022247303</v>
      </c>
      <c r="AH117" s="5">
        <f>Tabela4[[#This Row],[mlp_test_acc]] * 1</f>
        <v>0.95804195804195802</v>
      </c>
      <c r="AI117" s="5">
        <f>Tabela4[[#This Row],[mlp2_test_acc]] * 1</f>
        <v>0.95804195804195802</v>
      </c>
    </row>
    <row r="118" spans="1:35" x14ac:dyDescent="0.25">
      <c r="A118" t="s">
        <v>28</v>
      </c>
      <c r="B118" t="s">
        <v>78</v>
      </c>
      <c r="C118" t="s">
        <v>666</v>
      </c>
      <c r="D118" t="s">
        <v>274</v>
      </c>
      <c r="E118" t="s">
        <v>80</v>
      </c>
      <c r="F118" t="s">
        <v>608</v>
      </c>
      <c r="G118" t="s">
        <v>805</v>
      </c>
      <c r="H118" t="s">
        <v>806</v>
      </c>
      <c r="I118" t="s">
        <v>469</v>
      </c>
      <c r="J118" t="s">
        <v>89</v>
      </c>
      <c r="K118" t="s">
        <v>85</v>
      </c>
      <c r="L118" t="s">
        <v>135</v>
      </c>
      <c r="M118" t="s">
        <v>205</v>
      </c>
      <c r="N118" t="s">
        <v>267</v>
      </c>
      <c r="O118" t="s">
        <v>89</v>
      </c>
      <c r="P118" t="s">
        <v>510</v>
      </c>
      <c r="Q118" t="s">
        <v>807</v>
      </c>
      <c r="R118" t="s">
        <v>808</v>
      </c>
      <c r="S118" t="s">
        <v>93</v>
      </c>
      <c r="T118" t="s">
        <v>809</v>
      </c>
      <c r="U118" t="s">
        <v>119</v>
      </c>
      <c r="V118" t="s">
        <v>96</v>
      </c>
      <c r="W118" t="s">
        <v>89</v>
      </c>
      <c r="X118" t="s">
        <v>98</v>
      </c>
      <c r="Y118" t="s">
        <v>810</v>
      </c>
      <c r="Z118" t="s">
        <v>811</v>
      </c>
      <c r="AA118" t="s">
        <v>93</v>
      </c>
      <c r="AB118" t="s">
        <v>812</v>
      </c>
      <c r="AC118" t="s">
        <v>813</v>
      </c>
      <c r="AF118" s="6">
        <f>Tabela4[[#This Row],[kan_params]] * 1</f>
        <v>53200</v>
      </c>
      <c r="AG118" s="5">
        <f>Tabela4[[#This Row],[kan_test_acc]] * 1</f>
        <v>0.95104897022247303</v>
      </c>
      <c r="AH118" s="5">
        <f>Tabela4[[#This Row],[mlp_test_acc]] * 1</f>
        <v>0.95804195804195802</v>
      </c>
      <c r="AI118" s="5">
        <f>Tabela4[[#This Row],[mlp2_test_acc]] * 1</f>
        <v>0.95104895104895104</v>
      </c>
    </row>
    <row r="119" spans="1:35" x14ac:dyDescent="0.25">
      <c r="A119" t="s">
        <v>28</v>
      </c>
      <c r="B119" t="s">
        <v>959</v>
      </c>
      <c r="C119" t="s">
        <v>1026</v>
      </c>
      <c r="D119" t="s">
        <v>79</v>
      </c>
      <c r="E119" t="s">
        <v>80</v>
      </c>
      <c r="F119" t="s">
        <v>43</v>
      </c>
      <c r="G119" t="s">
        <v>1035</v>
      </c>
      <c r="H119" t="s">
        <v>1036</v>
      </c>
      <c r="I119" t="s">
        <v>702</v>
      </c>
      <c r="J119" t="s">
        <v>89</v>
      </c>
      <c r="K119" t="s">
        <v>198</v>
      </c>
      <c r="L119" t="s">
        <v>135</v>
      </c>
      <c r="M119" t="s">
        <v>87</v>
      </c>
      <c r="N119" t="s">
        <v>89</v>
      </c>
      <c r="O119" t="s">
        <v>89</v>
      </c>
      <c r="P119" t="s">
        <v>1037</v>
      </c>
      <c r="Q119" t="s">
        <v>1038</v>
      </c>
      <c r="R119" t="s">
        <v>546</v>
      </c>
      <c r="S119" t="s">
        <v>93</v>
      </c>
      <c r="T119" t="s">
        <v>547</v>
      </c>
      <c r="U119" t="s">
        <v>239</v>
      </c>
      <c r="V119" t="s">
        <v>89</v>
      </c>
      <c r="W119" t="s">
        <v>89</v>
      </c>
      <c r="X119" t="s">
        <v>1039</v>
      </c>
      <c r="Y119" t="s">
        <v>1040</v>
      </c>
      <c r="Z119" t="s">
        <v>710</v>
      </c>
      <c r="AA119" t="s">
        <v>93</v>
      </c>
      <c r="AB119" t="s">
        <v>711</v>
      </c>
      <c r="AC119" t="s">
        <v>1041</v>
      </c>
      <c r="AF119" s="6">
        <f>Tabela4[[#This Row],[kan_params]] * 1</f>
        <v>44507</v>
      </c>
      <c r="AG119" s="5">
        <f>Tabela4[[#This Row],[kan_test_acc]] * 1</f>
        <v>0.95104897022247303</v>
      </c>
      <c r="AH119" s="5">
        <f>Tabela4[[#This Row],[mlp_test_acc]] * 1</f>
        <v>0.97202797202797198</v>
      </c>
      <c r="AI119" s="5">
        <f>Tabela4[[#This Row],[mlp2_test_acc]] * 1</f>
        <v>0.98601398601398604</v>
      </c>
    </row>
    <row r="120" spans="1:35" x14ac:dyDescent="0.25">
      <c r="A120" t="s">
        <v>28</v>
      </c>
      <c r="B120" t="s">
        <v>959</v>
      </c>
      <c r="C120" t="s">
        <v>1026</v>
      </c>
      <c r="D120" t="s">
        <v>79</v>
      </c>
      <c r="E120" t="s">
        <v>80</v>
      </c>
      <c r="F120" t="s">
        <v>414</v>
      </c>
      <c r="G120" t="s">
        <v>1098</v>
      </c>
      <c r="H120" t="s">
        <v>1099</v>
      </c>
      <c r="I120" t="s">
        <v>187</v>
      </c>
      <c r="J120" t="s">
        <v>89</v>
      </c>
      <c r="K120" t="s">
        <v>198</v>
      </c>
      <c r="L120" t="s">
        <v>135</v>
      </c>
      <c r="M120" t="s">
        <v>119</v>
      </c>
      <c r="N120" t="s">
        <v>96</v>
      </c>
      <c r="O120" t="s">
        <v>89</v>
      </c>
      <c r="P120" t="s">
        <v>510</v>
      </c>
      <c r="Q120" t="s">
        <v>1100</v>
      </c>
      <c r="R120" t="s">
        <v>1064</v>
      </c>
      <c r="S120" t="s">
        <v>93</v>
      </c>
      <c r="T120" t="s">
        <v>1065</v>
      </c>
      <c r="U120" t="s">
        <v>119</v>
      </c>
      <c r="V120" t="s">
        <v>267</v>
      </c>
      <c r="W120" t="s">
        <v>89</v>
      </c>
      <c r="X120" t="s">
        <v>98</v>
      </c>
      <c r="Y120" t="s">
        <v>1101</v>
      </c>
      <c r="Z120" t="s">
        <v>1067</v>
      </c>
      <c r="AA120" t="s">
        <v>93</v>
      </c>
      <c r="AB120" t="s">
        <v>1068</v>
      </c>
      <c r="AC120" t="s">
        <v>1102</v>
      </c>
      <c r="AF120" s="6">
        <f>Tabela4[[#This Row],[kan_params]] * 1</f>
        <v>58604</v>
      </c>
      <c r="AG120" s="5">
        <f>Tabela4[[#This Row],[kan_test_acc]] * 1</f>
        <v>0.95104897022247303</v>
      </c>
      <c r="AH120" s="5">
        <f>Tabela4[[#This Row],[mlp_test_acc]] * 1</f>
        <v>0.95104895104895104</v>
      </c>
      <c r="AI120" s="5">
        <f>Tabela4[[#This Row],[mlp2_test_acc]] * 1</f>
        <v>0.95104895104895104</v>
      </c>
    </row>
    <row r="121" spans="1:35" x14ac:dyDescent="0.25">
      <c r="A121" t="s">
        <v>28</v>
      </c>
      <c r="B121" t="s">
        <v>78</v>
      </c>
      <c r="C121" t="s">
        <v>79</v>
      </c>
      <c r="D121" t="s">
        <v>79</v>
      </c>
      <c r="E121" t="s">
        <v>80</v>
      </c>
      <c r="F121" t="s">
        <v>165</v>
      </c>
      <c r="G121" t="s">
        <v>166</v>
      </c>
      <c r="H121" t="s">
        <v>167</v>
      </c>
      <c r="I121" t="s">
        <v>168</v>
      </c>
      <c r="J121" t="s">
        <v>169</v>
      </c>
      <c r="K121" t="s">
        <v>89</v>
      </c>
      <c r="L121" t="s">
        <v>170</v>
      </c>
      <c r="M121" t="s">
        <v>141</v>
      </c>
      <c r="N121" t="s">
        <v>89</v>
      </c>
      <c r="O121" t="s">
        <v>89</v>
      </c>
      <c r="P121" t="s">
        <v>171</v>
      </c>
      <c r="Q121" t="s">
        <v>172</v>
      </c>
      <c r="R121" t="s">
        <v>173</v>
      </c>
      <c r="S121" t="s">
        <v>93</v>
      </c>
      <c r="T121" t="s">
        <v>174</v>
      </c>
      <c r="U121" t="s">
        <v>89</v>
      </c>
      <c r="V121" t="s">
        <v>89</v>
      </c>
      <c r="W121" t="s">
        <v>89</v>
      </c>
      <c r="X121" t="s">
        <v>175</v>
      </c>
      <c r="Y121" t="s">
        <v>176</v>
      </c>
      <c r="Z121" t="s">
        <v>177</v>
      </c>
      <c r="AA121" t="s">
        <v>93</v>
      </c>
      <c r="AB121" t="s">
        <v>178</v>
      </c>
      <c r="AC121" t="s">
        <v>179</v>
      </c>
      <c r="AF121" s="6">
        <f>Tabela4[[#This Row],[kan_params]] * 1</f>
        <v>33666</v>
      </c>
      <c r="AG121" s="5">
        <f>Tabela4[[#This Row],[kan_test_acc]] * 1</f>
        <v>0.94405591487884499</v>
      </c>
      <c r="AH121" s="5">
        <f>Tabela4[[#This Row],[mlp_test_acc]] * 1</f>
        <v>0.99300699300699302</v>
      </c>
      <c r="AI121" s="5">
        <f>Tabela4[[#This Row],[mlp2_test_acc]] * 1</f>
        <v>1</v>
      </c>
    </row>
    <row r="122" spans="1:35" x14ac:dyDescent="0.25">
      <c r="A122" t="s">
        <v>28</v>
      </c>
      <c r="B122" t="s">
        <v>78</v>
      </c>
      <c r="C122" t="s">
        <v>79</v>
      </c>
      <c r="D122" t="s">
        <v>79</v>
      </c>
      <c r="E122" t="s">
        <v>80</v>
      </c>
      <c r="F122" t="s">
        <v>32</v>
      </c>
      <c r="G122" t="s">
        <v>211</v>
      </c>
      <c r="H122" t="s">
        <v>212</v>
      </c>
      <c r="I122" t="s">
        <v>213</v>
      </c>
      <c r="J122" t="s">
        <v>89</v>
      </c>
      <c r="K122" t="s">
        <v>89</v>
      </c>
      <c r="L122" t="s">
        <v>170</v>
      </c>
      <c r="M122" t="s">
        <v>119</v>
      </c>
      <c r="N122" t="s">
        <v>89</v>
      </c>
      <c r="O122" t="s">
        <v>89</v>
      </c>
      <c r="P122" t="s">
        <v>120</v>
      </c>
      <c r="Q122" t="s">
        <v>214</v>
      </c>
      <c r="R122" t="s">
        <v>215</v>
      </c>
      <c r="S122" t="s">
        <v>93</v>
      </c>
      <c r="T122" t="s">
        <v>216</v>
      </c>
      <c r="U122" t="s">
        <v>95</v>
      </c>
      <c r="V122" t="s">
        <v>89</v>
      </c>
      <c r="W122" t="s">
        <v>217</v>
      </c>
      <c r="X122" t="s">
        <v>218</v>
      </c>
      <c r="Y122" t="s">
        <v>219</v>
      </c>
      <c r="Z122" t="s">
        <v>220</v>
      </c>
      <c r="AA122" t="s">
        <v>93</v>
      </c>
      <c r="AB122" t="s">
        <v>221</v>
      </c>
      <c r="AC122" t="s">
        <v>222</v>
      </c>
      <c r="AF122" s="6">
        <f>Tabela4[[#This Row],[kan_params]] * 1</f>
        <v>18983</v>
      </c>
      <c r="AG122" s="5">
        <f>Tabela4[[#This Row],[kan_test_acc]] * 1</f>
        <v>0.94405591487884499</v>
      </c>
      <c r="AH122" s="5">
        <f>Tabela4[[#This Row],[mlp_test_acc]] * 1</f>
        <v>0.95104895104895104</v>
      </c>
      <c r="AI122" s="5">
        <f>Tabela4[[#This Row],[mlp2_test_acc]] * 1</f>
        <v>0.965034965034965</v>
      </c>
    </row>
    <row r="123" spans="1:35" x14ac:dyDescent="0.25">
      <c r="A123" t="s">
        <v>28</v>
      </c>
      <c r="B123" t="s">
        <v>273</v>
      </c>
      <c r="C123" t="s">
        <v>79</v>
      </c>
      <c r="D123" t="s">
        <v>274</v>
      </c>
      <c r="E123" t="s">
        <v>80</v>
      </c>
      <c r="F123" t="s">
        <v>29</v>
      </c>
      <c r="G123" t="s">
        <v>275</v>
      </c>
      <c r="H123" t="s">
        <v>276</v>
      </c>
      <c r="I123" t="s">
        <v>277</v>
      </c>
      <c r="J123" t="s">
        <v>89</v>
      </c>
      <c r="K123" t="s">
        <v>89</v>
      </c>
      <c r="L123" t="s">
        <v>170</v>
      </c>
      <c r="M123" t="s">
        <v>239</v>
      </c>
      <c r="N123" t="s">
        <v>89</v>
      </c>
      <c r="O123" t="s">
        <v>89</v>
      </c>
      <c r="P123" t="s">
        <v>278</v>
      </c>
      <c r="Q123" t="s">
        <v>279</v>
      </c>
      <c r="R123" t="s">
        <v>280</v>
      </c>
      <c r="S123" t="s">
        <v>93</v>
      </c>
      <c r="T123" t="s">
        <v>281</v>
      </c>
      <c r="U123" t="s">
        <v>87</v>
      </c>
      <c r="V123" t="s">
        <v>88</v>
      </c>
      <c r="W123" t="s">
        <v>89</v>
      </c>
      <c r="X123" t="s">
        <v>282</v>
      </c>
      <c r="Y123" t="s">
        <v>283</v>
      </c>
      <c r="Z123" t="s">
        <v>284</v>
      </c>
      <c r="AA123" t="s">
        <v>93</v>
      </c>
      <c r="AB123" t="s">
        <v>285</v>
      </c>
      <c r="AC123" t="s">
        <v>286</v>
      </c>
      <c r="AF123" s="6">
        <f>Tabela4[[#This Row],[kan_params]] * 1</f>
        <v>9176</v>
      </c>
      <c r="AG123" s="5">
        <f>Tabela4[[#This Row],[kan_test_acc]] * 1</f>
        <v>0.94405591487884499</v>
      </c>
      <c r="AH123" s="5">
        <f>Tabela4[[#This Row],[mlp_test_acc]] * 1</f>
        <v>0.98601398601398604</v>
      </c>
      <c r="AI123" s="5">
        <f>Tabela4[[#This Row],[mlp2_test_acc]] * 1</f>
        <v>0.97202797202797198</v>
      </c>
    </row>
    <row r="124" spans="1:35" x14ac:dyDescent="0.25">
      <c r="A124" t="s">
        <v>28</v>
      </c>
      <c r="B124" t="s">
        <v>273</v>
      </c>
      <c r="C124" t="s">
        <v>79</v>
      </c>
      <c r="D124" t="s">
        <v>274</v>
      </c>
      <c r="E124" t="s">
        <v>80</v>
      </c>
      <c r="F124" t="s">
        <v>41</v>
      </c>
      <c r="G124" t="s">
        <v>459</v>
      </c>
      <c r="H124" t="s">
        <v>460</v>
      </c>
      <c r="I124" t="s">
        <v>461</v>
      </c>
      <c r="J124" t="s">
        <v>89</v>
      </c>
      <c r="K124" t="s">
        <v>89</v>
      </c>
      <c r="L124" t="s">
        <v>170</v>
      </c>
      <c r="M124" t="s">
        <v>119</v>
      </c>
      <c r="N124" t="s">
        <v>88</v>
      </c>
      <c r="O124" t="s">
        <v>89</v>
      </c>
      <c r="P124" t="s">
        <v>120</v>
      </c>
      <c r="Q124" t="s">
        <v>462</v>
      </c>
      <c r="R124" t="s">
        <v>191</v>
      </c>
      <c r="S124" t="s">
        <v>93</v>
      </c>
      <c r="T124" t="s">
        <v>192</v>
      </c>
      <c r="U124" t="s">
        <v>119</v>
      </c>
      <c r="V124" t="s">
        <v>88</v>
      </c>
      <c r="W124" t="s">
        <v>268</v>
      </c>
      <c r="X124" t="s">
        <v>98</v>
      </c>
      <c r="Y124" t="s">
        <v>463</v>
      </c>
      <c r="Z124" t="s">
        <v>365</v>
      </c>
      <c r="AA124" t="s">
        <v>93</v>
      </c>
      <c r="AB124" t="s">
        <v>366</v>
      </c>
      <c r="AC124" t="s">
        <v>464</v>
      </c>
      <c r="AF124" s="6">
        <f>Tabela4[[#This Row],[kan_params]] * 1</f>
        <v>36746</v>
      </c>
      <c r="AG124" s="5">
        <f>Tabela4[[#This Row],[kan_test_acc]] * 1</f>
        <v>0.94405591487884499</v>
      </c>
      <c r="AH124" s="5">
        <f>Tabela4[[#This Row],[mlp_test_acc]] * 1</f>
        <v>0.95104895104895104</v>
      </c>
      <c r="AI124" s="5">
        <f>Tabela4[[#This Row],[mlp2_test_acc]] * 1</f>
        <v>0.95104895104895104</v>
      </c>
    </row>
    <row r="125" spans="1:35" x14ac:dyDescent="0.25">
      <c r="A125" t="s">
        <v>28</v>
      </c>
      <c r="B125" t="s">
        <v>273</v>
      </c>
      <c r="C125" t="s">
        <v>79</v>
      </c>
      <c r="D125" t="s">
        <v>274</v>
      </c>
      <c r="E125" t="s">
        <v>80</v>
      </c>
      <c r="F125" t="s">
        <v>465</v>
      </c>
      <c r="G125" t="s">
        <v>466</v>
      </c>
      <c r="H125" t="s">
        <v>467</v>
      </c>
      <c r="I125" t="s">
        <v>468</v>
      </c>
      <c r="J125" t="s">
        <v>89</v>
      </c>
      <c r="K125" t="s">
        <v>89</v>
      </c>
      <c r="L125" t="s">
        <v>170</v>
      </c>
      <c r="M125" t="s">
        <v>95</v>
      </c>
      <c r="N125" t="s">
        <v>89</v>
      </c>
      <c r="O125" t="s">
        <v>89</v>
      </c>
      <c r="P125" t="s">
        <v>469</v>
      </c>
      <c r="Q125" t="s">
        <v>470</v>
      </c>
      <c r="R125" t="s">
        <v>203</v>
      </c>
      <c r="S125" t="s">
        <v>93</v>
      </c>
      <c r="T125" t="s">
        <v>204</v>
      </c>
      <c r="U125" t="s">
        <v>449</v>
      </c>
      <c r="V125" t="s">
        <v>89</v>
      </c>
      <c r="W125" t="s">
        <v>89</v>
      </c>
      <c r="X125" t="s">
        <v>98</v>
      </c>
      <c r="Y125" t="s">
        <v>471</v>
      </c>
      <c r="Z125" t="s">
        <v>208</v>
      </c>
      <c r="AA125" t="s">
        <v>93</v>
      </c>
      <c r="AB125" t="s">
        <v>209</v>
      </c>
      <c r="AC125" t="s">
        <v>472</v>
      </c>
      <c r="AF125" s="6">
        <f>Tabela4[[#This Row],[kan_params]] * 1</f>
        <v>39091</v>
      </c>
      <c r="AG125" s="5">
        <f>Tabela4[[#This Row],[kan_test_acc]] * 1</f>
        <v>0.94405591487884499</v>
      </c>
      <c r="AH125" s="5">
        <f>Tabela4[[#This Row],[mlp_test_acc]] * 1</f>
        <v>0.965034965034965</v>
      </c>
      <c r="AI125" s="5">
        <f>Tabela4[[#This Row],[mlp2_test_acc]] * 1</f>
        <v>0.94405594405594395</v>
      </c>
    </row>
    <row r="126" spans="1:35" x14ac:dyDescent="0.25">
      <c r="A126" t="s">
        <v>28</v>
      </c>
      <c r="B126" t="s">
        <v>273</v>
      </c>
      <c r="C126" t="s">
        <v>79</v>
      </c>
      <c r="D126" t="s">
        <v>274</v>
      </c>
      <c r="E126" t="s">
        <v>80</v>
      </c>
      <c r="F126" t="s">
        <v>32</v>
      </c>
      <c r="G126" t="s">
        <v>549</v>
      </c>
      <c r="H126" t="s">
        <v>550</v>
      </c>
      <c r="I126" t="s">
        <v>278</v>
      </c>
      <c r="J126" t="s">
        <v>89</v>
      </c>
      <c r="K126" t="s">
        <v>89</v>
      </c>
      <c r="L126" t="s">
        <v>170</v>
      </c>
      <c r="M126" t="s">
        <v>157</v>
      </c>
      <c r="N126" t="s">
        <v>89</v>
      </c>
      <c r="O126" t="s">
        <v>89</v>
      </c>
      <c r="P126" t="s">
        <v>551</v>
      </c>
      <c r="Q126" t="s">
        <v>552</v>
      </c>
      <c r="R126" t="s">
        <v>553</v>
      </c>
      <c r="S126" t="s">
        <v>93</v>
      </c>
      <c r="T126" t="s">
        <v>554</v>
      </c>
      <c r="U126" t="s">
        <v>119</v>
      </c>
      <c r="V126" t="s">
        <v>89</v>
      </c>
      <c r="W126" t="s">
        <v>89</v>
      </c>
      <c r="X126" t="s">
        <v>555</v>
      </c>
      <c r="Y126" t="s">
        <v>556</v>
      </c>
      <c r="Z126" t="s">
        <v>557</v>
      </c>
      <c r="AA126" t="s">
        <v>93</v>
      </c>
      <c r="AB126" t="s">
        <v>558</v>
      </c>
      <c r="AC126" t="s">
        <v>559</v>
      </c>
      <c r="AF126" s="6">
        <f>Tabela4[[#This Row],[kan_params]] * 1</f>
        <v>15431</v>
      </c>
      <c r="AG126" s="5">
        <f>Tabela4[[#This Row],[kan_test_acc]] * 1</f>
        <v>0.94405591487884499</v>
      </c>
      <c r="AH126" s="5">
        <f>Tabela4[[#This Row],[mlp_test_acc]] * 1</f>
        <v>0.93706293706293697</v>
      </c>
      <c r="AI126" s="5">
        <f>Tabela4[[#This Row],[mlp2_test_acc]] * 1</f>
        <v>0.95104895104895104</v>
      </c>
    </row>
    <row r="127" spans="1:35" x14ac:dyDescent="0.25">
      <c r="A127" t="s">
        <v>28</v>
      </c>
      <c r="B127" t="s">
        <v>959</v>
      </c>
      <c r="C127" t="s">
        <v>1026</v>
      </c>
      <c r="D127" t="s">
        <v>79</v>
      </c>
      <c r="E127" t="s">
        <v>80</v>
      </c>
      <c r="F127" t="s">
        <v>129</v>
      </c>
      <c r="G127" t="s">
        <v>1103</v>
      </c>
      <c r="H127" t="s">
        <v>1104</v>
      </c>
      <c r="I127" t="s">
        <v>366</v>
      </c>
      <c r="J127" t="s">
        <v>89</v>
      </c>
      <c r="K127" t="s">
        <v>134</v>
      </c>
      <c r="L127" t="s">
        <v>170</v>
      </c>
      <c r="M127" t="s">
        <v>205</v>
      </c>
      <c r="N127" t="s">
        <v>267</v>
      </c>
      <c r="O127" t="s">
        <v>89</v>
      </c>
      <c r="P127" t="s">
        <v>510</v>
      </c>
      <c r="Q127" t="s">
        <v>1105</v>
      </c>
      <c r="R127" t="s">
        <v>967</v>
      </c>
      <c r="S127" t="s">
        <v>93</v>
      </c>
      <c r="T127" t="s">
        <v>968</v>
      </c>
      <c r="U127" t="s">
        <v>119</v>
      </c>
      <c r="V127" t="s">
        <v>96</v>
      </c>
      <c r="W127" t="s">
        <v>89</v>
      </c>
      <c r="X127" t="s">
        <v>98</v>
      </c>
      <c r="Y127" t="s">
        <v>1106</v>
      </c>
      <c r="Z127" t="s">
        <v>971</v>
      </c>
      <c r="AA127" t="s">
        <v>93</v>
      </c>
      <c r="AB127" t="s">
        <v>972</v>
      </c>
      <c r="AC127" t="s">
        <v>1107</v>
      </c>
      <c r="AF127" s="6">
        <f>Tabela4[[#This Row],[kan_params]] * 1</f>
        <v>62349</v>
      </c>
      <c r="AG127" s="5">
        <f>Tabela4[[#This Row],[kan_test_acc]] * 1</f>
        <v>0.94405591487884499</v>
      </c>
      <c r="AH127" s="5">
        <f>Tabela4[[#This Row],[mlp_test_acc]] * 1</f>
        <v>0.95804195804195802</v>
      </c>
      <c r="AI127" s="5">
        <f>Tabela4[[#This Row],[mlp2_test_acc]] * 1</f>
        <v>0.95104895104895104</v>
      </c>
    </row>
    <row r="128" spans="1:35" x14ac:dyDescent="0.25">
      <c r="A128" t="s">
        <v>28</v>
      </c>
      <c r="B128" t="s">
        <v>78</v>
      </c>
      <c r="C128" t="s">
        <v>79</v>
      </c>
      <c r="D128" t="s">
        <v>79</v>
      </c>
      <c r="E128" t="s">
        <v>80</v>
      </c>
      <c r="F128" t="s">
        <v>147</v>
      </c>
      <c r="G128" t="s">
        <v>148</v>
      </c>
      <c r="H128" t="s">
        <v>149</v>
      </c>
      <c r="I128" t="s">
        <v>150</v>
      </c>
      <c r="J128" t="s">
        <v>151</v>
      </c>
      <c r="K128" t="s">
        <v>85</v>
      </c>
      <c r="L128" t="s">
        <v>152</v>
      </c>
      <c r="M128" t="s">
        <v>141</v>
      </c>
      <c r="N128" t="s">
        <v>88</v>
      </c>
      <c r="O128" t="s">
        <v>89</v>
      </c>
      <c r="P128" t="s">
        <v>153</v>
      </c>
      <c r="Q128" t="s">
        <v>154</v>
      </c>
      <c r="R128" t="s">
        <v>155</v>
      </c>
      <c r="S128" t="s">
        <v>93</v>
      </c>
      <c r="T128" t="s">
        <v>156</v>
      </c>
      <c r="U128" t="s">
        <v>157</v>
      </c>
      <c r="V128" t="s">
        <v>158</v>
      </c>
      <c r="W128" t="s">
        <v>159</v>
      </c>
      <c r="X128" t="s">
        <v>160</v>
      </c>
      <c r="Y128" t="s">
        <v>161</v>
      </c>
      <c r="Z128" t="s">
        <v>162</v>
      </c>
      <c r="AA128" t="s">
        <v>93</v>
      </c>
      <c r="AB128" t="s">
        <v>163</v>
      </c>
      <c r="AC128" t="s">
        <v>164</v>
      </c>
      <c r="AF128" s="6">
        <f>Tabela4[[#This Row],[kan_params]] * 1</f>
        <v>48094</v>
      </c>
      <c r="AG128" s="5">
        <f>Tabela4[[#This Row],[kan_test_acc]] * 1</f>
        <v>0.93706291913986195</v>
      </c>
      <c r="AH128" s="5">
        <f>Tabela4[[#This Row],[mlp_test_acc]] * 1</f>
        <v>0.99300699300699302</v>
      </c>
      <c r="AI128" s="5">
        <f>Tabela4[[#This Row],[mlp2_test_acc]] * 1</f>
        <v>0.93706293706293697</v>
      </c>
    </row>
    <row r="129" spans="1:35" x14ac:dyDescent="0.25">
      <c r="A129" t="s">
        <v>28</v>
      </c>
      <c r="B129" t="s">
        <v>78</v>
      </c>
      <c r="C129" t="s">
        <v>79</v>
      </c>
      <c r="D129" t="s">
        <v>79</v>
      </c>
      <c r="E129" t="s">
        <v>80</v>
      </c>
      <c r="F129" t="s">
        <v>33</v>
      </c>
      <c r="G129" t="s">
        <v>223</v>
      </c>
      <c r="H129" t="s">
        <v>224</v>
      </c>
      <c r="I129" t="s">
        <v>225</v>
      </c>
      <c r="J129" t="s">
        <v>89</v>
      </c>
      <c r="K129" t="s">
        <v>89</v>
      </c>
      <c r="L129" t="s">
        <v>152</v>
      </c>
      <c r="M129" t="s">
        <v>205</v>
      </c>
      <c r="N129" t="s">
        <v>89</v>
      </c>
      <c r="O129" t="s">
        <v>89</v>
      </c>
      <c r="P129" t="s">
        <v>120</v>
      </c>
      <c r="Q129" t="s">
        <v>226</v>
      </c>
      <c r="R129" t="s">
        <v>227</v>
      </c>
      <c r="S129" t="s">
        <v>93</v>
      </c>
      <c r="T129" t="s">
        <v>228</v>
      </c>
      <c r="U129" t="s">
        <v>119</v>
      </c>
      <c r="V129" t="s">
        <v>89</v>
      </c>
      <c r="W129" t="s">
        <v>229</v>
      </c>
      <c r="X129" t="s">
        <v>230</v>
      </c>
      <c r="Y129" t="s">
        <v>231</v>
      </c>
      <c r="Z129" t="s">
        <v>232</v>
      </c>
      <c r="AA129" t="s">
        <v>93</v>
      </c>
      <c r="AB129" t="s">
        <v>233</v>
      </c>
      <c r="AC129" t="s">
        <v>234</v>
      </c>
      <c r="AF129" s="6">
        <f>Tabela4[[#This Row],[kan_params]] * 1</f>
        <v>21548</v>
      </c>
      <c r="AG129" s="5">
        <f>Tabela4[[#This Row],[kan_test_acc]] * 1</f>
        <v>0.93706291913986195</v>
      </c>
      <c r="AH129" s="5">
        <f>Tabela4[[#This Row],[mlp_test_acc]] * 1</f>
        <v>0.95804195804195802</v>
      </c>
      <c r="AI129" s="5">
        <f>Tabela4[[#This Row],[mlp2_test_acc]] * 1</f>
        <v>0.95104895104895104</v>
      </c>
    </row>
    <row r="130" spans="1:35" x14ac:dyDescent="0.25">
      <c r="A130" t="s">
        <v>28</v>
      </c>
      <c r="B130" t="s">
        <v>78</v>
      </c>
      <c r="C130" t="s">
        <v>79</v>
      </c>
      <c r="D130" t="s">
        <v>79</v>
      </c>
      <c r="E130" t="s">
        <v>80</v>
      </c>
      <c r="F130" t="s">
        <v>36</v>
      </c>
      <c r="G130" t="s">
        <v>259</v>
      </c>
      <c r="H130" t="s">
        <v>260</v>
      </c>
      <c r="I130" t="s">
        <v>261</v>
      </c>
      <c r="J130" t="s">
        <v>262</v>
      </c>
      <c r="K130" t="s">
        <v>198</v>
      </c>
      <c r="L130" t="s">
        <v>152</v>
      </c>
      <c r="M130" t="s">
        <v>141</v>
      </c>
      <c r="N130" t="s">
        <v>96</v>
      </c>
      <c r="O130" t="s">
        <v>89</v>
      </c>
      <c r="P130" t="s">
        <v>263</v>
      </c>
      <c r="Q130" t="s">
        <v>264</v>
      </c>
      <c r="R130" t="s">
        <v>265</v>
      </c>
      <c r="S130" t="s">
        <v>93</v>
      </c>
      <c r="T130" t="s">
        <v>266</v>
      </c>
      <c r="U130" t="s">
        <v>87</v>
      </c>
      <c r="V130" t="s">
        <v>267</v>
      </c>
      <c r="W130" t="s">
        <v>268</v>
      </c>
      <c r="X130" t="s">
        <v>98</v>
      </c>
      <c r="Y130" t="s">
        <v>269</v>
      </c>
      <c r="Z130" t="s">
        <v>270</v>
      </c>
      <c r="AA130" t="s">
        <v>93</v>
      </c>
      <c r="AB130" t="s">
        <v>271</v>
      </c>
      <c r="AC130" t="s">
        <v>272</v>
      </c>
      <c r="AF130" s="6">
        <f>Tabela4[[#This Row],[kan_params]] * 1</f>
        <v>29243</v>
      </c>
      <c r="AG130" s="5">
        <f>Tabela4[[#This Row],[kan_test_acc]] * 1</f>
        <v>0.93706291913986195</v>
      </c>
      <c r="AH130" s="5">
        <f>Tabela4[[#This Row],[mlp_test_acc]] * 1</f>
        <v>0.99300699300699302</v>
      </c>
      <c r="AI130" s="5">
        <f>Tabela4[[#This Row],[mlp2_test_acc]] * 1</f>
        <v>0.97202797202797198</v>
      </c>
    </row>
    <row r="131" spans="1:35" x14ac:dyDescent="0.25">
      <c r="A131" t="s">
        <v>28</v>
      </c>
      <c r="B131" t="s">
        <v>273</v>
      </c>
      <c r="C131" t="s">
        <v>79</v>
      </c>
      <c r="D131" t="s">
        <v>274</v>
      </c>
      <c r="E131" t="s">
        <v>80</v>
      </c>
      <c r="F131" t="s">
        <v>495</v>
      </c>
      <c r="G131" t="s">
        <v>496</v>
      </c>
      <c r="H131" t="s">
        <v>497</v>
      </c>
      <c r="I131" t="s">
        <v>498</v>
      </c>
      <c r="J131" t="s">
        <v>89</v>
      </c>
      <c r="K131" t="s">
        <v>85</v>
      </c>
      <c r="L131" t="s">
        <v>152</v>
      </c>
      <c r="M131" t="s">
        <v>478</v>
      </c>
      <c r="N131" t="s">
        <v>482</v>
      </c>
      <c r="O131" t="s">
        <v>89</v>
      </c>
      <c r="P131" t="s">
        <v>305</v>
      </c>
      <c r="Q131" t="s">
        <v>499</v>
      </c>
      <c r="R131" t="s">
        <v>331</v>
      </c>
      <c r="S131" t="s">
        <v>93</v>
      </c>
      <c r="T131" t="s">
        <v>332</v>
      </c>
      <c r="U131" t="s">
        <v>478</v>
      </c>
      <c r="V131" t="s">
        <v>482</v>
      </c>
      <c r="W131" t="s">
        <v>268</v>
      </c>
      <c r="X131" t="s">
        <v>98</v>
      </c>
      <c r="Y131" t="s">
        <v>500</v>
      </c>
      <c r="Z131" t="s">
        <v>501</v>
      </c>
      <c r="AA131" t="s">
        <v>93</v>
      </c>
      <c r="AB131" t="s">
        <v>502</v>
      </c>
      <c r="AC131" t="s">
        <v>503</v>
      </c>
      <c r="AF131" s="6">
        <f>Tabela4[[#This Row],[kan_params]] * 1</f>
        <v>31403</v>
      </c>
      <c r="AG131" s="5">
        <f>Tabela4[[#This Row],[kan_test_acc]] * 1</f>
        <v>0.93706291913986195</v>
      </c>
      <c r="AH131" s="5">
        <f>Tabela4[[#This Row],[mlp_test_acc]] * 1</f>
        <v>0.91608391608391604</v>
      </c>
      <c r="AI131" s="5">
        <f>Tabela4[[#This Row],[mlp2_test_acc]] * 1</f>
        <v>0.91608391608391604</v>
      </c>
    </row>
    <row r="132" spans="1:35" x14ac:dyDescent="0.25">
      <c r="A132" t="s">
        <v>28</v>
      </c>
      <c r="B132" t="s">
        <v>78</v>
      </c>
      <c r="C132" t="s">
        <v>79</v>
      </c>
      <c r="D132" t="s">
        <v>79</v>
      </c>
      <c r="E132" t="s">
        <v>80</v>
      </c>
      <c r="F132" t="s">
        <v>39</v>
      </c>
      <c r="G132" t="s">
        <v>194</v>
      </c>
      <c r="H132" t="s">
        <v>195</v>
      </c>
      <c r="I132" t="s">
        <v>196</v>
      </c>
      <c r="J132" t="s">
        <v>197</v>
      </c>
      <c r="K132" t="s">
        <v>198</v>
      </c>
      <c r="L132" t="s">
        <v>199</v>
      </c>
      <c r="M132" t="s">
        <v>95</v>
      </c>
      <c r="N132" t="s">
        <v>89</v>
      </c>
      <c r="O132" t="s">
        <v>200</v>
      </c>
      <c r="P132" t="s">
        <v>201</v>
      </c>
      <c r="Q132" t="s">
        <v>202</v>
      </c>
      <c r="R132" t="s">
        <v>203</v>
      </c>
      <c r="S132" t="s">
        <v>93</v>
      </c>
      <c r="T132" t="s">
        <v>204</v>
      </c>
      <c r="U132" t="s">
        <v>205</v>
      </c>
      <c r="V132" t="s">
        <v>89</v>
      </c>
      <c r="W132" t="s">
        <v>110</v>
      </c>
      <c r="X132" t="s">
        <v>206</v>
      </c>
      <c r="Y132" t="s">
        <v>207</v>
      </c>
      <c r="Z132" t="s">
        <v>208</v>
      </c>
      <c r="AA132" t="s">
        <v>93</v>
      </c>
      <c r="AB132" t="s">
        <v>209</v>
      </c>
      <c r="AC132" t="s">
        <v>210</v>
      </c>
      <c r="AF132" s="6">
        <f>Tabela4[[#This Row],[kan_params]] * 1</f>
        <v>39436</v>
      </c>
      <c r="AG132" s="5">
        <f>Tabela4[[#This Row],[kan_test_acc]] * 1</f>
        <v>0.93006992340087802</v>
      </c>
      <c r="AH132" s="5">
        <f>Tabela4[[#This Row],[mlp_test_acc]] * 1</f>
        <v>0.965034965034965</v>
      </c>
      <c r="AI132" s="5">
        <f>Tabela4[[#This Row],[mlp2_test_acc]] * 1</f>
        <v>0.95804195804195802</v>
      </c>
    </row>
    <row r="133" spans="1:35" x14ac:dyDescent="0.25">
      <c r="A133" t="s">
        <v>28</v>
      </c>
      <c r="B133" t="s">
        <v>273</v>
      </c>
      <c r="C133" t="s">
        <v>79</v>
      </c>
      <c r="D133" t="s">
        <v>274</v>
      </c>
      <c r="E133" t="s">
        <v>80</v>
      </c>
      <c r="F133" t="s">
        <v>40</v>
      </c>
      <c r="G133" t="s">
        <v>453</v>
      </c>
      <c r="H133" t="s">
        <v>454</v>
      </c>
      <c r="I133" t="s">
        <v>455</v>
      </c>
      <c r="J133" t="s">
        <v>89</v>
      </c>
      <c r="K133" t="s">
        <v>89</v>
      </c>
      <c r="L133" t="s">
        <v>199</v>
      </c>
      <c r="M133" t="s">
        <v>157</v>
      </c>
      <c r="N133" t="s">
        <v>89</v>
      </c>
      <c r="O133" t="s">
        <v>89</v>
      </c>
      <c r="P133" t="s">
        <v>263</v>
      </c>
      <c r="Q133" t="s">
        <v>456</v>
      </c>
      <c r="R133" t="s">
        <v>177</v>
      </c>
      <c r="S133" t="s">
        <v>93</v>
      </c>
      <c r="T133" t="s">
        <v>178</v>
      </c>
      <c r="U133" t="s">
        <v>157</v>
      </c>
      <c r="V133" t="s">
        <v>89</v>
      </c>
      <c r="W133" t="s">
        <v>110</v>
      </c>
      <c r="X133" t="s">
        <v>98</v>
      </c>
      <c r="Y133" t="s">
        <v>457</v>
      </c>
      <c r="Z133" t="s">
        <v>352</v>
      </c>
      <c r="AA133" t="s">
        <v>93</v>
      </c>
      <c r="AB133" t="s">
        <v>353</v>
      </c>
      <c r="AC133" t="s">
        <v>458</v>
      </c>
      <c r="AF133" s="6">
        <f>Tabela4[[#This Row],[kan_params]] * 1</f>
        <v>34401</v>
      </c>
      <c r="AG133" s="5">
        <f>Tabela4[[#This Row],[kan_test_acc]] * 1</f>
        <v>0.93006992340087802</v>
      </c>
      <c r="AH133" s="5">
        <f>Tabela4[[#This Row],[mlp_test_acc]] * 1</f>
        <v>0.93706293706293697</v>
      </c>
      <c r="AI133" s="5">
        <f>Tabela4[[#This Row],[mlp2_test_acc]] * 1</f>
        <v>0.93706293706293697</v>
      </c>
    </row>
    <row r="134" spans="1:35" x14ac:dyDescent="0.25">
      <c r="A134" t="s">
        <v>28</v>
      </c>
      <c r="B134" t="s">
        <v>273</v>
      </c>
      <c r="C134" t="s">
        <v>79</v>
      </c>
      <c r="D134" t="s">
        <v>274</v>
      </c>
      <c r="E134" t="s">
        <v>80</v>
      </c>
      <c r="F134" t="s">
        <v>487</v>
      </c>
      <c r="G134" t="s">
        <v>488</v>
      </c>
      <c r="H134" t="s">
        <v>489</v>
      </c>
      <c r="I134" t="s">
        <v>490</v>
      </c>
      <c r="J134" t="s">
        <v>89</v>
      </c>
      <c r="K134" t="s">
        <v>134</v>
      </c>
      <c r="L134" t="s">
        <v>199</v>
      </c>
      <c r="M134" t="s">
        <v>491</v>
      </c>
      <c r="N134" t="s">
        <v>291</v>
      </c>
      <c r="O134" t="s">
        <v>89</v>
      </c>
      <c r="P134" t="s">
        <v>305</v>
      </c>
      <c r="Q134" t="s">
        <v>492</v>
      </c>
      <c r="R134" t="s">
        <v>319</v>
      </c>
      <c r="S134" t="s">
        <v>93</v>
      </c>
      <c r="T134" t="s">
        <v>320</v>
      </c>
      <c r="U134" t="s">
        <v>491</v>
      </c>
      <c r="V134" t="s">
        <v>482</v>
      </c>
      <c r="W134" t="s">
        <v>89</v>
      </c>
      <c r="X134" t="s">
        <v>98</v>
      </c>
      <c r="Y134" t="s">
        <v>493</v>
      </c>
      <c r="Z134" t="s">
        <v>265</v>
      </c>
      <c r="AA134" t="s">
        <v>93</v>
      </c>
      <c r="AB134" t="s">
        <v>266</v>
      </c>
      <c r="AC134" t="s">
        <v>494</v>
      </c>
      <c r="AF134" s="6">
        <f>Tabela4[[#This Row],[kan_params]] * 1</f>
        <v>28928</v>
      </c>
      <c r="AG134" s="5">
        <f>Tabela4[[#This Row],[kan_test_acc]] * 1</f>
        <v>0.93006992340087802</v>
      </c>
      <c r="AH134" s="5">
        <f>Tabela4[[#This Row],[mlp_test_acc]] * 1</f>
        <v>0.90909090909090895</v>
      </c>
      <c r="AI134" s="5">
        <f>Tabela4[[#This Row],[mlp2_test_acc]] * 1</f>
        <v>0.90909090909090895</v>
      </c>
    </row>
    <row r="135" spans="1:35" x14ac:dyDescent="0.25">
      <c r="A135" t="s">
        <v>28</v>
      </c>
      <c r="B135" t="s">
        <v>273</v>
      </c>
      <c r="C135" t="s">
        <v>79</v>
      </c>
      <c r="D135" t="s">
        <v>274</v>
      </c>
      <c r="E135" t="s">
        <v>80</v>
      </c>
      <c r="F135" t="s">
        <v>521</v>
      </c>
      <c r="G135" t="s">
        <v>522</v>
      </c>
      <c r="H135" t="s">
        <v>523</v>
      </c>
      <c r="I135" t="s">
        <v>524</v>
      </c>
      <c r="J135" t="s">
        <v>89</v>
      </c>
      <c r="K135" t="s">
        <v>198</v>
      </c>
      <c r="L135" t="s">
        <v>199</v>
      </c>
      <c r="M135" t="s">
        <v>509</v>
      </c>
      <c r="N135" t="s">
        <v>291</v>
      </c>
      <c r="O135" t="s">
        <v>89</v>
      </c>
      <c r="P135" t="s">
        <v>510</v>
      </c>
      <c r="Q135" t="s">
        <v>525</v>
      </c>
      <c r="R135" t="s">
        <v>526</v>
      </c>
      <c r="S135" t="s">
        <v>93</v>
      </c>
      <c r="T135" t="s">
        <v>527</v>
      </c>
      <c r="U135" t="s">
        <v>478</v>
      </c>
      <c r="V135" t="s">
        <v>482</v>
      </c>
      <c r="W135" t="s">
        <v>268</v>
      </c>
      <c r="X135" t="s">
        <v>98</v>
      </c>
      <c r="Y135" t="s">
        <v>528</v>
      </c>
      <c r="Z135" t="s">
        <v>203</v>
      </c>
      <c r="AA135" t="s">
        <v>93</v>
      </c>
      <c r="AB135" t="s">
        <v>204</v>
      </c>
      <c r="AC135" t="s">
        <v>529</v>
      </c>
      <c r="AF135" s="6">
        <f>Tabela4[[#This Row],[kan_params]] * 1</f>
        <v>38828</v>
      </c>
      <c r="AG135" s="5">
        <f>Tabela4[[#This Row],[kan_test_acc]] * 1</f>
        <v>0.93006992340087802</v>
      </c>
      <c r="AH135" s="5">
        <f>Tabela4[[#This Row],[mlp_test_acc]] * 1</f>
        <v>0.92307692307692302</v>
      </c>
      <c r="AI135" s="5">
        <f>Tabela4[[#This Row],[mlp2_test_acc]] * 1</f>
        <v>0.91608391608391604</v>
      </c>
    </row>
    <row r="136" spans="1:35" x14ac:dyDescent="0.25">
      <c r="A136" t="s">
        <v>28</v>
      </c>
      <c r="B136" t="s">
        <v>273</v>
      </c>
      <c r="C136" t="s">
        <v>79</v>
      </c>
      <c r="D136" t="s">
        <v>274</v>
      </c>
      <c r="E136" t="s">
        <v>80</v>
      </c>
      <c r="F136" t="s">
        <v>504</v>
      </c>
      <c r="G136" t="s">
        <v>505</v>
      </c>
      <c r="H136" t="s">
        <v>506</v>
      </c>
      <c r="I136" t="s">
        <v>507</v>
      </c>
      <c r="J136" t="s">
        <v>89</v>
      </c>
      <c r="K136" t="s">
        <v>134</v>
      </c>
      <c r="L136" t="s">
        <v>508</v>
      </c>
      <c r="M136" t="s">
        <v>509</v>
      </c>
      <c r="N136" t="s">
        <v>482</v>
      </c>
      <c r="O136" t="s">
        <v>89</v>
      </c>
      <c r="P136" t="s">
        <v>510</v>
      </c>
      <c r="Q136" t="s">
        <v>511</v>
      </c>
      <c r="R136" t="s">
        <v>173</v>
      </c>
      <c r="S136" t="s">
        <v>93</v>
      </c>
      <c r="T136" t="s">
        <v>174</v>
      </c>
      <c r="U136" t="s">
        <v>491</v>
      </c>
      <c r="V136" t="s">
        <v>482</v>
      </c>
      <c r="W136" t="s">
        <v>268</v>
      </c>
      <c r="X136" t="s">
        <v>98</v>
      </c>
      <c r="Y136" t="s">
        <v>512</v>
      </c>
      <c r="Z136" t="s">
        <v>177</v>
      </c>
      <c r="AA136" t="s">
        <v>93</v>
      </c>
      <c r="AB136" t="s">
        <v>178</v>
      </c>
      <c r="AC136" t="s">
        <v>513</v>
      </c>
      <c r="AF136" s="6">
        <f>Tabela4[[#This Row],[kan_params]] * 1</f>
        <v>33878</v>
      </c>
      <c r="AG136" s="5">
        <f>Tabela4[[#This Row],[kan_test_acc]] * 1</f>
        <v>0.92307692766189497</v>
      </c>
      <c r="AH136" s="5">
        <f>Tabela4[[#This Row],[mlp_test_acc]] * 1</f>
        <v>0.92307692307692302</v>
      </c>
      <c r="AI136" s="5">
        <f>Tabela4[[#This Row],[mlp2_test_acc]] * 1</f>
        <v>0.90909090909090895</v>
      </c>
    </row>
    <row r="137" spans="1:35" x14ac:dyDescent="0.25">
      <c r="A137" t="s">
        <v>28</v>
      </c>
      <c r="B137" t="s">
        <v>273</v>
      </c>
      <c r="C137" t="s">
        <v>79</v>
      </c>
      <c r="D137" t="s">
        <v>274</v>
      </c>
      <c r="E137" t="s">
        <v>80</v>
      </c>
      <c r="F137" t="s">
        <v>514</v>
      </c>
      <c r="G137" t="s">
        <v>515</v>
      </c>
      <c r="H137" t="s">
        <v>516</v>
      </c>
      <c r="I137" t="s">
        <v>517</v>
      </c>
      <c r="J137" t="s">
        <v>89</v>
      </c>
      <c r="K137" t="s">
        <v>85</v>
      </c>
      <c r="L137" t="s">
        <v>508</v>
      </c>
      <c r="M137" t="s">
        <v>478</v>
      </c>
      <c r="N137" t="s">
        <v>291</v>
      </c>
      <c r="O137" t="s">
        <v>89</v>
      </c>
      <c r="P137" t="s">
        <v>305</v>
      </c>
      <c r="Q137" t="s">
        <v>518</v>
      </c>
      <c r="R137" t="s">
        <v>186</v>
      </c>
      <c r="S137" t="s">
        <v>93</v>
      </c>
      <c r="T137" t="s">
        <v>187</v>
      </c>
      <c r="U137" t="s">
        <v>478</v>
      </c>
      <c r="V137" t="s">
        <v>482</v>
      </c>
      <c r="W137" t="s">
        <v>89</v>
      </c>
      <c r="X137" t="s">
        <v>98</v>
      </c>
      <c r="Y137" t="s">
        <v>519</v>
      </c>
      <c r="Z137" t="s">
        <v>191</v>
      </c>
      <c r="AA137" t="s">
        <v>93</v>
      </c>
      <c r="AB137" t="s">
        <v>192</v>
      </c>
      <c r="AC137" t="s">
        <v>520</v>
      </c>
      <c r="AF137" s="6">
        <f>Tabela4[[#This Row],[kan_params]] * 1</f>
        <v>36353</v>
      </c>
      <c r="AG137" s="5">
        <f>Tabela4[[#This Row],[kan_test_acc]] * 1</f>
        <v>0.92307692766189497</v>
      </c>
      <c r="AH137" s="5">
        <f>Tabela4[[#This Row],[mlp_test_acc]] * 1</f>
        <v>0.91608391608391604</v>
      </c>
      <c r="AI137" s="5">
        <f>Tabela4[[#This Row],[mlp2_test_acc]] * 1</f>
        <v>0.91608391608391604</v>
      </c>
    </row>
    <row r="138" spans="1:35" x14ac:dyDescent="0.25">
      <c r="A138" t="s">
        <v>28</v>
      </c>
      <c r="B138" t="s">
        <v>273</v>
      </c>
      <c r="C138" t="s">
        <v>79</v>
      </c>
      <c r="D138" t="s">
        <v>274</v>
      </c>
      <c r="E138" t="s">
        <v>80</v>
      </c>
      <c r="F138" t="s">
        <v>473</v>
      </c>
      <c r="G138" t="s">
        <v>474</v>
      </c>
      <c r="H138" t="s">
        <v>475</v>
      </c>
      <c r="I138" t="s">
        <v>476</v>
      </c>
      <c r="J138" t="s">
        <v>89</v>
      </c>
      <c r="K138" t="s">
        <v>198</v>
      </c>
      <c r="L138" t="s">
        <v>477</v>
      </c>
      <c r="M138" t="s">
        <v>478</v>
      </c>
      <c r="N138" t="s">
        <v>254</v>
      </c>
      <c r="O138" t="s">
        <v>89</v>
      </c>
      <c r="P138" t="s">
        <v>305</v>
      </c>
      <c r="Q138" t="s">
        <v>479</v>
      </c>
      <c r="R138" t="s">
        <v>480</v>
      </c>
      <c r="S138" t="s">
        <v>93</v>
      </c>
      <c r="T138" t="s">
        <v>481</v>
      </c>
      <c r="U138" t="s">
        <v>478</v>
      </c>
      <c r="V138" t="s">
        <v>482</v>
      </c>
      <c r="W138" t="s">
        <v>89</v>
      </c>
      <c r="X138" t="s">
        <v>98</v>
      </c>
      <c r="Y138" t="s">
        <v>483</v>
      </c>
      <c r="Z138" t="s">
        <v>484</v>
      </c>
      <c r="AA138" t="s">
        <v>93</v>
      </c>
      <c r="AB138" t="s">
        <v>485</v>
      </c>
      <c r="AC138" t="s">
        <v>486</v>
      </c>
      <c r="AF138" s="6">
        <f>Tabela4[[#This Row],[kan_params]] * 1</f>
        <v>41436</v>
      </c>
      <c r="AG138" s="5">
        <f>Tabela4[[#This Row],[kan_test_acc]] * 1</f>
        <v>0.91608393192291204</v>
      </c>
      <c r="AH138" s="5">
        <f>Tabela4[[#This Row],[mlp_test_acc]] * 1</f>
        <v>0.91608391608391604</v>
      </c>
      <c r="AI138" s="5">
        <f>Tabela4[[#This Row],[mlp2_test_acc]] * 1</f>
        <v>0.91608391608391604</v>
      </c>
    </row>
    <row r="139" spans="1:35" x14ac:dyDescent="0.25">
      <c r="A139" t="s">
        <v>28</v>
      </c>
      <c r="B139" t="s">
        <v>273</v>
      </c>
      <c r="C139" t="s">
        <v>79</v>
      </c>
      <c r="D139" t="s">
        <v>274</v>
      </c>
      <c r="E139" t="s">
        <v>80</v>
      </c>
      <c r="F139" t="s">
        <v>530</v>
      </c>
      <c r="G139" t="s">
        <v>531</v>
      </c>
      <c r="H139" t="s">
        <v>532</v>
      </c>
      <c r="I139" t="s">
        <v>533</v>
      </c>
      <c r="J139" t="s">
        <v>89</v>
      </c>
      <c r="K139" t="s">
        <v>198</v>
      </c>
      <c r="L139" t="s">
        <v>477</v>
      </c>
      <c r="M139" t="s">
        <v>509</v>
      </c>
      <c r="N139" t="s">
        <v>482</v>
      </c>
      <c r="O139" t="s">
        <v>89</v>
      </c>
      <c r="P139" t="s">
        <v>510</v>
      </c>
      <c r="Q139" t="s">
        <v>534</v>
      </c>
      <c r="R139" t="s">
        <v>480</v>
      </c>
      <c r="S139" t="s">
        <v>93</v>
      </c>
      <c r="T139" t="s">
        <v>481</v>
      </c>
      <c r="U139" t="s">
        <v>491</v>
      </c>
      <c r="V139" t="s">
        <v>482</v>
      </c>
      <c r="W139" t="s">
        <v>89</v>
      </c>
      <c r="X139" t="s">
        <v>98</v>
      </c>
      <c r="Y139" t="s">
        <v>535</v>
      </c>
      <c r="Z139" t="s">
        <v>484</v>
      </c>
      <c r="AA139" t="s">
        <v>93</v>
      </c>
      <c r="AB139" t="s">
        <v>485</v>
      </c>
      <c r="AC139" t="s">
        <v>536</v>
      </c>
      <c r="AF139" s="6">
        <f>Tabela4[[#This Row],[kan_params]] * 1</f>
        <v>41303</v>
      </c>
      <c r="AG139" s="5">
        <f>Tabela4[[#This Row],[kan_test_acc]] * 1</f>
        <v>0.91608393192291204</v>
      </c>
      <c r="AH139" s="5">
        <f>Tabela4[[#This Row],[mlp_test_acc]] * 1</f>
        <v>0.92307692307692302</v>
      </c>
      <c r="AI139" s="5">
        <f>Tabela4[[#This Row],[mlp2_test_acc]] * 1</f>
        <v>0.90909090909090895</v>
      </c>
    </row>
    <row r="140" spans="1:35" x14ac:dyDescent="0.25">
      <c r="A140" t="s">
        <v>28</v>
      </c>
      <c r="B140" t="s">
        <v>1297</v>
      </c>
      <c r="C140" t="s">
        <v>1026</v>
      </c>
      <c r="D140" t="s">
        <v>898</v>
      </c>
      <c r="E140" t="s">
        <v>80</v>
      </c>
      <c r="F140" t="s">
        <v>347</v>
      </c>
      <c r="G140" t="s">
        <v>1356</v>
      </c>
      <c r="H140" t="s">
        <v>1357</v>
      </c>
      <c r="I140" t="s">
        <v>1358</v>
      </c>
      <c r="J140" t="s">
        <v>1359</v>
      </c>
      <c r="K140" t="s">
        <v>948</v>
      </c>
      <c r="L140" t="s">
        <v>1360</v>
      </c>
      <c r="M140" t="s">
        <v>95</v>
      </c>
      <c r="N140" t="s">
        <v>89</v>
      </c>
      <c r="O140" t="s">
        <v>1221</v>
      </c>
      <c r="P140" t="s">
        <v>1361</v>
      </c>
      <c r="Q140" t="s">
        <v>1362</v>
      </c>
      <c r="R140" t="s">
        <v>1112</v>
      </c>
      <c r="S140" t="s">
        <v>93</v>
      </c>
      <c r="T140" t="s">
        <v>1113</v>
      </c>
      <c r="U140" t="s">
        <v>205</v>
      </c>
      <c r="V140" t="s">
        <v>89</v>
      </c>
      <c r="W140" t="s">
        <v>1221</v>
      </c>
      <c r="X140" t="s">
        <v>1361</v>
      </c>
      <c r="Y140" t="s">
        <v>1363</v>
      </c>
      <c r="Z140" t="s">
        <v>982</v>
      </c>
      <c r="AA140" t="s">
        <v>93</v>
      </c>
      <c r="AB140" t="s">
        <v>983</v>
      </c>
      <c r="AC140" t="s">
        <v>1364</v>
      </c>
      <c r="AF140" s="6">
        <f>Tabela4[[#This Row],[kan_params]] * 1</f>
        <v>66587</v>
      </c>
      <c r="AG140" s="5">
        <f>Tabela4[[#This Row],[kan_test_acc]] * 1</f>
        <v>0.81118881702423096</v>
      </c>
      <c r="AH140" s="5">
        <f>Tabela4[[#This Row],[mlp_test_acc]] * 1</f>
        <v>0.965034965034965</v>
      </c>
      <c r="AI140" s="5">
        <f>Tabela4[[#This Row],[mlp2_test_acc]] * 1</f>
        <v>0.95804195804195802</v>
      </c>
    </row>
    <row r="141" spans="1:35" x14ac:dyDescent="0.25">
      <c r="A141" t="s">
        <v>28</v>
      </c>
      <c r="B141" t="s">
        <v>897</v>
      </c>
      <c r="C141" t="s">
        <v>666</v>
      </c>
      <c r="D141" t="s">
        <v>898</v>
      </c>
      <c r="E141" t="s">
        <v>80</v>
      </c>
      <c r="F141" t="s">
        <v>405</v>
      </c>
      <c r="G141" t="s">
        <v>932</v>
      </c>
      <c r="H141" t="s">
        <v>933</v>
      </c>
      <c r="I141" t="s">
        <v>934</v>
      </c>
      <c r="J141" t="s">
        <v>935</v>
      </c>
      <c r="K141" t="s">
        <v>707</v>
      </c>
      <c r="L141" t="s">
        <v>936</v>
      </c>
      <c r="M141" t="s">
        <v>205</v>
      </c>
      <c r="N141" t="s">
        <v>89</v>
      </c>
      <c r="O141" t="s">
        <v>97</v>
      </c>
      <c r="P141" t="s">
        <v>937</v>
      </c>
      <c r="Q141" t="s">
        <v>938</v>
      </c>
      <c r="R141" t="s">
        <v>939</v>
      </c>
      <c r="S141" t="s">
        <v>93</v>
      </c>
      <c r="T141" t="s">
        <v>940</v>
      </c>
      <c r="U141" t="s">
        <v>87</v>
      </c>
      <c r="V141" t="s">
        <v>89</v>
      </c>
      <c r="W141" t="s">
        <v>97</v>
      </c>
      <c r="X141" t="s">
        <v>941</v>
      </c>
      <c r="Y141" t="s">
        <v>942</v>
      </c>
      <c r="Z141" t="s">
        <v>808</v>
      </c>
      <c r="AA141" t="s">
        <v>93</v>
      </c>
      <c r="AB141" t="s">
        <v>809</v>
      </c>
      <c r="AC141" t="s">
        <v>943</v>
      </c>
      <c r="AF141" s="6">
        <f>Tabela4[[#This Row],[kan_params]] * 1</f>
        <v>52369</v>
      </c>
      <c r="AG141" s="5">
        <f>Tabela4[[#This Row],[kan_test_acc]] * 1</f>
        <v>0.79720282554626398</v>
      </c>
      <c r="AH141" s="5">
        <f>Tabela4[[#This Row],[mlp_test_acc]] * 1</f>
        <v>0.95804195804195802</v>
      </c>
      <c r="AI141" s="5">
        <f>Tabela4[[#This Row],[mlp2_test_acc]] * 1</f>
        <v>0.97202797202797198</v>
      </c>
    </row>
    <row r="142" spans="1:35" x14ac:dyDescent="0.25">
      <c r="A142" t="s">
        <v>28</v>
      </c>
      <c r="B142" t="s">
        <v>1297</v>
      </c>
      <c r="C142" t="s">
        <v>1026</v>
      </c>
      <c r="D142" t="s">
        <v>898</v>
      </c>
      <c r="E142" t="s">
        <v>80</v>
      </c>
      <c r="F142" t="s">
        <v>334</v>
      </c>
      <c r="G142" t="s">
        <v>1348</v>
      </c>
      <c r="H142" t="s">
        <v>1349</v>
      </c>
      <c r="I142" t="s">
        <v>1350</v>
      </c>
      <c r="J142" t="s">
        <v>1351</v>
      </c>
      <c r="K142" t="s">
        <v>903</v>
      </c>
      <c r="L142" t="s">
        <v>1352</v>
      </c>
      <c r="M142" t="s">
        <v>95</v>
      </c>
      <c r="N142" t="s">
        <v>89</v>
      </c>
      <c r="O142" t="s">
        <v>188</v>
      </c>
      <c r="P142" t="s">
        <v>1235</v>
      </c>
      <c r="Q142" t="s">
        <v>1353</v>
      </c>
      <c r="R142" t="s">
        <v>967</v>
      </c>
      <c r="S142" t="s">
        <v>93</v>
      </c>
      <c r="T142" t="s">
        <v>968</v>
      </c>
      <c r="U142" t="s">
        <v>95</v>
      </c>
      <c r="V142" t="s">
        <v>89</v>
      </c>
      <c r="W142" t="s">
        <v>188</v>
      </c>
      <c r="X142" t="s">
        <v>1240</v>
      </c>
      <c r="Y142" t="s">
        <v>1354</v>
      </c>
      <c r="Z142" t="s">
        <v>971</v>
      </c>
      <c r="AA142" t="s">
        <v>93</v>
      </c>
      <c r="AB142" t="s">
        <v>972</v>
      </c>
      <c r="AC142" t="s">
        <v>1355</v>
      </c>
      <c r="AF142" s="6">
        <f>Tabela4[[#This Row],[kan_params]] * 1</f>
        <v>62582</v>
      </c>
      <c r="AG142" s="5">
        <f>Tabela4[[#This Row],[kan_test_acc]] * 1</f>
        <v>0.74125874042510898</v>
      </c>
      <c r="AH142" s="5">
        <f>Tabela4[[#This Row],[mlp_test_acc]] * 1</f>
        <v>0.965034965034965</v>
      </c>
      <c r="AI142" s="5">
        <f>Tabela4[[#This Row],[mlp2_test_acc]] * 1</f>
        <v>0.965034965034965</v>
      </c>
    </row>
    <row r="143" spans="1:35" x14ac:dyDescent="0.25">
      <c r="A143" t="s">
        <v>28</v>
      </c>
      <c r="B143" t="s">
        <v>897</v>
      </c>
      <c r="C143" t="s">
        <v>666</v>
      </c>
      <c r="D143" t="s">
        <v>898</v>
      </c>
      <c r="E143" t="s">
        <v>80</v>
      </c>
      <c r="F143" t="s">
        <v>378</v>
      </c>
      <c r="G143" t="s">
        <v>899</v>
      </c>
      <c r="H143" t="s">
        <v>900</v>
      </c>
      <c r="I143" t="s">
        <v>901</v>
      </c>
      <c r="J143" t="s">
        <v>902</v>
      </c>
      <c r="K143" t="s">
        <v>903</v>
      </c>
      <c r="L143" t="s">
        <v>904</v>
      </c>
      <c r="M143" t="s">
        <v>95</v>
      </c>
      <c r="N143" t="s">
        <v>89</v>
      </c>
      <c r="O143" t="s">
        <v>89</v>
      </c>
      <c r="P143" t="s">
        <v>98</v>
      </c>
      <c r="Q143" t="s">
        <v>905</v>
      </c>
      <c r="R143" t="s">
        <v>480</v>
      </c>
      <c r="S143" t="s">
        <v>93</v>
      </c>
      <c r="T143" t="s">
        <v>481</v>
      </c>
      <c r="U143" t="s">
        <v>205</v>
      </c>
      <c r="V143" t="s">
        <v>89</v>
      </c>
      <c r="W143" t="s">
        <v>89</v>
      </c>
      <c r="X143" t="s">
        <v>906</v>
      </c>
      <c r="Y143" t="s">
        <v>907</v>
      </c>
      <c r="Z143" t="s">
        <v>484</v>
      </c>
      <c r="AA143" t="s">
        <v>93</v>
      </c>
      <c r="AB143" t="s">
        <v>485</v>
      </c>
      <c r="AC143" t="s">
        <v>908</v>
      </c>
      <c r="AF143" s="6">
        <f>Tabela4[[#This Row],[kan_params]] * 1</f>
        <v>41644</v>
      </c>
      <c r="AG143" s="5">
        <f>Tabela4[[#This Row],[kan_test_acc]] * 1</f>
        <v>0.73426574468612604</v>
      </c>
      <c r="AH143" s="5">
        <f>Tabela4[[#This Row],[mlp_test_acc]] * 1</f>
        <v>0.965034965034965</v>
      </c>
      <c r="AI143" s="5">
        <f>Tabela4[[#This Row],[mlp2_test_acc]] * 1</f>
        <v>0.95804195804195802</v>
      </c>
    </row>
    <row r="144" spans="1:35" x14ac:dyDescent="0.25">
      <c r="A144" t="s">
        <v>28</v>
      </c>
      <c r="B144" t="s">
        <v>1297</v>
      </c>
      <c r="C144" t="s">
        <v>1026</v>
      </c>
      <c r="D144" t="s">
        <v>898</v>
      </c>
      <c r="E144" t="s">
        <v>80</v>
      </c>
      <c r="F144" t="s">
        <v>378</v>
      </c>
      <c r="G144" t="s">
        <v>1379</v>
      </c>
      <c r="H144" t="s">
        <v>1380</v>
      </c>
      <c r="I144" t="s">
        <v>1381</v>
      </c>
      <c r="J144" t="s">
        <v>1382</v>
      </c>
      <c r="K144" t="s">
        <v>963</v>
      </c>
      <c r="L144" t="s">
        <v>904</v>
      </c>
      <c r="M144" t="s">
        <v>239</v>
      </c>
      <c r="N144" t="s">
        <v>267</v>
      </c>
      <c r="O144" t="s">
        <v>89</v>
      </c>
      <c r="P144" t="s">
        <v>305</v>
      </c>
      <c r="Q144" t="s">
        <v>1383</v>
      </c>
      <c r="R144" t="s">
        <v>929</v>
      </c>
      <c r="S144" t="s">
        <v>93</v>
      </c>
      <c r="T144" t="s">
        <v>930</v>
      </c>
      <c r="U144" t="s">
        <v>136</v>
      </c>
      <c r="V144" t="s">
        <v>254</v>
      </c>
      <c r="W144" t="s">
        <v>89</v>
      </c>
      <c r="X144" t="s">
        <v>98</v>
      </c>
      <c r="Y144" t="s">
        <v>1384</v>
      </c>
      <c r="Z144" t="s">
        <v>801</v>
      </c>
      <c r="AA144" t="s">
        <v>93</v>
      </c>
      <c r="AB144" t="s">
        <v>802</v>
      </c>
      <c r="AC144" t="s">
        <v>1385</v>
      </c>
      <c r="AF144" s="6">
        <f>Tabela4[[#This Row],[kan_params]] * 1</f>
        <v>49564</v>
      </c>
      <c r="AG144" s="5">
        <f>Tabela4[[#This Row],[kan_test_acc]] * 1</f>
        <v>0.73426574468612604</v>
      </c>
      <c r="AH144" s="5">
        <f>Tabela4[[#This Row],[mlp_test_acc]] * 1</f>
        <v>0.98601398601398604</v>
      </c>
      <c r="AI144" s="5">
        <f>Tabela4[[#This Row],[mlp2_test_acc]] * 1</f>
        <v>0.97902097902097895</v>
      </c>
    </row>
    <row r="145" spans="1:38" x14ac:dyDescent="0.25">
      <c r="A145" t="s">
        <v>28</v>
      </c>
      <c r="B145" t="s">
        <v>897</v>
      </c>
      <c r="C145" t="s">
        <v>666</v>
      </c>
      <c r="D145" t="s">
        <v>898</v>
      </c>
      <c r="E145" t="s">
        <v>80</v>
      </c>
      <c r="F145" t="s">
        <v>387</v>
      </c>
      <c r="G145" t="s">
        <v>909</v>
      </c>
      <c r="H145" t="s">
        <v>910</v>
      </c>
      <c r="I145" t="s">
        <v>911</v>
      </c>
      <c r="J145" t="s">
        <v>912</v>
      </c>
      <c r="K145" t="s">
        <v>913</v>
      </c>
      <c r="L145" t="s">
        <v>914</v>
      </c>
      <c r="M145" t="s">
        <v>87</v>
      </c>
      <c r="N145" t="s">
        <v>89</v>
      </c>
      <c r="O145" t="s">
        <v>89</v>
      </c>
      <c r="P145" t="s">
        <v>869</v>
      </c>
      <c r="Q145" t="s">
        <v>915</v>
      </c>
      <c r="R145" t="s">
        <v>710</v>
      </c>
      <c r="S145" t="s">
        <v>93</v>
      </c>
      <c r="T145" t="s">
        <v>711</v>
      </c>
      <c r="U145" t="s">
        <v>119</v>
      </c>
      <c r="V145" t="s">
        <v>89</v>
      </c>
      <c r="W145" t="s">
        <v>229</v>
      </c>
      <c r="X145" t="s">
        <v>916</v>
      </c>
      <c r="Y145" t="s">
        <v>917</v>
      </c>
      <c r="Z145" t="s">
        <v>139</v>
      </c>
      <c r="AA145" t="s">
        <v>93</v>
      </c>
      <c r="AB145" t="s">
        <v>140</v>
      </c>
      <c r="AC145" t="s">
        <v>918</v>
      </c>
      <c r="AF145" s="6">
        <f>Tabela4[[#This Row],[kan_params]] * 1</f>
        <v>45219</v>
      </c>
      <c r="AG145" s="5">
        <f>Tabela4[[#This Row],[kan_test_acc]] * 1</f>
        <v>0.727272748947143</v>
      </c>
      <c r="AH145" s="5">
        <f>Tabela4[[#This Row],[mlp_test_acc]] * 1</f>
        <v>0.97202797202797198</v>
      </c>
      <c r="AI145" s="5">
        <f>Tabela4[[#This Row],[mlp2_test_acc]] * 1</f>
        <v>0.95104895104895104</v>
      </c>
    </row>
    <row r="146" spans="1:38" x14ac:dyDescent="0.25">
      <c r="A146" t="s">
        <v>28</v>
      </c>
      <c r="B146" t="s">
        <v>897</v>
      </c>
      <c r="C146" t="s">
        <v>666</v>
      </c>
      <c r="D146" t="s">
        <v>898</v>
      </c>
      <c r="E146" t="s">
        <v>80</v>
      </c>
      <c r="F146" t="s">
        <v>396</v>
      </c>
      <c r="G146" t="s">
        <v>919</v>
      </c>
      <c r="H146" t="s">
        <v>920</v>
      </c>
      <c r="I146" t="s">
        <v>921</v>
      </c>
      <c r="J146" t="s">
        <v>922</v>
      </c>
      <c r="K146" t="s">
        <v>923</v>
      </c>
      <c r="L146" t="s">
        <v>924</v>
      </c>
      <c r="M146" t="s">
        <v>449</v>
      </c>
      <c r="N146" t="s">
        <v>89</v>
      </c>
      <c r="O146" t="s">
        <v>229</v>
      </c>
      <c r="P146" t="s">
        <v>925</v>
      </c>
      <c r="Q146" t="s">
        <v>926</v>
      </c>
      <c r="R146" t="s">
        <v>162</v>
      </c>
      <c r="S146" t="s">
        <v>93</v>
      </c>
      <c r="T146" t="s">
        <v>163</v>
      </c>
      <c r="U146" t="s">
        <v>205</v>
      </c>
      <c r="V146" t="s">
        <v>89</v>
      </c>
      <c r="W146" t="s">
        <v>97</v>
      </c>
      <c r="X146" t="s">
        <v>927</v>
      </c>
      <c r="Y146" t="s">
        <v>928</v>
      </c>
      <c r="Z146" t="s">
        <v>929</v>
      </c>
      <c r="AA146" t="s">
        <v>93</v>
      </c>
      <c r="AB146" t="s">
        <v>930</v>
      </c>
      <c r="AC146" t="s">
        <v>931</v>
      </c>
      <c r="AF146" s="6">
        <f>Tabela4[[#This Row],[kan_params]] * 1</f>
        <v>48794</v>
      </c>
      <c r="AG146" s="5">
        <f>Tabela4[[#This Row],[kan_test_acc]] * 1</f>
        <v>0.72027969360351496</v>
      </c>
      <c r="AH146" s="5">
        <f>Tabela4[[#This Row],[mlp_test_acc]] * 1</f>
        <v>0.94405594405594395</v>
      </c>
      <c r="AI146" s="5">
        <f>Tabela4[[#This Row],[mlp2_test_acc]] * 1</f>
        <v>0.95804195804195802</v>
      </c>
    </row>
    <row r="147" spans="1:38" x14ac:dyDescent="0.25">
      <c r="A147" t="s">
        <v>28</v>
      </c>
      <c r="B147" t="s">
        <v>1297</v>
      </c>
      <c r="C147" t="s">
        <v>1026</v>
      </c>
      <c r="D147" t="s">
        <v>898</v>
      </c>
      <c r="E147" t="s">
        <v>80</v>
      </c>
      <c r="F147" t="s">
        <v>42</v>
      </c>
      <c r="G147" t="s">
        <v>1314</v>
      </c>
      <c r="H147" t="s">
        <v>1315</v>
      </c>
      <c r="I147" t="s">
        <v>1316</v>
      </c>
      <c r="J147" t="s">
        <v>1317</v>
      </c>
      <c r="K147" t="s">
        <v>913</v>
      </c>
      <c r="L147" t="s">
        <v>1318</v>
      </c>
      <c r="M147" t="s">
        <v>87</v>
      </c>
      <c r="N147" t="s">
        <v>89</v>
      </c>
      <c r="O147" t="s">
        <v>1221</v>
      </c>
      <c r="P147" t="s">
        <v>1247</v>
      </c>
      <c r="Q147" t="s">
        <v>1319</v>
      </c>
      <c r="R147" t="s">
        <v>614</v>
      </c>
      <c r="S147" t="s">
        <v>93</v>
      </c>
      <c r="T147" t="s">
        <v>615</v>
      </c>
      <c r="U147" t="s">
        <v>95</v>
      </c>
      <c r="V147" t="s">
        <v>89</v>
      </c>
      <c r="W147" t="s">
        <v>188</v>
      </c>
      <c r="X147" t="s">
        <v>1320</v>
      </c>
      <c r="Y147" t="s">
        <v>1321</v>
      </c>
      <c r="Z147" t="s">
        <v>753</v>
      </c>
      <c r="AA147" t="s">
        <v>93</v>
      </c>
      <c r="AB147" t="s">
        <v>754</v>
      </c>
      <c r="AC147" t="s">
        <v>1322</v>
      </c>
      <c r="AF147" s="6">
        <f>Tabela4[[#This Row],[kan_params]] * 1</f>
        <v>46562</v>
      </c>
      <c r="AG147" s="5">
        <f>Tabela4[[#This Row],[kan_test_acc]] * 1</f>
        <v>0.70629370212554898</v>
      </c>
      <c r="AH147" s="5">
        <f>Tabela4[[#This Row],[mlp_test_acc]] * 1</f>
        <v>0.97202797202797198</v>
      </c>
      <c r="AI147" s="5">
        <f>Tabela4[[#This Row],[mlp2_test_acc]] * 1</f>
        <v>0.965034965034965</v>
      </c>
    </row>
    <row r="148" spans="1:38" x14ac:dyDescent="0.25">
      <c r="A148" t="s">
        <v>28</v>
      </c>
      <c r="B148" t="s">
        <v>959</v>
      </c>
      <c r="C148" t="s">
        <v>666</v>
      </c>
      <c r="D148" t="s">
        <v>666</v>
      </c>
      <c r="E148" t="s">
        <v>80</v>
      </c>
      <c r="F148" t="s">
        <v>530</v>
      </c>
      <c r="G148" t="s">
        <v>1001</v>
      </c>
      <c r="H148" t="s">
        <v>1002</v>
      </c>
      <c r="I148" t="s">
        <v>1003</v>
      </c>
      <c r="J148" t="s">
        <v>1004</v>
      </c>
      <c r="K148" t="s">
        <v>1005</v>
      </c>
      <c r="L148" t="s">
        <v>1006</v>
      </c>
      <c r="M148" t="s">
        <v>95</v>
      </c>
      <c r="N148" t="s">
        <v>96</v>
      </c>
      <c r="O148" t="s">
        <v>89</v>
      </c>
      <c r="P148" t="s">
        <v>1007</v>
      </c>
      <c r="Q148" t="s">
        <v>1008</v>
      </c>
      <c r="R148" t="s">
        <v>1009</v>
      </c>
      <c r="S148" t="s">
        <v>93</v>
      </c>
      <c r="T148" t="s">
        <v>1010</v>
      </c>
      <c r="U148" t="s">
        <v>633</v>
      </c>
      <c r="V148" t="s">
        <v>291</v>
      </c>
      <c r="W148" t="s">
        <v>620</v>
      </c>
      <c r="X148" t="s">
        <v>160</v>
      </c>
      <c r="Y148" t="s">
        <v>1011</v>
      </c>
      <c r="Z148" t="s">
        <v>1012</v>
      </c>
      <c r="AA148" t="s">
        <v>93</v>
      </c>
      <c r="AB148" t="s">
        <v>954</v>
      </c>
      <c r="AC148" t="s">
        <v>1013</v>
      </c>
      <c r="AF148" s="6">
        <f>Tabela4[[#This Row],[kan_params]] * 1</f>
        <v>76173</v>
      </c>
      <c r="AG148" s="5">
        <f>Tabela4[[#This Row],[kan_test_acc]] * 1</f>
        <v>0.69230771064758301</v>
      </c>
      <c r="AH148" s="5">
        <f>Tabela4[[#This Row],[mlp_test_acc]] * 1</f>
        <v>0.965034965034965</v>
      </c>
      <c r="AI148" s="5">
        <f>Tabela4[[#This Row],[mlp2_test_acc]] * 1</f>
        <v>0.93006993006993</v>
      </c>
    </row>
    <row r="149" spans="1:38" x14ac:dyDescent="0.25">
      <c r="A149" t="s">
        <v>28</v>
      </c>
      <c r="B149" t="s">
        <v>1297</v>
      </c>
      <c r="C149" t="s">
        <v>1026</v>
      </c>
      <c r="D149" t="s">
        <v>898</v>
      </c>
      <c r="E149" t="s">
        <v>80</v>
      </c>
      <c r="F149" t="s">
        <v>311</v>
      </c>
      <c r="G149" t="s">
        <v>1332</v>
      </c>
      <c r="H149" t="s">
        <v>1333</v>
      </c>
      <c r="I149" t="s">
        <v>1334</v>
      </c>
      <c r="J149" t="s">
        <v>1335</v>
      </c>
      <c r="K149" t="s">
        <v>978</v>
      </c>
      <c r="L149" t="s">
        <v>1006</v>
      </c>
      <c r="M149" t="s">
        <v>95</v>
      </c>
      <c r="N149" t="s">
        <v>89</v>
      </c>
      <c r="O149" t="s">
        <v>1221</v>
      </c>
      <c r="P149" t="s">
        <v>1255</v>
      </c>
      <c r="Q149" t="s">
        <v>1336</v>
      </c>
      <c r="R149" t="s">
        <v>1131</v>
      </c>
      <c r="S149" t="s">
        <v>93</v>
      </c>
      <c r="T149" t="s">
        <v>1132</v>
      </c>
      <c r="U149" t="s">
        <v>87</v>
      </c>
      <c r="V149" t="s">
        <v>89</v>
      </c>
      <c r="W149" t="s">
        <v>1221</v>
      </c>
      <c r="X149" t="s">
        <v>1337</v>
      </c>
      <c r="Y149" t="s">
        <v>1338</v>
      </c>
      <c r="Z149" t="s">
        <v>1058</v>
      </c>
      <c r="AA149" t="s">
        <v>93</v>
      </c>
      <c r="AB149" t="s">
        <v>925</v>
      </c>
      <c r="AC149" t="s">
        <v>1339</v>
      </c>
      <c r="AF149" s="6">
        <f>Tabela4[[#This Row],[kan_params]] * 1</f>
        <v>54572</v>
      </c>
      <c r="AG149" s="5">
        <f>Tabela4[[#This Row],[kan_test_acc]] * 1</f>
        <v>0.69230771064758301</v>
      </c>
      <c r="AH149" s="5">
        <f>Tabela4[[#This Row],[mlp_test_acc]] * 1</f>
        <v>0.965034965034965</v>
      </c>
      <c r="AI149" s="5">
        <f>Tabela4[[#This Row],[mlp2_test_acc]] * 1</f>
        <v>0.97202797202797198</v>
      </c>
    </row>
    <row r="150" spans="1:38" x14ac:dyDescent="0.25">
      <c r="A150" t="s">
        <v>28</v>
      </c>
      <c r="B150" t="s">
        <v>1297</v>
      </c>
      <c r="C150" t="s">
        <v>1026</v>
      </c>
      <c r="D150" t="s">
        <v>898</v>
      </c>
      <c r="E150" t="s">
        <v>80</v>
      </c>
      <c r="F150" t="s">
        <v>43</v>
      </c>
      <c r="G150" t="s">
        <v>1323</v>
      </c>
      <c r="H150" t="s">
        <v>1324</v>
      </c>
      <c r="I150" t="s">
        <v>1325</v>
      </c>
      <c r="J150" t="s">
        <v>1326</v>
      </c>
      <c r="K150" t="s">
        <v>948</v>
      </c>
      <c r="L150" t="s">
        <v>1327</v>
      </c>
      <c r="M150" t="s">
        <v>87</v>
      </c>
      <c r="N150" t="s">
        <v>89</v>
      </c>
      <c r="O150" t="s">
        <v>969</v>
      </c>
      <c r="P150" t="s">
        <v>1226</v>
      </c>
      <c r="Q150" t="s">
        <v>1328</v>
      </c>
      <c r="R150" t="s">
        <v>761</v>
      </c>
      <c r="S150" t="s">
        <v>93</v>
      </c>
      <c r="T150" t="s">
        <v>762</v>
      </c>
      <c r="U150" t="s">
        <v>87</v>
      </c>
      <c r="V150" t="s">
        <v>89</v>
      </c>
      <c r="W150" t="s">
        <v>1329</v>
      </c>
      <c r="X150" t="s">
        <v>1255</v>
      </c>
      <c r="Y150" t="s">
        <v>1330</v>
      </c>
      <c r="Z150" t="s">
        <v>764</v>
      </c>
      <c r="AA150" t="s">
        <v>93</v>
      </c>
      <c r="AB150" t="s">
        <v>765</v>
      </c>
      <c r="AC150" t="s">
        <v>1331</v>
      </c>
      <c r="AF150" s="6">
        <f>Tabela4[[#This Row],[kan_params]] * 1</f>
        <v>50567</v>
      </c>
      <c r="AG150" s="5">
        <f>Tabela4[[#This Row],[kan_test_acc]] * 1</f>
        <v>0.67832165956497104</v>
      </c>
      <c r="AH150" s="5">
        <f>Tabela4[[#This Row],[mlp_test_acc]] * 1</f>
        <v>0.97202797202797198</v>
      </c>
      <c r="AI150" s="5">
        <f>Tabela4[[#This Row],[mlp2_test_acc]] * 1</f>
        <v>0.97202797202797198</v>
      </c>
    </row>
    <row r="151" spans="1:38" x14ac:dyDescent="0.25">
      <c r="A151" t="s">
        <v>28</v>
      </c>
      <c r="B151" t="s">
        <v>1297</v>
      </c>
      <c r="C151" t="s">
        <v>1026</v>
      </c>
      <c r="D151" t="s">
        <v>898</v>
      </c>
      <c r="E151" t="s">
        <v>80</v>
      </c>
      <c r="F151" t="s">
        <v>358</v>
      </c>
      <c r="G151" t="s">
        <v>1365</v>
      </c>
      <c r="H151" t="s">
        <v>1366</v>
      </c>
      <c r="I151" t="s">
        <v>1367</v>
      </c>
      <c r="J151" t="s">
        <v>1368</v>
      </c>
      <c r="K151" t="s">
        <v>978</v>
      </c>
      <c r="L151" t="s">
        <v>1369</v>
      </c>
      <c r="M151" t="s">
        <v>136</v>
      </c>
      <c r="N151" t="s">
        <v>267</v>
      </c>
      <c r="O151" t="s">
        <v>89</v>
      </c>
      <c r="P151" t="s">
        <v>510</v>
      </c>
      <c r="Q151" t="s">
        <v>1370</v>
      </c>
      <c r="R151" t="s">
        <v>1159</v>
      </c>
      <c r="S151" t="s">
        <v>93</v>
      </c>
      <c r="T151" t="s">
        <v>937</v>
      </c>
      <c r="U151" t="s">
        <v>239</v>
      </c>
      <c r="V151" t="s">
        <v>254</v>
      </c>
      <c r="W151" t="s">
        <v>89</v>
      </c>
      <c r="X151" t="s">
        <v>98</v>
      </c>
      <c r="Y151" t="s">
        <v>1371</v>
      </c>
      <c r="Z151" t="s">
        <v>995</v>
      </c>
      <c r="AA151" t="s">
        <v>93</v>
      </c>
      <c r="AB151" t="s">
        <v>906</v>
      </c>
      <c r="AC151" t="s">
        <v>1372</v>
      </c>
      <c r="AF151" s="6">
        <f>Tabela4[[#This Row],[kan_params]] * 1</f>
        <v>70592</v>
      </c>
      <c r="AG151" s="5">
        <f>Tabela4[[#This Row],[kan_test_acc]] * 1</f>
        <v>0.65034967660903897</v>
      </c>
      <c r="AH151" s="5">
        <f>Tabela4[[#This Row],[mlp_test_acc]] * 1</f>
        <v>0.97902097902097895</v>
      </c>
      <c r="AI151" s="5">
        <f>Tabela4[[#This Row],[mlp2_test_acc]] * 1</f>
        <v>0.98601398601398604</v>
      </c>
      <c r="AL151" s="4"/>
    </row>
    <row r="152" spans="1:38" x14ac:dyDescent="0.25">
      <c r="A152" t="s">
        <v>28</v>
      </c>
      <c r="B152" t="s">
        <v>1297</v>
      </c>
      <c r="C152" t="s">
        <v>1026</v>
      </c>
      <c r="D152" t="s">
        <v>898</v>
      </c>
      <c r="E152" t="s">
        <v>80</v>
      </c>
      <c r="F152" t="s">
        <v>322</v>
      </c>
      <c r="G152" t="s">
        <v>1340</v>
      </c>
      <c r="H152" t="s">
        <v>1341</v>
      </c>
      <c r="I152" t="s">
        <v>1342</v>
      </c>
      <c r="J152" t="s">
        <v>1343</v>
      </c>
      <c r="K152" t="s">
        <v>923</v>
      </c>
      <c r="L152" t="s">
        <v>1344</v>
      </c>
      <c r="M152" t="s">
        <v>95</v>
      </c>
      <c r="N152" t="s">
        <v>89</v>
      </c>
      <c r="O152" t="s">
        <v>969</v>
      </c>
      <c r="P152" t="s">
        <v>1240</v>
      </c>
      <c r="Q152" t="s">
        <v>1345</v>
      </c>
      <c r="R152" t="s">
        <v>1064</v>
      </c>
      <c r="S152" t="s">
        <v>93</v>
      </c>
      <c r="T152" t="s">
        <v>1065</v>
      </c>
      <c r="U152" t="s">
        <v>95</v>
      </c>
      <c r="V152" t="s">
        <v>89</v>
      </c>
      <c r="W152" t="s">
        <v>1249</v>
      </c>
      <c r="X152" t="s">
        <v>1226</v>
      </c>
      <c r="Y152" t="s">
        <v>1346</v>
      </c>
      <c r="Z152" t="s">
        <v>1067</v>
      </c>
      <c r="AA152" t="s">
        <v>93</v>
      </c>
      <c r="AB152" t="s">
        <v>1068</v>
      </c>
      <c r="AC152" t="s">
        <v>1347</v>
      </c>
      <c r="AF152" s="6">
        <f>Tabela4[[#This Row],[kan_params]] * 1</f>
        <v>58577</v>
      </c>
      <c r="AG152" s="5">
        <f>Tabela4[[#This Row],[kan_test_acc]] * 1</f>
        <v>0.64335662126541104</v>
      </c>
      <c r="AH152" s="5">
        <f>Tabela4[[#This Row],[mlp_test_acc]] * 1</f>
        <v>0.965034965034965</v>
      </c>
      <c r="AI152" s="5">
        <f>Tabela4[[#This Row],[mlp2_test_acc]] * 1</f>
        <v>0.965034965034965</v>
      </c>
    </row>
    <row r="153" spans="1:38" x14ac:dyDescent="0.25">
      <c r="A153" t="s">
        <v>28</v>
      </c>
      <c r="B153" t="s">
        <v>959</v>
      </c>
      <c r="C153" t="s">
        <v>666</v>
      </c>
      <c r="D153" t="s">
        <v>666</v>
      </c>
      <c r="E153" t="s">
        <v>80</v>
      </c>
      <c r="F153" t="s">
        <v>514</v>
      </c>
      <c r="G153" t="s">
        <v>974</v>
      </c>
      <c r="H153" t="s">
        <v>975</v>
      </c>
      <c r="I153" t="s">
        <v>976</v>
      </c>
      <c r="J153" t="s">
        <v>977</v>
      </c>
      <c r="K153" t="s">
        <v>978</v>
      </c>
      <c r="L153" t="s">
        <v>979</v>
      </c>
      <c r="M153" t="s">
        <v>119</v>
      </c>
      <c r="N153" t="s">
        <v>88</v>
      </c>
      <c r="O153" t="s">
        <v>89</v>
      </c>
      <c r="P153" t="s">
        <v>980</v>
      </c>
      <c r="Q153" t="s">
        <v>981</v>
      </c>
      <c r="R153" t="s">
        <v>982</v>
      </c>
      <c r="S153" t="s">
        <v>93</v>
      </c>
      <c r="T153" t="s">
        <v>983</v>
      </c>
      <c r="U153" t="s">
        <v>491</v>
      </c>
      <c r="V153" t="s">
        <v>482</v>
      </c>
      <c r="W153" t="s">
        <v>969</v>
      </c>
      <c r="X153" t="s">
        <v>160</v>
      </c>
      <c r="Y153" t="s">
        <v>984</v>
      </c>
      <c r="Z153" t="s">
        <v>985</v>
      </c>
      <c r="AA153" t="s">
        <v>93</v>
      </c>
      <c r="AB153" t="s">
        <v>986</v>
      </c>
      <c r="AC153" t="s">
        <v>987</v>
      </c>
      <c r="AF153" s="6">
        <f>Tabela4[[#This Row],[kan_params]] * 1</f>
        <v>67043</v>
      </c>
      <c r="AG153" s="5">
        <f>Tabela4[[#This Row],[kan_test_acc]] * 1</f>
        <v>0.62237763404846103</v>
      </c>
      <c r="AH153" s="5">
        <f>Tabela4[[#This Row],[mlp_test_acc]] * 1</f>
        <v>0.95104895104895104</v>
      </c>
      <c r="AI153" s="5">
        <f>Tabela4[[#This Row],[mlp2_test_acc]] * 1</f>
        <v>0.90909090909090895</v>
      </c>
    </row>
    <row r="154" spans="1:38" x14ac:dyDescent="0.25">
      <c r="A154" t="s">
        <v>28</v>
      </c>
      <c r="B154" t="s">
        <v>959</v>
      </c>
      <c r="C154" t="s">
        <v>666</v>
      </c>
      <c r="D154" t="s">
        <v>666</v>
      </c>
      <c r="E154" t="s">
        <v>80</v>
      </c>
      <c r="F154" t="s">
        <v>504</v>
      </c>
      <c r="G154" t="s">
        <v>960</v>
      </c>
      <c r="H154" t="s">
        <v>961</v>
      </c>
      <c r="I154" t="s">
        <v>182</v>
      </c>
      <c r="J154" t="s">
        <v>962</v>
      </c>
      <c r="K154" t="s">
        <v>963</v>
      </c>
      <c r="L154" t="s">
        <v>964</v>
      </c>
      <c r="M154" t="s">
        <v>95</v>
      </c>
      <c r="N154" t="s">
        <v>88</v>
      </c>
      <c r="O154" t="s">
        <v>89</v>
      </c>
      <c r="P154" t="s">
        <v>965</v>
      </c>
      <c r="Q154" t="s">
        <v>966</v>
      </c>
      <c r="R154" t="s">
        <v>967</v>
      </c>
      <c r="S154" t="s">
        <v>93</v>
      </c>
      <c r="T154" t="s">
        <v>968</v>
      </c>
      <c r="U154" t="s">
        <v>491</v>
      </c>
      <c r="V154" t="s">
        <v>708</v>
      </c>
      <c r="W154" t="s">
        <v>969</v>
      </c>
      <c r="X154" t="s">
        <v>160</v>
      </c>
      <c r="Y154" t="s">
        <v>970</v>
      </c>
      <c r="Z154" t="s">
        <v>971</v>
      </c>
      <c r="AA154" t="s">
        <v>93</v>
      </c>
      <c r="AB154" t="s">
        <v>972</v>
      </c>
      <c r="AC154" t="s">
        <v>973</v>
      </c>
      <c r="AF154" s="6">
        <f>Tabela4[[#This Row],[kan_params]] * 1</f>
        <v>62478</v>
      </c>
      <c r="AG154" s="5">
        <f>Tabela4[[#This Row],[kan_test_acc]] * 1</f>
        <v>0.60839158296585005</v>
      </c>
      <c r="AH154" s="5">
        <f>Tabela4[[#This Row],[mlp_test_acc]] * 1</f>
        <v>0.965034965034965</v>
      </c>
      <c r="AI154" s="5">
        <f>Tabela4[[#This Row],[mlp2_test_acc]] * 1</f>
        <v>0.90909090909090895</v>
      </c>
    </row>
    <row r="155" spans="1:38" x14ac:dyDescent="0.25">
      <c r="A155" t="s">
        <v>28</v>
      </c>
      <c r="B155" t="s">
        <v>959</v>
      </c>
      <c r="C155" t="s">
        <v>666</v>
      </c>
      <c r="D155" t="s">
        <v>666</v>
      </c>
      <c r="E155" t="s">
        <v>80</v>
      </c>
      <c r="F155" t="s">
        <v>537</v>
      </c>
      <c r="G155" t="s">
        <v>1014</v>
      </c>
      <c r="H155" t="s">
        <v>1015</v>
      </c>
      <c r="I155" t="s">
        <v>1016</v>
      </c>
      <c r="J155" t="s">
        <v>1017</v>
      </c>
      <c r="K155" t="s">
        <v>963</v>
      </c>
      <c r="L155" t="s">
        <v>964</v>
      </c>
      <c r="M155" t="s">
        <v>205</v>
      </c>
      <c r="N155" t="s">
        <v>267</v>
      </c>
      <c r="O155" t="s">
        <v>89</v>
      </c>
      <c r="P155" t="s">
        <v>1018</v>
      </c>
      <c r="Q155" t="s">
        <v>1019</v>
      </c>
      <c r="R155" t="s">
        <v>1020</v>
      </c>
      <c r="S155" t="s">
        <v>93</v>
      </c>
      <c r="T155" t="s">
        <v>1021</v>
      </c>
      <c r="U155" t="s">
        <v>633</v>
      </c>
      <c r="V155" t="s">
        <v>291</v>
      </c>
      <c r="W155" t="s">
        <v>647</v>
      </c>
      <c r="X155" t="s">
        <v>160</v>
      </c>
      <c r="Y155" t="s">
        <v>1022</v>
      </c>
      <c r="Z155" t="s">
        <v>1023</v>
      </c>
      <c r="AA155" t="s">
        <v>93</v>
      </c>
      <c r="AB155" t="s">
        <v>1024</v>
      </c>
      <c r="AC155" t="s">
        <v>1025</v>
      </c>
      <c r="AF155" s="6">
        <f>Tabela4[[#This Row],[kan_params]] * 1</f>
        <v>80738</v>
      </c>
      <c r="AG155" s="5">
        <f>Tabela4[[#This Row],[kan_test_acc]] * 1</f>
        <v>0.60839158296585005</v>
      </c>
      <c r="AH155" s="5">
        <f>Tabela4[[#This Row],[mlp_test_acc]] * 1</f>
        <v>0.95804195804195802</v>
      </c>
      <c r="AI155" s="5">
        <f>Tabela4[[#This Row],[mlp2_test_acc]] * 1</f>
        <v>0.93006993006993</v>
      </c>
    </row>
    <row r="156" spans="1:38" x14ac:dyDescent="0.25">
      <c r="A156" t="s">
        <v>28</v>
      </c>
      <c r="B156" t="s">
        <v>1297</v>
      </c>
      <c r="C156" t="s">
        <v>1026</v>
      </c>
      <c r="D156" t="s">
        <v>898</v>
      </c>
      <c r="E156" t="s">
        <v>80</v>
      </c>
      <c r="F156" t="s">
        <v>387</v>
      </c>
      <c r="G156" t="s">
        <v>1386</v>
      </c>
      <c r="H156" t="s">
        <v>1387</v>
      </c>
      <c r="I156" t="s">
        <v>1388</v>
      </c>
      <c r="J156" t="s">
        <v>1389</v>
      </c>
      <c r="K156" t="s">
        <v>963</v>
      </c>
      <c r="L156" t="s">
        <v>1390</v>
      </c>
      <c r="M156" t="s">
        <v>136</v>
      </c>
      <c r="N156" t="s">
        <v>267</v>
      </c>
      <c r="O156" t="s">
        <v>89</v>
      </c>
      <c r="P156" t="s">
        <v>510</v>
      </c>
      <c r="Q156" t="s">
        <v>1391</v>
      </c>
      <c r="R156" t="s">
        <v>811</v>
      </c>
      <c r="S156" t="s">
        <v>93</v>
      </c>
      <c r="T156" t="s">
        <v>812</v>
      </c>
      <c r="U156" t="s">
        <v>239</v>
      </c>
      <c r="V156" t="s">
        <v>254</v>
      </c>
      <c r="W156" t="s">
        <v>110</v>
      </c>
      <c r="X156" t="s">
        <v>98</v>
      </c>
      <c r="Y156" t="s">
        <v>1392</v>
      </c>
      <c r="Z156" t="s">
        <v>1131</v>
      </c>
      <c r="AA156" t="s">
        <v>93</v>
      </c>
      <c r="AB156" t="s">
        <v>1132</v>
      </c>
      <c r="AC156" t="s">
        <v>1393</v>
      </c>
      <c r="AF156" s="6">
        <f>Tabela4[[#This Row],[kan_params]] * 1</f>
        <v>53819</v>
      </c>
      <c r="AG156" s="5">
        <f>Tabela4[[#This Row],[kan_test_acc]] * 1</f>
        <v>0.58041960000991799</v>
      </c>
      <c r="AH156" s="5">
        <f>Tabela4[[#This Row],[mlp_test_acc]] * 1</f>
        <v>0.97902097902097895</v>
      </c>
      <c r="AI156" s="5">
        <f>Tabela4[[#This Row],[mlp2_test_acc]] * 1</f>
        <v>0.98601398601398604</v>
      </c>
    </row>
    <row r="157" spans="1:38" x14ac:dyDescent="0.25">
      <c r="A157" t="s">
        <v>28</v>
      </c>
      <c r="B157" t="s">
        <v>959</v>
      </c>
      <c r="C157" t="s">
        <v>666</v>
      </c>
      <c r="D157" t="s">
        <v>666</v>
      </c>
      <c r="E157" t="s">
        <v>80</v>
      </c>
      <c r="F157" t="s">
        <v>521</v>
      </c>
      <c r="G157" t="s">
        <v>988</v>
      </c>
      <c r="H157" t="s">
        <v>989</v>
      </c>
      <c r="I157" t="s">
        <v>990</v>
      </c>
      <c r="J157" t="s">
        <v>991</v>
      </c>
      <c r="K157" t="s">
        <v>903</v>
      </c>
      <c r="L157" t="s">
        <v>992</v>
      </c>
      <c r="M157" t="s">
        <v>95</v>
      </c>
      <c r="N157" t="s">
        <v>88</v>
      </c>
      <c r="O157" t="s">
        <v>89</v>
      </c>
      <c r="P157" t="s">
        <v>993</v>
      </c>
      <c r="Q157" t="s">
        <v>994</v>
      </c>
      <c r="R157" t="s">
        <v>995</v>
      </c>
      <c r="S157" t="s">
        <v>93</v>
      </c>
      <c r="T157" t="s">
        <v>906</v>
      </c>
      <c r="U157" t="s">
        <v>633</v>
      </c>
      <c r="V157" t="s">
        <v>482</v>
      </c>
      <c r="W157" t="s">
        <v>996</v>
      </c>
      <c r="X157" t="s">
        <v>160</v>
      </c>
      <c r="Y157" t="s">
        <v>997</v>
      </c>
      <c r="Z157" t="s">
        <v>998</v>
      </c>
      <c r="AA157" t="s">
        <v>93</v>
      </c>
      <c r="AB157" t="s">
        <v>999</v>
      </c>
      <c r="AC157" t="s">
        <v>1000</v>
      </c>
      <c r="AF157" s="6">
        <f>Tabela4[[#This Row],[kan_params]] * 1</f>
        <v>71608</v>
      </c>
      <c r="AG157" s="5">
        <f>Tabela4[[#This Row],[kan_test_acc]] * 1</f>
        <v>0.48951047658920199</v>
      </c>
      <c r="AH157" s="5">
        <f>Tabela4[[#This Row],[mlp_test_acc]] * 1</f>
        <v>0.965034965034965</v>
      </c>
      <c r="AI157" s="5">
        <f>Tabela4[[#This Row],[mlp2_test_acc]] * 1</f>
        <v>0.93006993006993</v>
      </c>
    </row>
    <row r="158" spans="1:38" x14ac:dyDescent="0.25">
      <c r="A158" t="s">
        <v>28</v>
      </c>
      <c r="B158" t="s">
        <v>897</v>
      </c>
      <c r="C158" t="s">
        <v>666</v>
      </c>
      <c r="D158" t="s">
        <v>898</v>
      </c>
      <c r="E158" t="s">
        <v>80</v>
      </c>
      <c r="F158" t="s">
        <v>414</v>
      </c>
      <c r="G158" t="s">
        <v>944</v>
      </c>
      <c r="H158" t="s">
        <v>945</v>
      </c>
      <c r="I158" t="s">
        <v>946</v>
      </c>
      <c r="J158" t="s">
        <v>947</v>
      </c>
      <c r="K158" t="s">
        <v>948</v>
      </c>
      <c r="L158" t="s">
        <v>949</v>
      </c>
      <c r="M158" t="s">
        <v>205</v>
      </c>
      <c r="N158" t="s">
        <v>89</v>
      </c>
      <c r="O158" t="s">
        <v>97</v>
      </c>
      <c r="P158" t="s">
        <v>950</v>
      </c>
      <c r="Q158" t="s">
        <v>951</v>
      </c>
      <c r="R158" t="s">
        <v>952</v>
      </c>
      <c r="S158" t="s">
        <v>93</v>
      </c>
      <c r="T158" t="s">
        <v>953</v>
      </c>
      <c r="U158" t="s">
        <v>119</v>
      </c>
      <c r="V158" t="s">
        <v>89</v>
      </c>
      <c r="W158" t="s">
        <v>229</v>
      </c>
      <c r="X158" t="s">
        <v>954</v>
      </c>
      <c r="Y158" t="s">
        <v>955</v>
      </c>
      <c r="Z158" t="s">
        <v>956</v>
      </c>
      <c r="AA158" t="s">
        <v>93</v>
      </c>
      <c r="AB158" t="s">
        <v>957</v>
      </c>
      <c r="AC158" t="s">
        <v>958</v>
      </c>
      <c r="AF158" s="6">
        <f>Tabela4[[#This Row],[kan_params]] * 1</f>
        <v>55944</v>
      </c>
      <c r="AG158" s="5">
        <f>Tabela4[[#This Row],[kan_test_acc]] * 1</f>
        <v>0.47552448511123602</v>
      </c>
      <c r="AH158" s="5">
        <f>Tabela4[[#This Row],[mlp_test_acc]] * 1</f>
        <v>0.95804195804195802</v>
      </c>
      <c r="AI158" s="5">
        <f>Tabela4[[#This Row],[mlp2_test_acc]] * 1</f>
        <v>0.95104895104895104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A48C2-7F7E-4FB8-B7A1-EE5A69B345C7}">
  <dimension ref="A1:AI145"/>
  <sheetViews>
    <sheetView topLeftCell="A109" workbookViewId="0">
      <selection activeCell="H2" sqref="H2:I145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customWidth="1"/>
    <col min="7" max="7" width="13.7109375" customWidth="1"/>
    <col min="8" max="8" width="21.5703125" customWidth="1"/>
    <col min="9" max="9" width="12.140625" customWidth="1"/>
    <col min="10" max="10" width="19.85546875" bestFit="1" customWidth="1"/>
    <col min="11" max="11" width="18.85546875" bestFit="1" customWidth="1"/>
    <col min="12" max="12" width="19.85546875" bestFit="1" customWidth="1"/>
    <col min="13" max="15" width="18.85546875" bestFit="1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3" width="18.85546875" bestFit="1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17.28515625" bestFit="1" customWidth="1"/>
  </cols>
  <sheetData>
    <row r="1" spans="1:3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3" t="s">
        <v>77</v>
      </c>
      <c r="AF1" t="s">
        <v>4091</v>
      </c>
      <c r="AG1" t="s">
        <v>4092</v>
      </c>
      <c r="AH1" t="s">
        <v>4093</v>
      </c>
      <c r="AI1" t="s">
        <v>4094</v>
      </c>
    </row>
    <row r="2" spans="1:35" x14ac:dyDescent="0.25">
      <c r="A2" t="s">
        <v>44</v>
      </c>
      <c r="B2" t="s">
        <v>78</v>
      </c>
      <c r="C2" t="s">
        <v>666</v>
      </c>
      <c r="D2" t="s">
        <v>274</v>
      </c>
      <c r="E2" t="s">
        <v>80</v>
      </c>
      <c r="F2" t="s">
        <v>48</v>
      </c>
      <c r="G2" t="s">
        <v>1869</v>
      </c>
      <c r="H2" t="s">
        <v>1870</v>
      </c>
      <c r="I2" t="s">
        <v>1473</v>
      </c>
      <c r="J2" t="s">
        <v>1450</v>
      </c>
      <c r="K2" t="s">
        <v>89</v>
      </c>
      <c r="L2" t="s">
        <v>89</v>
      </c>
      <c r="M2" t="s">
        <v>1438</v>
      </c>
      <c r="N2" t="s">
        <v>89</v>
      </c>
      <c r="O2" t="s">
        <v>1484</v>
      </c>
      <c r="P2" t="s">
        <v>89</v>
      </c>
      <c r="Q2" t="s">
        <v>1871</v>
      </c>
      <c r="R2" t="s">
        <v>1456</v>
      </c>
      <c r="S2" t="s">
        <v>93</v>
      </c>
      <c r="T2" t="s">
        <v>1320</v>
      </c>
      <c r="U2" t="s">
        <v>1438</v>
      </c>
      <c r="V2" t="s">
        <v>89</v>
      </c>
      <c r="W2" t="s">
        <v>1484</v>
      </c>
      <c r="X2" t="s">
        <v>89</v>
      </c>
      <c r="Y2" t="s">
        <v>1872</v>
      </c>
      <c r="Z2" t="s">
        <v>1472</v>
      </c>
      <c r="AA2" t="s">
        <v>93</v>
      </c>
      <c r="AB2" t="s">
        <v>1473</v>
      </c>
      <c r="AC2" t="s">
        <v>1873</v>
      </c>
      <c r="AF2">
        <f>Tabela3[[#This Row],[kan_params]]*1</f>
        <v>2769</v>
      </c>
      <c r="AG2">
        <f>1*Tabela3[[#This Row],[kan_test_acc]]</f>
        <v>1</v>
      </c>
      <c r="AH2">
        <f>1*Tabela3[[#This Row],[mlp_test_acc]]</f>
        <v>0.97368421052631504</v>
      </c>
      <c r="AI2">
        <f>1*Tabela3[[#This Row],[mlp2_test_acc]]</f>
        <v>0.97368421052631504</v>
      </c>
    </row>
    <row r="3" spans="1:35" x14ac:dyDescent="0.25">
      <c r="A3" t="s">
        <v>44</v>
      </c>
      <c r="B3" t="s">
        <v>814</v>
      </c>
      <c r="C3" t="s">
        <v>666</v>
      </c>
      <c r="D3" t="s">
        <v>79</v>
      </c>
      <c r="E3" t="s">
        <v>80</v>
      </c>
      <c r="F3" t="s">
        <v>49</v>
      </c>
      <c r="G3" t="s">
        <v>1948</v>
      </c>
      <c r="H3" t="s">
        <v>1949</v>
      </c>
      <c r="I3" t="s">
        <v>1950</v>
      </c>
      <c r="J3" t="s">
        <v>1436</v>
      </c>
      <c r="K3" t="s">
        <v>89</v>
      </c>
      <c r="L3" t="s">
        <v>89</v>
      </c>
      <c r="M3" t="s">
        <v>1438</v>
      </c>
      <c r="N3" t="s">
        <v>89</v>
      </c>
      <c r="O3" t="s">
        <v>1484</v>
      </c>
      <c r="P3" t="s">
        <v>89</v>
      </c>
      <c r="Q3" t="s">
        <v>1951</v>
      </c>
      <c r="R3" t="s">
        <v>1487</v>
      </c>
      <c r="S3" t="s">
        <v>93</v>
      </c>
      <c r="T3" t="s">
        <v>645</v>
      </c>
      <c r="U3" t="s">
        <v>1463</v>
      </c>
      <c r="V3" t="s">
        <v>89</v>
      </c>
      <c r="W3" t="s">
        <v>1484</v>
      </c>
      <c r="X3" t="s">
        <v>89</v>
      </c>
      <c r="Y3" t="s">
        <v>1952</v>
      </c>
      <c r="Z3" t="s">
        <v>1604</v>
      </c>
      <c r="AA3" t="s">
        <v>93</v>
      </c>
      <c r="AB3" t="s">
        <v>657</v>
      </c>
      <c r="AC3" t="s">
        <v>1953</v>
      </c>
      <c r="AF3">
        <f>Tabela3[[#This Row],[kan_params]]*1</f>
        <v>384</v>
      </c>
      <c r="AG3">
        <f>1*Tabela3[[#This Row],[kan_test_acc]]</f>
        <v>1</v>
      </c>
      <c r="AH3">
        <f>1*Tabela3[[#This Row],[mlp_test_acc]]</f>
        <v>0.97368421052631504</v>
      </c>
      <c r="AI3">
        <f>1*Tabela3[[#This Row],[mlp2_test_acc]]</f>
        <v>0.94736842105263097</v>
      </c>
    </row>
    <row r="4" spans="1:35" x14ac:dyDescent="0.25">
      <c r="A4" t="s">
        <v>44</v>
      </c>
      <c r="B4" t="s">
        <v>897</v>
      </c>
      <c r="C4" t="s">
        <v>1026</v>
      </c>
      <c r="D4" t="s">
        <v>274</v>
      </c>
      <c r="E4" t="s">
        <v>80</v>
      </c>
      <c r="F4" t="s">
        <v>52</v>
      </c>
      <c r="G4" t="s">
        <v>1627</v>
      </c>
      <c r="H4" t="s">
        <v>2195</v>
      </c>
      <c r="I4" t="s">
        <v>2196</v>
      </c>
      <c r="J4" t="s">
        <v>1542</v>
      </c>
      <c r="K4" t="s">
        <v>89</v>
      </c>
      <c r="L4" t="s">
        <v>89</v>
      </c>
      <c r="M4" t="s">
        <v>89</v>
      </c>
      <c r="N4" t="s">
        <v>89</v>
      </c>
      <c r="O4" t="s">
        <v>1484</v>
      </c>
      <c r="P4" t="s">
        <v>1397</v>
      </c>
      <c r="Q4" t="s">
        <v>2197</v>
      </c>
      <c r="R4" t="s">
        <v>1634</v>
      </c>
      <c r="S4" t="s">
        <v>93</v>
      </c>
      <c r="T4" t="s">
        <v>1235</v>
      </c>
      <c r="U4" t="s">
        <v>89</v>
      </c>
      <c r="V4" t="s">
        <v>89</v>
      </c>
      <c r="W4" t="s">
        <v>1484</v>
      </c>
      <c r="X4" t="s">
        <v>2198</v>
      </c>
      <c r="Y4" t="s">
        <v>2199</v>
      </c>
      <c r="Z4" t="s">
        <v>1504</v>
      </c>
      <c r="AA4" t="s">
        <v>93</v>
      </c>
      <c r="AB4" t="s">
        <v>1400</v>
      </c>
      <c r="AC4" t="s">
        <v>2200</v>
      </c>
      <c r="AF4">
        <f>Tabela3[[#This Row],[kan_params]]*1</f>
        <v>1153</v>
      </c>
      <c r="AG4">
        <f>1*Tabela3[[#This Row],[kan_test_acc]]</f>
        <v>1</v>
      </c>
      <c r="AH4">
        <f>1*Tabela3[[#This Row],[mlp_test_acc]]</f>
        <v>1</v>
      </c>
      <c r="AI4">
        <f>1*Tabela3[[#This Row],[mlp2_test_acc]]</f>
        <v>1</v>
      </c>
    </row>
    <row r="5" spans="1:35" x14ac:dyDescent="0.25">
      <c r="A5" t="s">
        <v>44</v>
      </c>
      <c r="B5" t="s">
        <v>897</v>
      </c>
      <c r="C5" t="s">
        <v>1026</v>
      </c>
      <c r="D5" t="s">
        <v>274</v>
      </c>
      <c r="E5" t="s">
        <v>80</v>
      </c>
      <c r="F5" t="s">
        <v>54</v>
      </c>
      <c r="G5" t="s">
        <v>1649</v>
      </c>
      <c r="H5" t="s">
        <v>2206</v>
      </c>
      <c r="I5" t="s">
        <v>2089</v>
      </c>
      <c r="J5" t="s">
        <v>1501</v>
      </c>
      <c r="K5" t="s">
        <v>89</v>
      </c>
      <c r="L5" t="s">
        <v>89</v>
      </c>
      <c r="M5" t="s">
        <v>89</v>
      </c>
      <c r="N5" t="s">
        <v>89</v>
      </c>
      <c r="O5" t="s">
        <v>1443</v>
      </c>
      <c r="P5" t="s">
        <v>89</v>
      </c>
      <c r="Q5" t="s">
        <v>2207</v>
      </c>
      <c r="R5" t="s">
        <v>1515</v>
      </c>
      <c r="S5" t="s">
        <v>93</v>
      </c>
      <c r="T5" t="s">
        <v>1240</v>
      </c>
      <c r="U5" t="s">
        <v>89</v>
      </c>
      <c r="V5" t="s">
        <v>89</v>
      </c>
      <c r="W5" t="s">
        <v>1439</v>
      </c>
      <c r="X5" t="s">
        <v>160</v>
      </c>
      <c r="Y5" t="s">
        <v>2208</v>
      </c>
      <c r="Z5" t="s">
        <v>1634</v>
      </c>
      <c r="AA5" t="s">
        <v>93</v>
      </c>
      <c r="AB5" t="s">
        <v>1235</v>
      </c>
      <c r="AC5" t="s">
        <v>2209</v>
      </c>
      <c r="AF5">
        <f>Tabela3[[#This Row],[kan_params]]*1</f>
        <v>1075</v>
      </c>
      <c r="AG5">
        <f>1*Tabela3[[#This Row],[kan_test_acc]]</f>
        <v>1</v>
      </c>
      <c r="AH5">
        <f>1*Tabela3[[#This Row],[mlp_test_acc]]</f>
        <v>1</v>
      </c>
      <c r="AI5">
        <f>1*Tabela3[[#This Row],[mlp2_test_acc]]</f>
        <v>1</v>
      </c>
    </row>
    <row r="6" spans="1:35" x14ac:dyDescent="0.25">
      <c r="A6" t="s">
        <v>44</v>
      </c>
      <c r="B6" t="s">
        <v>78</v>
      </c>
      <c r="C6" t="s">
        <v>79</v>
      </c>
      <c r="D6" t="s">
        <v>79</v>
      </c>
      <c r="E6" t="s">
        <v>80</v>
      </c>
      <c r="F6" t="s">
        <v>45</v>
      </c>
      <c r="G6" t="s">
        <v>1433</v>
      </c>
      <c r="H6" t="s">
        <v>1434</v>
      </c>
      <c r="I6" t="s">
        <v>1435</v>
      </c>
      <c r="J6" t="s">
        <v>1436</v>
      </c>
      <c r="K6" t="s">
        <v>89</v>
      </c>
      <c r="L6" t="s">
        <v>1437</v>
      </c>
      <c r="M6" t="s">
        <v>1438</v>
      </c>
      <c r="N6" t="s">
        <v>89</v>
      </c>
      <c r="O6" t="s">
        <v>1439</v>
      </c>
      <c r="P6" t="s">
        <v>1440</v>
      </c>
      <c r="Q6" t="s">
        <v>1441</v>
      </c>
      <c r="R6" t="s">
        <v>1442</v>
      </c>
      <c r="S6" t="s">
        <v>93</v>
      </c>
      <c r="T6" t="s">
        <v>1255</v>
      </c>
      <c r="U6" t="s">
        <v>1438</v>
      </c>
      <c r="V6" t="s">
        <v>89</v>
      </c>
      <c r="W6" t="s">
        <v>1443</v>
      </c>
      <c r="X6" t="s">
        <v>1444</v>
      </c>
      <c r="Y6" t="s">
        <v>1445</v>
      </c>
      <c r="Z6" t="s">
        <v>1446</v>
      </c>
      <c r="AA6" t="s">
        <v>93</v>
      </c>
      <c r="AB6" t="s">
        <v>1247</v>
      </c>
      <c r="AC6" t="s">
        <v>1447</v>
      </c>
      <c r="AF6">
        <f>Tabela3[[#This Row],[kan_params]]*1</f>
        <v>1489</v>
      </c>
      <c r="AG6">
        <f>1*Tabela3[[#This Row],[kan_test_acc]]</f>
        <v>0.97368419170379605</v>
      </c>
      <c r="AH6">
        <f>1*Tabela3[[#This Row],[mlp_test_acc]]</f>
        <v>0.97368421052631504</v>
      </c>
      <c r="AI6">
        <f>1*Tabela3[[#This Row],[mlp2_test_acc]]</f>
        <v>0.97368421052631504</v>
      </c>
    </row>
    <row r="7" spans="1:35" x14ac:dyDescent="0.25">
      <c r="A7" t="s">
        <v>44</v>
      </c>
      <c r="B7" t="s">
        <v>78</v>
      </c>
      <c r="C7" t="s">
        <v>79</v>
      </c>
      <c r="D7" t="s">
        <v>79</v>
      </c>
      <c r="E7" t="s">
        <v>80</v>
      </c>
      <c r="F7" t="s">
        <v>46</v>
      </c>
      <c r="G7" t="s">
        <v>1448</v>
      </c>
      <c r="H7" t="s">
        <v>1449</v>
      </c>
      <c r="I7" t="s">
        <v>1435</v>
      </c>
      <c r="J7" t="s">
        <v>1450</v>
      </c>
      <c r="K7" t="s">
        <v>89</v>
      </c>
      <c r="L7" t="s">
        <v>1437</v>
      </c>
      <c r="M7" t="s">
        <v>1438</v>
      </c>
      <c r="N7" t="s">
        <v>89</v>
      </c>
      <c r="O7" t="s">
        <v>1443</v>
      </c>
      <c r="P7" t="s">
        <v>1396</v>
      </c>
      <c r="Q7" t="s">
        <v>1451</v>
      </c>
      <c r="R7" t="s">
        <v>1452</v>
      </c>
      <c r="S7" t="s">
        <v>93</v>
      </c>
      <c r="T7" t="s">
        <v>1453</v>
      </c>
      <c r="U7" t="s">
        <v>1438</v>
      </c>
      <c r="V7" t="s">
        <v>89</v>
      </c>
      <c r="W7" t="s">
        <v>1439</v>
      </c>
      <c r="X7" t="s">
        <v>1454</v>
      </c>
      <c r="Y7" t="s">
        <v>1455</v>
      </c>
      <c r="Z7" t="s">
        <v>1456</v>
      </c>
      <c r="AA7" t="s">
        <v>93</v>
      </c>
      <c r="AB7" t="s">
        <v>1320</v>
      </c>
      <c r="AC7" t="s">
        <v>1457</v>
      </c>
      <c r="AF7">
        <f>Tabela3[[#This Row],[kan_params]]*1</f>
        <v>2534</v>
      </c>
      <c r="AG7">
        <f>1*Tabela3[[#This Row],[kan_test_acc]]</f>
        <v>0.97368419170379605</v>
      </c>
      <c r="AH7">
        <f>1*Tabela3[[#This Row],[mlp_test_acc]]</f>
        <v>0.97368421052631504</v>
      </c>
      <c r="AI7">
        <f>1*Tabela3[[#This Row],[mlp2_test_acc]]</f>
        <v>0.97368421052631504</v>
      </c>
    </row>
    <row r="8" spans="1:35" x14ac:dyDescent="0.25">
      <c r="A8" t="s">
        <v>44</v>
      </c>
      <c r="B8" t="s">
        <v>78</v>
      </c>
      <c r="C8" t="s">
        <v>79</v>
      </c>
      <c r="D8" t="s">
        <v>79</v>
      </c>
      <c r="E8" t="s">
        <v>80</v>
      </c>
      <c r="F8" t="s">
        <v>47</v>
      </c>
      <c r="G8" t="s">
        <v>1458</v>
      </c>
      <c r="H8" t="s">
        <v>1459</v>
      </c>
      <c r="I8" t="s">
        <v>1435</v>
      </c>
      <c r="J8" t="s">
        <v>1450</v>
      </c>
      <c r="K8" t="s">
        <v>89</v>
      </c>
      <c r="L8" t="s">
        <v>1437</v>
      </c>
      <c r="M8" t="s">
        <v>1438</v>
      </c>
      <c r="N8" t="s">
        <v>89</v>
      </c>
      <c r="O8" t="s">
        <v>1439</v>
      </c>
      <c r="P8" t="s">
        <v>1460</v>
      </c>
      <c r="Q8" t="s">
        <v>1461</v>
      </c>
      <c r="R8" t="s">
        <v>1462</v>
      </c>
      <c r="S8" t="s">
        <v>93</v>
      </c>
      <c r="T8" t="s">
        <v>1303</v>
      </c>
      <c r="U8" t="s">
        <v>1463</v>
      </c>
      <c r="V8" t="s">
        <v>89</v>
      </c>
      <c r="W8" t="s">
        <v>1439</v>
      </c>
      <c r="X8" t="s">
        <v>1464</v>
      </c>
      <c r="Y8" t="s">
        <v>1465</v>
      </c>
      <c r="Z8" t="s">
        <v>1466</v>
      </c>
      <c r="AA8" t="s">
        <v>93</v>
      </c>
      <c r="AB8" t="s">
        <v>1222</v>
      </c>
      <c r="AC8" t="s">
        <v>1467</v>
      </c>
      <c r="AF8">
        <f>Tabela3[[#This Row],[kan_params]]*1</f>
        <v>1747</v>
      </c>
      <c r="AG8">
        <f>1*Tabela3[[#This Row],[kan_test_acc]]</f>
        <v>0.97368419170379605</v>
      </c>
      <c r="AH8">
        <f>1*Tabela3[[#This Row],[mlp_test_acc]]</f>
        <v>0.97368421052631504</v>
      </c>
      <c r="AI8">
        <f>1*Tabela3[[#This Row],[mlp2_test_acc]]</f>
        <v>0.94736842105263097</v>
      </c>
    </row>
    <row r="9" spans="1:35" x14ac:dyDescent="0.25">
      <c r="A9" t="s">
        <v>44</v>
      </c>
      <c r="B9" t="s">
        <v>78</v>
      </c>
      <c r="C9" t="s">
        <v>79</v>
      </c>
      <c r="D9" t="s">
        <v>79</v>
      </c>
      <c r="E9" t="s">
        <v>80</v>
      </c>
      <c r="F9" t="s">
        <v>48</v>
      </c>
      <c r="G9" t="s">
        <v>1468</v>
      </c>
      <c r="H9" t="s">
        <v>1469</v>
      </c>
      <c r="I9" t="s">
        <v>1435</v>
      </c>
      <c r="J9" t="s">
        <v>1436</v>
      </c>
      <c r="K9" t="s">
        <v>89</v>
      </c>
      <c r="L9" t="s">
        <v>1437</v>
      </c>
      <c r="M9" t="s">
        <v>1438</v>
      </c>
      <c r="N9" t="s">
        <v>89</v>
      </c>
      <c r="O9" t="s">
        <v>1439</v>
      </c>
      <c r="P9" t="s">
        <v>1470</v>
      </c>
      <c r="Q9" t="s">
        <v>1471</v>
      </c>
      <c r="R9" t="s">
        <v>1472</v>
      </c>
      <c r="S9" t="s">
        <v>93</v>
      </c>
      <c r="T9" t="s">
        <v>1473</v>
      </c>
      <c r="U9" t="s">
        <v>1438</v>
      </c>
      <c r="V9" t="s">
        <v>89</v>
      </c>
      <c r="W9" t="s">
        <v>1474</v>
      </c>
      <c r="X9" t="s">
        <v>1475</v>
      </c>
      <c r="Y9" t="s">
        <v>1476</v>
      </c>
      <c r="Z9" t="s">
        <v>1477</v>
      </c>
      <c r="AA9" t="s">
        <v>93</v>
      </c>
      <c r="AB9" t="s">
        <v>1309</v>
      </c>
      <c r="AC9" t="s">
        <v>1478</v>
      </c>
      <c r="AF9">
        <f>Tabela3[[#This Row],[kan_params]]*1</f>
        <v>2952</v>
      </c>
      <c r="AG9">
        <f>1*Tabela3[[#This Row],[kan_test_acc]]</f>
        <v>0.97368419170379605</v>
      </c>
      <c r="AH9">
        <f>1*Tabela3[[#This Row],[mlp_test_acc]]</f>
        <v>0.97368421052631504</v>
      </c>
      <c r="AI9">
        <f>1*Tabela3[[#This Row],[mlp2_test_acc]]</f>
        <v>0.97368421052631504</v>
      </c>
    </row>
    <row r="10" spans="1:35" x14ac:dyDescent="0.25">
      <c r="A10" t="s">
        <v>44</v>
      </c>
      <c r="B10" t="s">
        <v>78</v>
      </c>
      <c r="C10" t="s">
        <v>79</v>
      </c>
      <c r="D10" t="s">
        <v>79</v>
      </c>
      <c r="E10" t="s">
        <v>80</v>
      </c>
      <c r="F10" t="s">
        <v>49</v>
      </c>
      <c r="G10" t="s">
        <v>1479</v>
      </c>
      <c r="H10" t="s">
        <v>1480</v>
      </c>
      <c r="I10" t="s">
        <v>1435</v>
      </c>
      <c r="J10" t="s">
        <v>1450</v>
      </c>
      <c r="K10" t="s">
        <v>89</v>
      </c>
      <c r="L10" t="s">
        <v>1437</v>
      </c>
      <c r="M10" t="s">
        <v>1438</v>
      </c>
      <c r="N10" t="s">
        <v>89</v>
      </c>
      <c r="O10" t="s">
        <v>1443</v>
      </c>
      <c r="P10" t="s">
        <v>1481</v>
      </c>
      <c r="Q10" t="s">
        <v>1482</v>
      </c>
      <c r="R10" t="s">
        <v>305</v>
      </c>
      <c r="S10" t="s">
        <v>93</v>
      </c>
      <c r="T10" t="s">
        <v>1483</v>
      </c>
      <c r="U10" t="s">
        <v>1438</v>
      </c>
      <c r="V10" t="s">
        <v>89</v>
      </c>
      <c r="W10" t="s">
        <v>1484</v>
      </c>
      <c r="X10" t="s">
        <v>1485</v>
      </c>
      <c r="Y10" t="s">
        <v>1486</v>
      </c>
      <c r="Z10" t="s">
        <v>1487</v>
      </c>
      <c r="AA10" t="s">
        <v>93</v>
      </c>
      <c r="AB10" t="s">
        <v>645</v>
      </c>
      <c r="AC10" t="s">
        <v>1488</v>
      </c>
      <c r="AF10">
        <f>Tabela3[[#This Row],[kan_params]]*1</f>
        <v>342</v>
      </c>
      <c r="AG10">
        <f>1*Tabela3[[#This Row],[kan_test_acc]]</f>
        <v>0.97368419170379605</v>
      </c>
      <c r="AH10">
        <f>1*Tabela3[[#This Row],[mlp_test_acc]]</f>
        <v>0.97368421052631504</v>
      </c>
      <c r="AI10">
        <f>1*Tabela3[[#This Row],[mlp2_test_acc]]</f>
        <v>0.97368421052631504</v>
      </c>
    </row>
    <row r="11" spans="1:35" x14ac:dyDescent="0.25">
      <c r="A11" t="s">
        <v>44</v>
      </c>
      <c r="B11" t="s">
        <v>78</v>
      </c>
      <c r="C11" t="s">
        <v>79</v>
      </c>
      <c r="D11" t="s">
        <v>79</v>
      </c>
      <c r="E11" t="s">
        <v>80</v>
      </c>
      <c r="F11" t="s">
        <v>51</v>
      </c>
      <c r="G11" t="s">
        <v>1499</v>
      </c>
      <c r="H11" t="s">
        <v>1500</v>
      </c>
      <c r="I11" t="s">
        <v>1435</v>
      </c>
      <c r="J11" t="s">
        <v>1501</v>
      </c>
      <c r="K11" t="s">
        <v>89</v>
      </c>
      <c r="L11" t="s">
        <v>1437</v>
      </c>
      <c r="M11" t="s">
        <v>1438</v>
      </c>
      <c r="N11" t="s">
        <v>89</v>
      </c>
      <c r="O11" t="s">
        <v>1443</v>
      </c>
      <c r="P11" t="s">
        <v>1502</v>
      </c>
      <c r="Q11" t="s">
        <v>1503</v>
      </c>
      <c r="R11" t="s">
        <v>1504</v>
      </c>
      <c r="S11" t="s">
        <v>93</v>
      </c>
      <c r="T11" t="s">
        <v>1400</v>
      </c>
      <c r="U11" t="s">
        <v>1438</v>
      </c>
      <c r="V11" t="s">
        <v>89</v>
      </c>
      <c r="W11" t="s">
        <v>1439</v>
      </c>
      <c r="X11" t="s">
        <v>1505</v>
      </c>
      <c r="Y11" t="s">
        <v>1506</v>
      </c>
      <c r="Z11" t="s">
        <v>1507</v>
      </c>
      <c r="AA11" t="s">
        <v>93</v>
      </c>
      <c r="AB11" t="s">
        <v>1337</v>
      </c>
      <c r="AC11" t="s">
        <v>1508</v>
      </c>
      <c r="AF11">
        <f>Tabela3[[#This Row],[kan_params]]*1</f>
        <v>1280</v>
      </c>
      <c r="AG11">
        <f>1*Tabela3[[#This Row],[kan_test_acc]]</f>
        <v>0.97368419170379605</v>
      </c>
      <c r="AH11">
        <f>1*Tabela3[[#This Row],[mlp_test_acc]]</f>
        <v>0.97368421052631504</v>
      </c>
      <c r="AI11">
        <f>1*Tabela3[[#This Row],[mlp2_test_acc]]</f>
        <v>0.97368421052631504</v>
      </c>
    </row>
    <row r="12" spans="1:35" x14ac:dyDescent="0.25">
      <c r="A12" t="s">
        <v>44</v>
      </c>
      <c r="B12" t="s">
        <v>78</v>
      </c>
      <c r="C12" t="s">
        <v>79</v>
      </c>
      <c r="D12" t="s">
        <v>79</v>
      </c>
      <c r="E12" t="s">
        <v>80</v>
      </c>
      <c r="F12" t="s">
        <v>52</v>
      </c>
      <c r="G12" t="s">
        <v>408</v>
      </c>
      <c r="H12" t="s">
        <v>1509</v>
      </c>
      <c r="I12" t="s">
        <v>1435</v>
      </c>
      <c r="J12" t="s">
        <v>1450</v>
      </c>
      <c r="K12" t="s">
        <v>89</v>
      </c>
      <c r="L12" t="s">
        <v>1437</v>
      </c>
      <c r="M12" t="s">
        <v>1438</v>
      </c>
      <c r="N12" t="s">
        <v>89</v>
      </c>
      <c r="O12" t="s">
        <v>1443</v>
      </c>
      <c r="P12" t="s">
        <v>1510</v>
      </c>
      <c r="Q12" t="s">
        <v>1511</v>
      </c>
      <c r="R12" t="s">
        <v>1512</v>
      </c>
      <c r="S12" t="s">
        <v>93</v>
      </c>
      <c r="T12" t="s">
        <v>1231</v>
      </c>
      <c r="U12" t="s">
        <v>1438</v>
      </c>
      <c r="V12" t="s">
        <v>89</v>
      </c>
      <c r="W12" t="s">
        <v>1443</v>
      </c>
      <c r="X12" t="s">
        <v>1513</v>
      </c>
      <c r="Y12" t="s">
        <v>1514</v>
      </c>
      <c r="Z12" t="s">
        <v>1515</v>
      </c>
      <c r="AA12" t="s">
        <v>93</v>
      </c>
      <c r="AB12" t="s">
        <v>1240</v>
      </c>
      <c r="AC12" t="s">
        <v>1516</v>
      </c>
      <c r="AF12">
        <f>Tabela3[[#This Row],[kan_params]]*1</f>
        <v>973</v>
      </c>
      <c r="AG12">
        <f>1*Tabela3[[#This Row],[kan_test_acc]]</f>
        <v>0.97368419170379605</v>
      </c>
      <c r="AH12">
        <f>1*Tabela3[[#This Row],[mlp_test_acc]]</f>
        <v>0.97368421052631504</v>
      </c>
      <c r="AI12">
        <f>1*Tabela3[[#This Row],[mlp2_test_acc]]</f>
        <v>0.97368421052631504</v>
      </c>
    </row>
    <row r="13" spans="1:35" x14ac:dyDescent="0.25">
      <c r="A13" t="s">
        <v>44</v>
      </c>
      <c r="B13" t="s">
        <v>78</v>
      </c>
      <c r="C13" t="s">
        <v>79</v>
      </c>
      <c r="D13" t="s">
        <v>79</v>
      </c>
      <c r="E13" t="s">
        <v>80</v>
      </c>
      <c r="F13" t="s">
        <v>54</v>
      </c>
      <c r="G13" t="s">
        <v>1525</v>
      </c>
      <c r="H13" t="s">
        <v>1526</v>
      </c>
      <c r="I13" t="s">
        <v>1435</v>
      </c>
      <c r="J13" t="s">
        <v>1519</v>
      </c>
      <c r="K13" t="s">
        <v>89</v>
      </c>
      <c r="L13" t="s">
        <v>1437</v>
      </c>
      <c r="M13" t="s">
        <v>1438</v>
      </c>
      <c r="N13" t="s">
        <v>89</v>
      </c>
      <c r="O13" t="s">
        <v>1439</v>
      </c>
      <c r="P13" t="s">
        <v>1527</v>
      </c>
      <c r="Q13" t="s">
        <v>1528</v>
      </c>
      <c r="R13" t="s">
        <v>1529</v>
      </c>
      <c r="S13" t="s">
        <v>93</v>
      </c>
      <c r="T13" t="s">
        <v>1226</v>
      </c>
      <c r="U13" t="s">
        <v>1463</v>
      </c>
      <c r="V13" t="s">
        <v>89</v>
      </c>
      <c r="W13" t="s">
        <v>1443</v>
      </c>
      <c r="X13" t="s">
        <v>1530</v>
      </c>
      <c r="Y13" t="s">
        <v>1531</v>
      </c>
      <c r="Z13" t="s">
        <v>1512</v>
      </c>
      <c r="AA13" t="s">
        <v>93</v>
      </c>
      <c r="AB13" t="s">
        <v>1231</v>
      </c>
      <c r="AC13" t="s">
        <v>1532</v>
      </c>
      <c r="AF13">
        <f>Tabela3[[#This Row],[kan_params]]*1</f>
        <v>907</v>
      </c>
      <c r="AG13">
        <f>1*Tabela3[[#This Row],[kan_test_acc]]</f>
        <v>0.97368419170379605</v>
      </c>
      <c r="AH13">
        <f>1*Tabela3[[#This Row],[mlp_test_acc]]</f>
        <v>0.97368421052631504</v>
      </c>
      <c r="AI13">
        <f>1*Tabela3[[#This Row],[mlp2_test_acc]]</f>
        <v>0.94736842105263097</v>
      </c>
    </row>
    <row r="14" spans="1:35" x14ac:dyDescent="0.25">
      <c r="A14" t="s">
        <v>44</v>
      </c>
      <c r="B14" t="s">
        <v>273</v>
      </c>
      <c r="C14" t="s">
        <v>79</v>
      </c>
      <c r="D14" t="s">
        <v>274</v>
      </c>
      <c r="E14" t="s">
        <v>80</v>
      </c>
      <c r="F14" t="s">
        <v>45</v>
      </c>
      <c r="G14" t="s">
        <v>1773</v>
      </c>
      <c r="H14" t="s">
        <v>1774</v>
      </c>
      <c r="I14" t="s">
        <v>1435</v>
      </c>
      <c r="J14" t="s">
        <v>1450</v>
      </c>
      <c r="K14" t="s">
        <v>89</v>
      </c>
      <c r="L14" t="s">
        <v>1437</v>
      </c>
      <c r="M14" t="s">
        <v>1463</v>
      </c>
      <c r="N14" t="s">
        <v>89</v>
      </c>
      <c r="O14" t="s">
        <v>1775</v>
      </c>
      <c r="P14" t="s">
        <v>706</v>
      </c>
      <c r="Q14" t="s">
        <v>1776</v>
      </c>
      <c r="R14" t="s">
        <v>1504</v>
      </c>
      <c r="S14" t="s">
        <v>93</v>
      </c>
      <c r="T14" t="s">
        <v>1400</v>
      </c>
      <c r="U14" t="s">
        <v>1438</v>
      </c>
      <c r="V14" t="s">
        <v>89</v>
      </c>
      <c r="W14" t="s">
        <v>1443</v>
      </c>
      <c r="X14" t="s">
        <v>1777</v>
      </c>
      <c r="Y14" t="s">
        <v>1778</v>
      </c>
      <c r="Z14" t="s">
        <v>1507</v>
      </c>
      <c r="AA14" t="s">
        <v>93</v>
      </c>
      <c r="AB14" t="s">
        <v>1337</v>
      </c>
      <c r="AC14" t="s">
        <v>1779</v>
      </c>
      <c r="AF14">
        <f>Tabela3[[#This Row],[kan_params]]*1</f>
        <v>1213</v>
      </c>
      <c r="AG14">
        <f>1*Tabela3[[#This Row],[kan_test_acc]]</f>
        <v>0.97368419170379605</v>
      </c>
      <c r="AH14">
        <f>1*Tabela3[[#This Row],[mlp_test_acc]]</f>
        <v>0.94736842105263097</v>
      </c>
      <c r="AI14">
        <f>1*Tabela3[[#This Row],[mlp2_test_acc]]</f>
        <v>0.97368421052631504</v>
      </c>
    </row>
    <row r="15" spans="1:35" x14ac:dyDescent="0.25">
      <c r="A15" t="s">
        <v>44</v>
      </c>
      <c r="B15" t="s">
        <v>273</v>
      </c>
      <c r="C15" t="s">
        <v>79</v>
      </c>
      <c r="D15" t="s">
        <v>274</v>
      </c>
      <c r="E15" t="s">
        <v>80</v>
      </c>
      <c r="F15" t="s">
        <v>46</v>
      </c>
      <c r="G15" t="s">
        <v>1780</v>
      </c>
      <c r="H15" t="s">
        <v>1781</v>
      </c>
      <c r="I15" t="s">
        <v>1435</v>
      </c>
      <c r="J15" t="s">
        <v>1450</v>
      </c>
      <c r="K15" t="s">
        <v>89</v>
      </c>
      <c r="L15" t="s">
        <v>1437</v>
      </c>
      <c r="M15" t="s">
        <v>1438</v>
      </c>
      <c r="N15" t="s">
        <v>89</v>
      </c>
      <c r="O15" t="s">
        <v>1443</v>
      </c>
      <c r="P15" t="s">
        <v>1782</v>
      </c>
      <c r="Q15" t="s">
        <v>1783</v>
      </c>
      <c r="R15" t="s">
        <v>1577</v>
      </c>
      <c r="S15" t="s">
        <v>93</v>
      </c>
      <c r="T15" t="s">
        <v>1578</v>
      </c>
      <c r="U15" t="s">
        <v>1438</v>
      </c>
      <c r="V15" t="s">
        <v>89</v>
      </c>
      <c r="W15" t="s">
        <v>1443</v>
      </c>
      <c r="X15" t="s">
        <v>1784</v>
      </c>
      <c r="Y15" t="s">
        <v>1785</v>
      </c>
      <c r="Z15" t="s">
        <v>1545</v>
      </c>
      <c r="AA15" t="s">
        <v>93</v>
      </c>
      <c r="AB15" t="s">
        <v>1311</v>
      </c>
      <c r="AC15" t="s">
        <v>1786</v>
      </c>
      <c r="AF15">
        <f>Tabela3[[#This Row],[kan_params]]*1</f>
        <v>2063</v>
      </c>
      <c r="AG15">
        <f>1*Tabela3[[#This Row],[kan_test_acc]]</f>
        <v>0.97368419170379605</v>
      </c>
      <c r="AH15">
        <f>1*Tabela3[[#This Row],[mlp_test_acc]]</f>
        <v>0.97368421052631504</v>
      </c>
      <c r="AI15">
        <f>1*Tabela3[[#This Row],[mlp2_test_acc]]</f>
        <v>0.97368421052631504</v>
      </c>
    </row>
    <row r="16" spans="1:35" x14ac:dyDescent="0.25">
      <c r="A16" t="s">
        <v>44</v>
      </c>
      <c r="B16" t="s">
        <v>273</v>
      </c>
      <c r="C16" t="s">
        <v>79</v>
      </c>
      <c r="D16" t="s">
        <v>274</v>
      </c>
      <c r="E16" t="s">
        <v>80</v>
      </c>
      <c r="F16" t="s">
        <v>47</v>
      </c>
      <c r="G16" t="s">
        <v>1787</v>
      </c>
      <c r="H16" t="s">
        <v>1788</v>
      </c>
      <c r="I16" t="s">
        <v>1435</v>
      </c>
      <c r="J16" t="s">
        <v>1519</v>
      </c>
      <c r="K16" t="s">
        <v>89</v>
      </c>
      <c r="L16" t="s">
        <v>1437</v>
      </c>
      <c r="M16" t="s">
        <v>1438</v>
      </c>
      <c r="N16" t="s">
        <v>89</v>
      </c>
      <c r="O16" t="s">
        <v>1439</v>
      </c>
      <c r="P16" t="s">
        <v>1789</v>
      </c>
      <c r="Q16" t="s">
        <v>1790</v>
      </c>
      <c r="R16" t="s">
        <v>1442</v>
      </c>
      <c r="S16" t="s">
        <v>93</v>
      </c>
      <c r="T16" t="s">
        <v>1255</v>
      </c>
      <c r="U16" t="s">
        <v>1438</v>
      </c>
      <c r="V16" t="s">
        <v>89</v>
      </c>
      <c r="W16" t="s">
        <v>1443</v>
      </c>
      <c r="X16" t="s">
        <v>1791</v>
      </c>
      <c r="Y16" t="s">
        <v>1792</v>
      </c>
      <c r="Z16" t="s">
        <v>1446</v>
      </c>
      <c r="AA16" t="s">
        <v>93</v>
      </c>
      <c r="AB16" t="s">
        <v>1247</v>
      </c>
      <c r="AC16" t="s">
        <v>1793</v>
      </c>
      <c r="AF16">
        <f>Tabela3[[#This Row],[kan_params]]*1</f>
        <v>1423</v>
      </c>
      <c r="AG16">
        <f>1*Tabela3[[#This Row],[kan_test_acc]]</f>
        <v>0.97368419170379605</v>
      </c>
      <c r="AH16">
        <f>1*Tabela3[[#This Row],[mlp_test_acc]]</f>
        <v>0.97368421052631504</v>
      </c>
      <c r="AI16">
        <f>1*Tabela3[[#This Row],[mlp2_test_acc]]</f>
        <v>0.97368421052631504</v>
      </c>
    </row>
    <row r="17" spans="1:35" x14ac:dyDescent="0.25">
      <c r="A17" t="s">
        <v>44</v>
      </c>
      <c r="B17" t="s">
        <v>273</v>
      </c>
      <c r="C17" t="s">
        <v>79</v>
      </c>
      <c r="D17" t="s">
        <v>274</v>
      </c>
      <c r="E17" t="s">
        <v>80</v>
      </c>
      <c r="F17" t="s">
        <v>48</v>
      </c>
      <c r="G17" t="s">
        <v>1794</v>
      </c>
      <c r="H17" t="s">
        <v>1795</v>
      </c>
      <c r="I17" t="s">
        <v>1435</v>
      </c>
      <c r="J17" t="s">
        <v>1450</v>
      </c>
      <c r="K17" t="s">
        <v>89</v>
      </c>
      <c r="L17" t="s">
        <v>1437</v>
      </c>
      <c r="M17" t="s">
        <v>1438</v>
      </c>
      <c r="N17" t="s">
        <v>89</v>
      </c>
      <c r="O17" t="s">
        <v>1443</v>
      </c>
      <c r="P17" t="s">
        <v>1796</v>
      </c>
      <c r="Q17" t="s">
        <v>1797</v>
      </c>
      <c r="R17" t="s">
        <v>1670</v>
      </c>
      <c r="S17" t="s">
        <v>93</v>
      </c>
      <c r="T17" t="s">
        <v>1671</v>
      </c>
      <c r="U17" t="s">
        <v>1438</v>
      </c>
      <c r="V17" t="s">
        <v>89</v>
      </c>
      <c r="W17" t="s">
        <v>1443</v>
      </c>
      <c r="X17" t="s">
        <v>1798</v>
      </c>
      <c r="Y17" t="s">
        <v>1799</v>
      </c>
      <c r="Z17" t="s">
        <v>1452</v>
      </c>
      <c r="AA17" t="s">
        <v>93</v>
      </c>
      <c r="AB17" t="s">
        <v>1453</v>
      </c>
      <c r="AC17" t="s">
        <v>1800</v>
      </c>
      <c r="AF17">
        <f>Tabela3[[#This Row],[kan_params]]*1</f>
        <v>2403</v>
      </c>
      <c r="AG17">
        <f>1*Tabela3[[#This Row],[kan_test_acc]]</f>
        <v>0.97368419170379605</v>
      </c>
      <c r="AH17">
        <f>1*Tabela3[[#This Row],[mlp_test_acc]]</f>
        <v>0.97368421052631504</v>
      </c>
      <c r="AI17">
        <f>1*Tabela3[[#This Row],[mlp2_test_acc]]</f>
        <v>0.97368421052631504</v>
      </c>
    </row>
    <row r="18" spans="1:35" x14ac:dyDescent="0.25">
      <c r="A18" t="s">
        <v>44</v>
      </c>
      <c r="B18" t="s">
        <v>273</v>
      </c>
      <c r="C18" t="s">
        <v>79</v>
      </c>
      <c r="D18" t="s">
        <v>274</v>
      </c>
      <c r="E18" t="s">
        <v>80</v>
      </c>
      <c r="F18" t="s">
        <v>49</v>
      </c>
      <c r="G18" t="s">
        <v>1470</v>
      </c>
      <c r="H18" t="s">
        <v>1801</v>
      </c>
      <c r="I18" t="s">
        <v>1435</v>
      </c>
      <c r="J18" t="s">
        <v>1450</v>
      </c>
      <c r="K18" t="s">
        <v>89</v>
      </c>
      <c r="L18" t="s">
        <v>1437</v>
      </c>
      <c r="M18" t="s">
        <v>1438</v>
      </c>
      <c r="N18" t="s">
        <v>89</v>
      </c>
      <c r="O18" t="s">
        <v>1443</v>
      </c>
      <c r="P18" t="s">
        <v>1802</v>
      </c>
      <c r="Q18" t="s">
        <v>1803</v>
      </c>
      <c r="R18" t="s">
        <v>1798</v>
      </c>
      <c r="S18" t="s">
        <v>93</v>
      </c>
      <c r="T18" t="s">
        <v>1804</v>
      </c>
      <c r="U18" t="s">
        <v>1438</v>
      </c>
      <c r="V18" t="s">
        <v>89</v>
      </c>
      <c r="W18" t="s">
        <v>1443</v>
      </c>
      <c r="X18" t="s">
        <v>1805</v>
      </c>
      <c r="Y18" t="s">
        <v>1806</v>
      </c>
      <c r="Z18" t="s">
        <v>305</v>
      </c>
      <c r="AA18" t="s">
        <v>93</v>
      </c>
      <c r="AB18" t="s">
        <v>1483</v>
      </c>
      <c r="AC18" t="s">
        <v>1807</v>
      </c>
      <c r="AF18">
        <f>Tabela3[[#This Row],[kan_params]]*1</f>
        <v>279</v>
      </c>
      <c r="AG18">
        <f>1*Tabela3[[#This Row],[kan_test_acc]]</f>
        <v>0.97368419170379605</v>
      </c>
      <c r="AH18">
        <f>1*Tabela3[[#This Row],[mlp_test_acc]]</f>
        <v>0.97368421052631504</v>
      </c>
      <c r="AI18">
        <f>1*Tabela3[[#This Row],[mlp2_test_acc]]</f>
        <v>0.97368421052631504</v>
      </c>
    </row>
    <row r="19" spans="1:35" x14ac:dyDescent="0.25">
      <c r="A19" t="s">
        <v>44</v>
      </c>
      <c r="B19" t="s">
        <v>273</v>
      </c>
      <c r="C19" t="s">
        <v>79</v>
      </c>
      <c r="D19" t="s">
        <v>274</v>
      </c>
      <c r="E19" t="s">
        <v>80</v>
      </c>
      <c r="F19" t="s">
        <v>50</v>
      </c>
      <c r="G19" t="s">
        <v>1808</v>
      </c>
      <c r="H19" t="s">
        <v>1809</v>
      </c>
      <c r="I19" t="s">
        <v>1435</v>
      </c>
      <c r="J19" t="s">
        <v>1450</v>
      </c>
      <c r="K19" t="s">
        <v>89</v>
      </c>
      <c r="L19" t="s">
        <v>1437</v>
      </c>
      <c r="M19" t="s">
        <v>1438</v>
      </c>
      <c r="N19" t="s">
        <v>89</v>
      </c>
      <c r="O19" t="s">
        <v>1443</v>
      </c>
      <c r="P19" t="s">
        <v>1810</v>
      </c>
      <c r="Q19" t="s">
        <v>1811</v>
      </c>
      <c r="R19" t="s">
        <v>1812</v>
      </c>
      <c r="S19" t="s">
        <v>93</v>
      </c>
      <c r="T19" t="s">
        <v>626</v>
      </c>
      <c r="U19" t="s">
        <v>1438</v>
      </c>
      <c r="V19" t="s">
        <v>89</v>
      </c>
      <c r="W19" t="s">
        <v>1484</v>
      </c>
      <c r="X19" t="s">
        <v>1813</v>
      </c>
      <c r="Y19" t="s">
        <v>1814</v>
      </c>
      <c r="Z19" t="s">
        <v>1815</v>
      </c>
      <c r="AA19" t="s">
        <v>93</v>
      </c>
      <c r="AB19" t="s">
        <v>635</v>
      </c>
      <c r="AC19" t="s">
        <v>1816</v>
      </c>
      <c r="AF19">
        <f>Tabela3[[#This Row],[kan_params]]*1</f>
        <v>583</v>
      </c>
      <c r="AG19">
        <f>1*Tabela3[[#This Row],[kan_test_acc]]</f>
        <v>0.97368419170379605</v>
      </c>
      <c r="AH19">
        <f>1*Tabela3[[#This Row],[mlp_test_acc]]</f>
        <v>0.97368421052631504</v>
      </c>
      <c r="AI19">
        <f>1*Tabela3[[#This Row],[mlp2_test_acc]]</f>
        <v>0.97368421052631504</v>
      </c>
    </row>
    <row r="20" spans="1:35" x14ac:dyDescent="0.25">
      <c r="A20" t="s">
        <v>44</v>
      </c>
      <c r="B20" t="s">
        <v>273</v>
      </c>
      <c r="C20" t="s">
        <v>79</v>
      </c>
      <c r="D20" t="s">
        <v>274</v>
      </c>
      <c r="E20" t="s">
        <v>80</v>
      </c>
      <c r="F20" t="s">
        <v>51</v>
      </c>
      <c r="G20" t="s">
        <v>1817</v>
      </c>
      <c r="H20" t="s">
        <v>1818</v>
      </c>
      <c r="I20" t="s">
        <v>1435</v>
      </c>
      <c r="J20" t="s">
        <v>1436</v>
      </c>
      <c r="K20" t="s">
        <v>89</v>
      </c>
      <c r="L20" t="s">
        <v>1437</v>
      </c>
      <c r="M20" t="s">
        <v>1438</v>
      </c>
      <c r="N20" t="s">
        <v>89</v>
      </c>
      <c r="O20" t="s">
        <v>1443</v>
      </c>
      <c r="P20" t="s">
        <v>1819</v>
      </c>
      <c r="Q20" t="s">
        <v>1820</v>
      </c>
      <c r="R20" t="s">
        <v>1515</v>
      </c>
      <c r="S20" t="s">
        <v>93</v>
      </c>
      <c r="T20" t="s">
        <v>1240</v>
      </c>
      <c r="U20" t="s">
        <v>1438</v>
      </c>
      <c r="V20" t="s">
        <v>89</v>
      </c>
      <c r="W20" t="s">
        <v>1443</v>
      </c>
      <c r="X20" t="s">
        <v>1586</v>
      </c>
      <c r="Y20" t="s">
        <v>1821</v>
      </c>
      <c r="Z20" t="s">
        <v>1634</v>
      </c>
      <c r="AA20" t="s">
        <v>93</v>
      </c>
      <c r="AB20" t="s">
        <v>1235</v>
      </c>
      <c r="AC20" t="s">
        <v>1822</v>
      </c>
      <c r="AF20">
        <f>Tabela3[[#This Row],[kan_params]]*1</f>
        <v>1043</v>
      </c>
      <c r="AG20">
        <f>1*Tabela3[[#This Row],[kan_test_acc]]</f>
        <v>0.97368419170379605</v>
      </c>
      <c r="AH20">
        <f>1*Tabela3[[#This Row],[mlp_test_acc]]</f>
        <v>0.97368421052631504</v>
      </c>
      <c r="AI20">
        <f>1*Tabela3[[#This Row],[mlp2_test_acc]]</f>
        <v>0.97368421052631504</v>
      </c>
    </row>
    <row r="21" spans="1:35" x14ac:dyDescent="0.25">
      <c r="A21" t="s">
        <v>44</v>
      </c>
      <c r="B21" t="s">
        <v>273</v>
      </c>
      <c r="C21" t="s">
        <v>79</v>
      </c>
      <c r="D21" t="s">
        <v>274</v>
      </c>
      <c r="E21" t="s">
        <v>80</v>
      </c>
      <c r="F21" t="s">
        <v>52</v>
      </c>
      <c r="G21" t="s">
        <v>1823</v>
      </c>
      <c r="H21" t="s">
        <v>1824</v>
      </c>
      <c r="I21" t="s">
        <v>1435</v>
      </c>
      <c r="J21" t="s">
        <v>1450</v>
      </c>
      <c r="K21" t="s">
        <v>89</v>
      </c>
      <c r="L21" t="s">
        <v>1437</v>
      </c>
      <c r="M21" t="s">
        <v>1438</v>
      </c>
      <c r="N21" t="s">
        <v>89</v>
      </c>
      <c r="O21" t="s">
        <v>1443</v>
      </c>
      <c r="P21" t="s">
        <v>1825</v>
      </c>
      <c r="Q21" t="s">
        <v>1826</v>
      </c>
      <c r="R21" t="s">
        <v>1497</v>
      </c>
      <c r="S21" t="s">
        <v>93</v>
      </c>
      <c r="T21" t="s">
        <v>1250</v>
      </c>
      <c r="U21" t="s">
        <v>1438</v>
      </c>
      <c r="V21" t="s">
        <v>89</v>
      </c>
      <c r="W21" t="s">
        <v>1443</v>
      </c>
      <c r="X21" t="s">
        <v>1827</v>
      </c>
      <c r="Y21" t="s">
        <v>1828</v>
      </c>
      <c r="Z21" t="s">
        <v>1529</v>
      </c>
      <c r="AA21" t="s">
        <v>93</v>
      </c>
      <c r="AB21" t="s">
        <v>1226</v>
      </c>
      <c r="AC21" t="s">
        <v>1829</v>
      </c>
      <c r="AF21">
        <f>Tabela3[[#This Row],[kan_params]]*1</f>
        <v>793</v>
      </c>
      <c r="AG21">
        <f>1*Tabela3[[#This Row],[kan_test_acc]]</f>
        <v>0.97368419170379605</v>
      </c>
      <c r="AH21">
        <f>1*Tabela3[[#This Row],[mlp_test_acc]]</f>
        <v>0.97368421052631504</v>
      </c>
      <c r="AI21">
        <f>1*Tabela3[[#This Row],[mlp2_test_acc]]</f>
        <v>0.97368421052631504</v>
      </c>
    </row>
    <row r="22" spans="1:35" x14ac:dyDescent="0.25">
      <c r="A22" t="s">
        <v>44</v>
      </c>
      <c r="B22" t="s">
        <v>273</v>
      </c>
      <c r="C22" t="s">
        <v>79</v>
      </c>
      <c r="D22" t="s">
        <v>274</v>
      </c>
      <c r="E22" t="s">
        <v>80</v>
      </c>
      <c r="F22" t="s">
        <v>53</v>
      </c>
      <c r="G22" t="s">
        <v>1830</v>
      </c>
      <c r="H22" t="s">
        <v>1831</v>
      </c>
      <c r="I22" t="s">
        <v>1435</v>
      </c>
      <c r="J22" t="s">
        <v>1450</v>
      </c>
      <c r="K22" t="s">
        <v>89</v>
      </c>
      <c r="L22" t="s">
        <v>1437</v>
      </c>
      <c r="M22" t="s">
        <v>1438</v>
      </c>
      <c r="N22" t="s">
        <v>89</v>
      </c>
      <c r="O22" t="s">
        <v>1443</v>
      </c>
      <c r="P22" t="s">
        <v>1832</v>
      </c>
      <c r="Q22" t="s">
        <v>1833</v>
      </c>
      <c r="R22" t="s">
        <v>1507</v>
      </c>
      <c r="S22" t="s">
        <v>93</v>
      </c>
      <c r="T22" t="s">
        <v>1337</v>
      </c>
      <c r="U22" t="s">
        <v>1463</v>
      </c>
      <c r="V22" t="s">
        <v>89</v>
      </c>
      <c r="W22" t="s">
        <v>1443</v>
      </c>
      <c r="X22" t="s">
        <v>1834</v>
      </c>
      <c r="Y22" t="s">
        <v>1835</v>
      </c>
      <c r="Z22" t="s">
        <v>1442</v>
      </c>
      <c r="AA22" t="s">
        <v>93</v>
      </c>
      <c r="AB22" t="s">
        <v>1255</v>
      </c>
      <c r="AC22" t="s">
        <v>1836</v>
      </c>
      <c r="AF22">
        <f>Tabela3[[#This Row],[kan_params]]*1</f>
        <v>1383</v>
      </c>
      <c r="AG22">
        <f>1*Tabela3[[#This Row],[kan_test_acc]]</f>
        <v>0.97368419170379605</v>
      </c>
      <c r="AH22">
        <f>1*Tabela3[[#This Row],[mlp_test_acc]]</f>
        <v>0.97368421052631504</v>
      </c>
      <c r="AI22">
        <f>1*Tabela3[[#This Row],[mlp2_test_acc]]</f>
        <v>0.94736842105263097</v>
      </c>
    </row>
    <row r="23" spans="1:35" x14ac:dyDescent="0.25">
      <c r="A23" t="s">
        <v>44</v>
      </c>
      <c r="B23" t="s">
        <v>273</v>
      </c>
      <c r="C23" t="s">
        <v>79</v>
      </c>
      <c r="D23" t="s">
        <v>274</v>
      </c>
      <c r="E23" t="s">
        <v>80</v>
      </c>
      <c r="F23" t="s">
        <v>55</v>
      </c>
      <c r="G23" t="s">
        <v>1515</v>
      </c>
      <c r="H23" t="s">
        <v>1843</v>
      </c>
      <c r="I23" t="s">
        <v>1435</v>
      </c>
      <c r="J23" t="s">
        <v>1450</v>
      </c>
      <c r="K23" t="s">
        <v>89</v>
      </c>
      <c r="L23" t="s">
        <v>1437</v>
      </c>
      <c r="M23" t="s">
        <v>1438</v>
      </c>
      <c r="N23" t="s">
        <v>89</v>
      </c>
      <c r="O23" t="s">
        <v>1443</v>
      </c>
      <c r="P23" t="s">
        <v>1844</v>
      </c>
      <c r="Q23" t="s">
        <v>1845</v>
      </c>
      <c r="R23" t="s">
        <v>1512</v>
      </c>
      <c r="S23" t="s">
        <v>93</v>
      </c>
      <c r="T23" t="s">
        <v>1231</v>
      </c>
      <c r="U23" t="s">
        <v>1438</v>
      </c>
      <c r="V23" t="s">
        <v>89</v>
      </c>
      <c r="W23" t="s">
        <v>1443</v>
      </c>
      <c r="X23" t="s">
        <v>263</v>
      </c>
      <c r="Y23" t="s">
        <v>1846</v>
      </c>
      <c r="Z23" t="s">
        <v>1515</v>
      </c>
      <c r="AA23" t="s">
        <v>93</v>
      </c>
      <c r="AB23" t="s">
        <v>1240</v>
      </c>
      <c r="AC23" t="s">
        <v>1847</v>
      </c>
      <c r="AF23">
        <f>Tabela3[[#This Row],[kan_params]]*1</f>
        <v>1003</v>
      </c>
      <c r="AG23">
        <f>1*Tabela3[[#This Row],[kan_test_acc]]</f>
        <v>0.97368419170379605</v>
      </c>
      <c r="AH23">
        <f>1*Tabela3[[#This Row],[mlp_test_acc]]</f>
        <v>0.97368421052631504</v>
      </c>
      <c r="AI23">
        <f>1*Tabela3[[#This Row],[mlp2_test_acc]]</f>
        <v>0.97368421052631504</v>
      </c>
    </row>
    <row r="24" spans="1:35" x14ac:dyDescent="0.25">
      <c r="A24" t="s">
        <v>44</v>
      </c>
      <c r="B24" t="s">
        <v>273</v>
      </c>
      <c r="C24" t="s">
        <v>79</v>
      </c>
      <c r="D24" t="s">
        <v>274</v>
      </c>
      <c r="E24" t="s">
        <v>80</v>
      </c>
      <c r="F24" t="s">
        <v>56</v>
      </c>
      <c r="G24" t="s">
        <v>1848</v>
      </c>
      <c r="H24" t="s">
        <v>1849</v>
      </c>
      <c r="I24" t="s">
        <v>1435</v>
      </c>
      <c r="J24" t="s">
        <v>1436</v>
      </c>
      <c r="K24" t="s">
        <v>89</v>
      </c>
      <c r="L24" t="s">
        <v>1437</v>
      </c>
      <c r="M24" t="s">
        <v>1438</v>
      </c>
      <c r="N24" t="s">
        <v>89</v>
      </c>
      <c r="O24" t="s">
        <v>1443</v>
      </c>
      <c r="P24" t="s">
        <v>1454</v>
      </c>
      <c r="Q24" t="s">
        <v>1850</v>
      </c>
      <c r="R24" t="s">
        <v>1522</v>
      </c>
      <c r="S24" t="s">
        <v>93</v>
      </c>
      <c r="T24" t="s">
        <v>1412</v>
      </c>
      <c r="U24" t="s">
        <v>1438</v>
      </c>
      <c r="V24" t="s">
        <v>89</v>
      </c>
      <c r="W24" t="s">
        <v>1443</v>
      </c>
      <c r="X24" t="s">
        <v>1789</v>
      </c>
      <c r="Y24" t="s">
        <v>1851</v>
      </c>
      <c r="Z24" t="s">
        <v>1462</v>
      </c>
      <c r="AA24" t="s">
        <v>93</v>
      </c>
      <c r="AB24" t="s">
        <v>1303</v>
      </c>
      <c r="AC24" t="s">
        <v>1852</v>
      </c>
      <c r="AF24">
        <f>Tabela3[[#This Row],[kan_params]]*1</f>
        <v>1723</v>
      </c>
      <c r="AG24">
        <f>1*Tabela3[[#This Row],[kan_test_acc]]</f>
        <v>0.97368419170379605</v>
      </c>
      <c r="AH24">
        <f>1*Tabela3[[#This Row],[mlp_test_acc]]</f>
        <v>0.97368421052631504</v>
      </c>
      <c r="AI24">
        <f>1*Tabela3[[#This Row],[mlp2_test_acc]]</f>
        <v>0.97368421052631504</v>
      </c>
    </row>
    <row r="25" spans="1:35" x14ac:dyDescent="0.25">
      <c r="A25" t="s">
        <v>44</v>
      </c>
      <c r="B25" t="s">
        <v>78</v>
      </c>
      <c r="C25" t="s">
        <v>666</v>
      </c>
      <c r="D25" t="s">
        <v>274</v>
      </c>
      <c r="E25" t="s">
        <v>80</v>
      </c>
      <c r="F25" t="s">
        <v>47</v>
      </c>
      <c r="G25" t="s">
        <v>1864</v>
      </c>
      <c r="H25" t="s">
        <v>1865</v>
      </c>
      <c r="I25" t="s">
        <v>98</v>
      </c>
      <c r="J25" t="s">
        <v>1519</v>
      </c>
      <c r="K25" t="s">
        <v>89</v>
      </c>
      <c r="L25" t="s">
        <v>1437</v>
      </c>
      <c r="M25" t="s">
        <v>1438</v>
      </c>
      <c r="N25" t="s">
        <v>89</v>
      </c>
      <c r="O25" t="s">
        <v>1484</v>
      </c>
      <c r="P25" t="s">
        <v>89</v>
      </c>
      <c r="Q25" t="s">
        <v>1866</v>
      </c>
      <c r="R25" t="s">
        <v>1522</v>
      </c>
      <c r="S25" t="s">
        <v>93</v>
      </c>
      <c r="T25" t="s">
        <v>1412</v>
      </c>
      <c r="U25" t="s">
        <v>1438</v>
      </c>
      <c r="V25" t="s">
        <v>89</v>
      </c>
      <c r="W25" t="s">
        <v>1484</v>
      </c>
      <c r="X25" t="s">
        <v>89</v>
      </c>
      <c r="Y25" t="s">
        <v>1867</v>
      </c>
      <c r="Z25" t="s">
        <v>1462</v>
      </c>
      <c r="AA25" t="s">
        <v>93</v>
      </c>
      <c r="AB25" t="s">
        <v>1303</v>
      </c>
      <c r="AC25" t="s">
        <v>1868</v>
      </c>
      <c r="AF25">
        <f>Tabela3[[#This Row],[kan_params]]*1</f>
        <v>1639</v>
      </c>
      <c r="AG25">
        <f>1*Tabela3[[#This Row],[kan_test_acc]]</f>
        <v>0.97368419170379605</v>
      </c>
      <c r="AH25">
        <f>1*Tabela3[[#This Row],[mlp_test_acc]]</f>
        <v>0.97368421052631504</v>
      </c>
      <c r="AI25">
        <f>1*Tabela3[[#This Row],[mlp2_test_acc]]</f>
        <v>0.97368421052631504</v>
      </c>
    </row>
    <row r="26" spans="1:35" x14ac:dyDescent="0.25">
      <c r="A26" t="s">
        <v>44</v>
      </c>
      <c r="B26" t="s">
        <v>78</v>
      </c>
      <c r="C26" t="s">
        <v>666</v>
      </c>
      <c r="D26" t="s">
        <v>274</v>
      </c>
      <c r="E26" t="s">
        <v>80</v>
      </c>
      <c r="F26" t="s">
        <v>49</v>
      </c>
      <c r="G26" t="s">
        <v>1874</v>
      </c>
      <c r="H26" t="s">
        <v>1875</v>
      </c>
      <c r="I26" t="s">
        <v>328</v>
      </c>
      <c r="J26" t="s">
        <v>1436</v>
      </c>
      <c r="K26" t="s">
        <v>89</v>
      </c>
      <c r="L26" t="s">
        <v>1437</v>
      </c>
      <c r="M26" t="s">
        <v>1438</v>
      </c>
      <c r="N26" t="s">
        <v>89</v>
      </c>
      <c r="O26" t="s">
        <v>1484</v>
      </c>
      <c r="P26" t="s">
        <v>89</v>
      </c>
      <c r="Q26" t="s">
        <v>1876</v>
      </c>
      <c r="R26" t="s">
        <v>305</v>
      </c>
      <c r="S26" t="s">
        <v>93</v>
      </c>
      <c r="T26" t="s">
        <v>1483</v>
      </c>
      <c r="U26" t="s">
        <v>1438</v>
      </c>
      <c r="V26" t="s">
        <v>89</v>
      </c>
      <c r="W26" t="s">
        <v>1484</v>
      </c>
      <c r="X26" t="s">
        <v>89</v>
      </c>
      <c r="Y26" t="s">
        <v>1877</v>
      </c>
      <c r="Z26" t="s">
        <v>1487</v>
      </c>
      <c r="AA26" t="s">
        <v>93</v>
      </c>
      <c r="AB26" t="s">
        <v>645</v>
      </c>
      <c r="AC26" t="s">
        <v>1878</v>
      </c>
      <c r="AF26">
        <f>Tabela3[[#This Row],[kan_params]]*1</f>
        <v>321</v>
      </c>
      <c r="AG26">
        <f>1*Tabela3[[#This Row],[kan_test_acc]]</f>
        <v>0.97368419170379605</v>
      </c>
      <c r="AH26">
        <f>1*Tabela3[[#This Row],[mlp_test_acc]]</f>
        <v>0.97368421052631504</v>
      </c>
      <c r="AI26">
        <f>1*Tabela3[[#This Row],[mlp2_test_acc]]</f>
        <v>0.97368421052631504</v>
      </c>
    </row>
    <row r="27" spans="1:35" x14ac:dyDescent="0.25">
      <c r="A27" t="s">
        <v>44</v>
      </c>
      <c r="B27" t="s">
        <v>814</v>
      </c>
      <c r="C27" t="s">
        <v>666</v>
      </c>
      <c r="D27" t="s">
        <v>79</v>
      </c>
      <c r="E27" t="s">
        <v>80</v>
      </c>
      <c r="F27" t="s">
        <v>45</v>
      </c>
      <c r="G27" t="s">
        <v>1921</v>
      </c>
      <c r="H27" t="s">
        <v>1922</v>
      </c>
      <c r="I27" t="s">
        <v>1923</v>
      </c>
      <c r="J27" t="s">
        <v>1542</v>
      </c>
      <c r="K27" t="s">
        <v>89</v>
      </c>
      <c r="L27" t="s">
        <v>1437</v>
      </c>
      <c r="M27" t="s">
        <v>1438</v>
      </c>
      <c r="N27" t="s">
        <v>89</v>
      </c>
      <c r="O27" t="s">
        <v>1484</v>
      </c>
      <c r="P27" t="s">
        <v>89</v>
      </c>
      <c r="Q27" t="s">
        <v>1924</v>
      </c>
      <c r="R27" t="s">
        <v>1522</v>
      </c>
      <c r="S27" t="s">
        <v>93</v>
      </c>
      <c r="T27" t="s">
        <v>1412</v>
      </c>
      <c r="U27" t="s">
        <v>1438</v>
      </c>
      <c r="V27" t="s">
        <v>89</v>
      </c>
      <c r="W27" t="s">
        <v>1484</v>
      </c>
      <c r="X27" t="s">
        <v>89</v>
      </c>
      <c r="Y27" t="s">
        <v>1925</v>
      </c>
      <c r="Z27" t="s">
        <v>1462</v>
      </c>
      <c r="AA27" t="s">
        <v>93</v>
      </c>
      <c r="AB27" t="s">
        <v>1303</v>
      </c>
      <c r="AC27" t="s">
        <v>1926</v>
      </c>
      <c r="AF27">
        <f>Tabela3[[#This Row],[kan_params]]*1</f>
        <v>1673</v>
      </c>
      <c r="AG27">
        <f>1*Tabela3[[#This Row],[kan_test_acc]]</f>
        <v>0.97368419170379605</v>
      </c>
      <c r="AH27">
        <f>1*Tabela3[[#This Row],[mlp_test_acc]]</f>
        <v>0.97368421052631504</v>
      </c>
      <c r="AI27">
        <f>1*Tabela3[[#This Row],[mlp2_test_acc]]</f>
        <v>0.97368421052631504</v>
      </c>
    </row>
    <row r="28" spans="1:35" x14ac:dyDescent="0.25">
      <c r="A28" t="s">
        <v>44</v>
      </c>
      <c r="B28" t="s">
        <v>897</v>
      </c>
      <c r="C28" t="s">
        <v>1026</v>
      </c>
      <c r="D28" t="s">
        <v>274</v>
      </c>
      <c r="E28" t="s">
        <v>80</v>
      </c>
      <c r="F28" t="s">
        <v>49</v>
      </c>
      <c r="G28" t="s">
        <v>1594</v>
      </c>
      <c r="H28" t="s">
        <v>2182</v>
      </c>
      <c r="I28" t="s">
        <v>328</v>
      </c>
      <c r="J28" t="s">
        <v>1936</v>
      </c>
      <c r="K28" t="s">
        <v>89</v>
      </c>
      <c r="L28" t="s">
        <v>1437</v>
      </c>
      <c r="M28" t="s">
        <v>89</v>
      </c>
      <c r="N28" t="s">
        <v>89</v>
      </c>
      <c r="O28" t="s">
        <v>1443</v>
      </c>
      <c r="P28" t="s">
        <v>1578</v>
      </c>
      <c r="Q28" t="s">
        <v>2183</v>
      </c>
      <c r="R28" t="s">
        <v>1487</v>
      </c>
      <c r="S28" t="s">
        <v>93</v>
      </c>
      <c r="T28" t="s">
        <v>645</v>
      </c>
      <c r="U28" t="s">
        <v>89</v>
      </c>
      <c r="V28" t="s">
        <v>89</v>
      </c>
      <c r="W28" t="s">
        <v>1439</v>
      </c>
      <c r="X28" t="s">
        <v>1309</v>
      </c>
      <c r="Y28" t="s">
        <v>2184</v>
      </c>
      <c r="Z28" t="s">
        <v>1604</v>
      </c>
      <c r="AA28" t="s">
        <v>93</v>
      </c>
      <c r="AB28" t="s">
        <v>657</v>
      </c>
      <c r="AC28" t="s">
        <v>2185</v>
      </c>
      <c r="AF28">
        <f>Tabela3[[#This Row],[kan_params]]*1</f>
        <v>405</v>
      </c>
      <c r="AG28">
        <f>1*Tabela3[[#This Row],[kan_test_acc]]</f>
        <v>0.97368419170379605</v>
      </c>
      <c r="AH28">
        <f>1*Tabela3[[#This Row],[mlp_test_acc]]</f>
        <v>1</v>
      </c>
      <c r="AI28">
        <f>1*Tabela3[[#This Row],[mlp2_test_acc]]</f>
        <v>1</v>
      </c>
    </row>
    <row r="29" spans="1:35" x14ac:dyDescent="0.25">
      <c r="A29" t="s">
        <v>44</v>
      </c>
      <c r="B29" t="s">
        <v>897</v>
      </c>
      <c r="C29" t="s">
        <v>1026</v>
      </c>
      <c r="D29" t="s">
        <v>274</v>
      </c>
      <c r="E29" t="s">
        <v>80</v>
      </c>
      <c r="F29" t="s">
        <v>51</v>
      </c>
      <c r="G29" t="s">
        <v>1616</v>
      </c>
      <c r="H29" t="s">
        <v>2191</v>
      </c>
      <c r="I29" t="s">
        <v>1412</v>
      </c>
      <c r="J29" t="s">
        <v>1936</v>
      </c>
      <c r="K29" t="s">
        <v>89</v>
      </c>
      <c r="L29" t="s">
        <v>1437</v>
      </c>
      <c r="M29" t="s">
        <v>89</v>
      </c>
      <c r="N29" t="s">
        <v>89</v>
      </c>
      <c r="O29" t="s">
        <v>1484</v>
      </c>
      <c r="P29" t="s">
        <v>2128</v>
      </c>
      <c r="Q29" t="s">
        <v>2192</v>
      </c>
      <c r="R29" t="s">
        <v>1446</v>
      </c>
      <c r="S29" t="s">
        <v>93</v>
      </c>
      <c r="T29" t="s">
        <v>1247</v>
      </c>
      <c r="U29" t="s">
        <v>89</v>
      </c>
      <c r="V29" t="s">
        <v>89</v>
      </c>
      <c r="W29" t="s">
        <v>1443</v>
      </c>
      <c r="X29" t="s">
        <v>1950</v>
      </c>
      <c r="Y29" t="s">
        <v>2193</v>
      </c>
      <c r="Z29" t="s">
        <v>1522</v>
      </c>
      <c r="AA29" t="s">
        <v>93</v>
      </c>
      <c r="AB29" t="s">
        <v>1412</v>
      </c>
      <c r="AC29" t="s">
        <v>2194</v>
      </c>
      <c r="AF29">
        <f>Tabela3[[#This Row],[kan_params]]*1</f>
        <v>1517</v>
      </c>
      <c r="AG29">
        <f>1*Tabela3[[#This Row],[kan_test_acc]]</f>
        <v>0.97368419170379605</v>
      </c>
      <c r="AH29">
        <f>1*Tabela3[[#This Row],[mlp_test_acc]]</f>
        <v>1</v>
      </c>
      <c r="AI29">
        <f>1*Tabela3[[#This Row],[mlp2_test_acc]]</f>
        <v>1</v>
      </c>
    </row>
    <row r="30" spans="1:35" x14ac:dyDescent="0.25">
      <c r="A30" t="s">
        <v>44</v>
      </c>
      <c r="B30" t="s">
        <v>897</v>
      </c>
      <c r="C30" t="s">
        <v>1026</v>
      </c>
      <c r="D30" t="s">
        <v>274</v>
      </c>
      <c r="E30" t="s">
        <v>80</v>
      </c>
      <c r="F30" t="s">
        <v>53</v>
      </c>
      <c r="G30" t="s">
        <v>1638</v>
      </c>
      <c r="H30" t="s">
        <v>2201</v>
      </c>
      <c r="I30" t="s">
        <v>2202</v>
      </c>
      <c r="J30" t="s">
        <v>89</v>
      </c>
      <c r="K30" t="s">
        <v>89</v>
      </c>
      <c r="L30" t="s">
        <v>1437</v>
      </c>
      <c r="M30" t="s">
        <v>89</v>
      </c>
      <c r="N30" t="s">
        <v>89</v>
      </c>
      <c r="O30" t="s">
        <v>89</v>
      </c>
      <c r="P30" t="s">
        <v>305</v>
      </c>
      <c r="Q30" t="s">
        <v>2203</v>
      </c>
      <c r="R30" t="s">
        <v>1577</v>
      </c>
      <c r="S30" t="s">
        <v>93</v>
      </c>
      <c r="T30" t="s">
        <v>1578</v>
      </c>
      <c r="U30" t="s">
        <v>89</v>
      </c>
      <c r="V30" t="s">
        <v>89</v>
      </c>
      <c r="W30" t="s">
        <v>1612</v>
      </c>
      <c r="X30" t="s">
        <v>98</v>
      </c>
      <c r="Y30" t="s">
        <v>2204</v>
      </c>
      <c r="Z30" t="s">
        <v>1545</v>
      </c>
      <c r="AA30" t="s">
        <v>93</v>
      </c>
      <c r="AB30" t="s">
        <v>1311</v>
      </c>
      <c r="AC30" t="s">
        <v>2205</v>
      </c>
      <c r="AF30">
        <f>Tabela3[[#This Row],[kan_params]]*1</f>
        <v>2013</v>
      </c>
      <c r="AG30">
        <f>1*Tabela3[[#This Row],[kan_test_acc]]</f>
        <v>0.97368419170379605</v>
      </c>
      <c r="AH30">
        <f>1*Tabela3[[#This Row],[mlp_test_acc]]</f>
        <v>1</v>
      </c>
      <c r="AI30">
        <f>1*Tabela3[[#This Row],[mlp2_test_acc]]</f>
        <v>1</v>
      </c>
    </row>
    <row r="31" spans="1:35" x14ac:dyDescent="0.25">
      <c r="A31" t="s">
        <v>44</v>
      </c>
      <c r="B31" t="s">
        <v>78</v>
      </c>
      <c r="C31" t="s">
        <v>79</v>
      </c>
      <c r="D31" t="s">
        <v>79</v>
      </c>
      <c r="E31" t="s">
        <v>80</v>
      </c>
      <c r="F31" t="s">
        <v>50</v>
      </c>
      <c r="G31" t="s">
        <v>1489</v>
      </c>
      <c r="H31" t="s">
        <v>1490</v>
      </c>
      <c r="I31" t="s">
        <v>1435</v>
      </c>
      <c r="J31" t="s">
        <v>1436</v>
      </c>
      <c r="K31" t="s">
        <v>89</v>
      </c>
      <c r="L31" t="s">
        <v>1491</v>
      </c>
      <c r="M31" t="s">
        <v>1438</v>
      </c>
      <c r="N31" t="s">
        <v>89</v>
      </c>
      <c r="O31" t="s">
        <v>1484</v>
      </c>
      <c r="P31" t="s">
        <v>1492</v>
      </c>
      <c r="Q31" t="s">
        <v>1493</v>
      </c>
      <c r="R31" t="s">
        <v>1494</v>
      </c>
      <c r="S31" t="s">
        <v>93</v>
      </c>
      <c r="T31" t="s">
        <v>1361</v>
      </c>
      <c r="U31" t="s">
        <v>1438</v>
      </c>
      <c r="V31" t="s">
        <v>89</v>
      </c>
      <c r="W31" t="s">
        <v>1443</v>
      </c>
      <c r="X31" t="s">
        <v>1495</v>
      </c>
      <c r="Y31" t="s">
        <v>1496</v>
      </c>
      <c r="Z31" t="s">
        <v>1497</v>
      </c>
      <c r="AA31" t="s">
        <v>93</v>
      </c>
      <c r="AB31" t="s">
        <v>1250</v>
      </c>
      <c r="AC31" t="s">
        <v>1498</v>
      </c>
      <c r="AF31">
        <f>Tabela3[[#This Row],[kan_params]]*1</f>
        <v>715</v>
      </c>
      <c r="AG31">
        <f>1*Tabela3[[#This Row],[kan_test_acc]]</f>
        <v>0.94736844301223699</v>
      </c>
      <c r="AH31">
        <f>1*Tabela3[[#This Row],[mlp_test_acc]]</f>
        <v>0.97368421052631504</v>
      </c>
      <c r="AI31">
        <f>1*Tabela3[[#This Row],[mlp2_test_acc]]</f>
        <v>0.97368421052631504</v>
      </c>
    </row>
    <row r="32" spans="1:35" x14ac:dyDescent="0.25">
      <c r="A32" t="s">
        <v>44</v>
      </c>
      <c r="B32" t="s">
        <v>78</v>
      </c>
      <c r="C32" t="s">
        <v>79</v>
      </c>
      <c r="D32" t="s">
        <v>79</v>
      </c>
      <c r="E32" t="s">
        <v>80</v>
      </c>
      <c r="F32" t="s">
        <v>53</v>
      </c>
      <c r="G32" t="s">
        <v>1517</v>
      </c>
      <c r="H32" t="s">
        <v>1518</v>
      </c>
      <c r="I32" t="s">
        <v>1435</v>
      </c>
      <c r="J32" t="s">
        <v>1519</v>
      </c>
      <c r="K32" t="s">
        <v>89</v>
      </c>
      <c r="L32" t="s">
        <v>1491</v>
      </c>
      <c r="M32" t="s">
        <v>1438</v>
      </c>
      <c r="N32" t="s">
        <v>89</v>
      </c>
      <c r="O32" t="s">
        <v>1443</v>
      </c>
      <c r="P32" t="s">
        <v>1520</v>
      </c>
      <c r="Q32" t="s">
        <v>1521</v>
      </c>
      <c r="R32" t="s">
        <v>1522</v>
      </c>
      <c r="S32" t="s">
        <v>93</v>
      </c>
      <c r="T32" t="s">
        <v>1412</v>
      </c>
      <c r="U32" t="s">
        <v>1438</v>
      </c>
      <c r="V32" t="s">
        <v>89</v>
      </c>
      <c r="W32" t="s">
        <v>1443</v>
      </c>
      <c r="X32" t="s">
        <v>716</v>
      </c>
      <c r="Y32" t="s">
        <v>1523</v>
      </c>
      <c r="Z32" t="s">
        <v>1462</v>
      </c>
      <c r="AA32" t="s">
        <v>93</v>
      </c>
      <c r="AB32" t="s">
        <v>1303</v>
      </c>
      <c r="AC32" t="s">
        <v>1524</v>
      </c>
      <c r="AF32">
        <f>Tabela3[[#This Row],[kan_params]]*1</f>
        <v>1698</v>
      </c>
      <c r="AG32">
        <f>1*Tabela3[[#This Row],[kan_test_acc]]</f>
        <v>0.94736844301223699</v>
      </c>
      <c r="AH32">
        <f>1*Tabela3[[#This Row],[mlp_test_acc]]</f>
        <v>0.97368421052631504</v>
      </c>
      <c r="AI32">
        <f>1*Tabela3[[#This Row],[mlp2_test_acc]]</f>
        <v>0.97368421052631504</v>
      </c>
    </row>
    <row r="33" spans="1:35" x14ac:dyDescent="0.25">
      <c r="A33" t="s">
        <v>44</v>
      </c>
      <c r="B33" t="s">
        <v>78</v>
      </c>
      <c r="C33" t="s">
        <v>79</v>
      </c>
      <c r="D33" t="s">
        <v>79</v>
      </c>
      <c r="E33" t="s">
        <v>80</v>
      </c>
      <c r="F33" t="s">
        <v>55</v>
      </c>
      <c r="G33" t="s">
        <v>1533</v>
      </c>
      <c r="H33" t="s">
        <v>1534</v>
      </c>
      <c r="I33" t="s">
        <v>1435</v>
      </c>
      <c r="J33" t="s">
        <v>1450</v>
      </c>
      <c r="K33" t="s">
        <v>89</v>
      </c>
      <c r="L33" t="s">
        <v>1491</v>
      </c>
      <c r="M33" t="s">
        <v>1438</v>
      </c>
      <c r="N33" t="s">
        <v>89</v>
      </c>
      <c r="O33" t="s">
        <v>1474</v>
      </c>
      <c r="P33" t="s">
        <v>1535</v>
      </c>
      <c r="Q33" t="s">
        <v>1536</v>
      </c>
      <c r="R33" t="s">
        <v>1504</v>
      </c>
      <c r="S33" t="s">
        <v>93</v>
      </c>
      <c r="T33" t="s">
        <v>1400</v>
      </c>
      <c r="U33" t="s">
        <v>1438</v>
      </c>
      <c r="V33" t="s">
        <v>89</v>
      </c>
      <c r="W33" t="s">
        <v>1439</v>
      </c>
      <c r="X33" t="s">
        <v>1537</v>
      </c>
      <c r="Y33" t="s">
        <v>1538</v>
      </c>
      <c r="Z33" t="s">
        <v>1507</v>
      </c>
      <c r="AA33" t="s">
        <v>93</v>
      </c>
      <c r="AB33" t="s">
        <v>1337</v>
      </c>
      <c r="AC33" t="s">
        <v>1539</v>
      </c>
      <c r="AF33">
        <f>Tabela3[[#This Row],[kan_params]]*1</f>
        <v>1231</v>
      </c>
      <c r="AG33">
        <f>1*Tabela3[[#This Row],[kan_test_acc]]</f>
        <v>0.94736844301223699</v>
      </c>
      <c r="AH33">
        <f>1*Tabela3[[#This Row],[mlp_test_acc]]</f>
        <v>0.97368421052631504</v>
      </c>
      <c r="AI33">
        <f>1*Tabela3[[#This Row],[mlp2_test_acc]]</f>
        <v>0.97368421052631504</v>
      </c>
    </row>
    <row r="34" spans="1:35" x14ac:dyDescent="0.25">
      <c r="A34" t="s">
        <v>44</v>
      </c>
      <c r="B34" t="s">
        <v>78</v>
      </c>
      <c r="C34" t="s">
        <v>79</v>
      </c>
      <c r="D34" t="s">
        <v>79</v>
      </c>
      <c r="E34" t="s">
        <v>80</v>
      </c>
      <c r="F34" t="s">
        <v>56</v>
      </c>
      <c r="G34" t="s">
        <v>1540</v>
      </c>
      <c r="H34" t="s">
        <v>1541</v>
      </c>
      <c r="I34" t="s">
        <v>1435</v>
      </c>
      <c r="J34" t="s">
        <v>1542</v>
      </c>
      <c r="K34" t="s">
        <v>89</v>
      </c>
      <c r="L34" t="s">
        <v>1491</v>
      </c>
      <c r="M34" t="s">
        <v>1438</v>
      </c>
      <c r="N34" t="s">
        <v>89</v>
      </c>
      <c r="O34" t="s">
        <v>1443</v>
      </c>
      <c r="P34" t="s">
        <v>1543</v>
      </c>
      <c r="Q34" t="s">
        <v>1544</v>
      </c>
      <c r="R34" t="s">
        <v>1545</v>
      </c>
      <c r="S34" t="s">
        <v>93</v>
      </c>
      <c r="T34" t="s">
        <v>1311</v>
      </c>
      <c r="U34" t="s">
        <v>1438</v>
      </c>
      <c r="V34" t="s">
        <v>89</v>
      </c>
      <c r="W34" t="s">
        <v>1443</v>
      </c>
      <c r="X34" t="s">
        <v>1546</v>
      </c>
      <c r="Y34" t="s">
        <v>1547</v>
      </c>
      <c r="Z34" t="s">
        <v>1548</v>
      </c>
      <c r="AA34" t="s">
        <v>93</v>
      </c>
      <c r="AB34" t="s">
        <v>1397</v>
      </c>
      <c r="AC34" t="s">
        <v>1549</v>
      </c>
      <c r="AF34">
        <f>Tabela3[[#This Row],[kan_params]]*1</f>
        <v>2116</v>
      </c>
      <c r="AG34">
        <f>1*Tabela3[[#This Row],[kan_test_acc]]</f>
        <v>0.94736844301223699</v>
      </c>
      <c r="AH34">
        <f>1*Tabela3[[#This Row],[mlp_test_acc]]</f>
        <v>0.97368421052631504</v>
      </c>
      <c r="AI34">
        <f>1*Tabela3[[#This Row],[mlp2_test_acc]]</f>
        <v>0.97368421052631504</v>
      </c>
    </row>
    <row r="35" spans="1:35" x14ac:dyDescent="0.25">
      <c r="A35" t="s">
        <v>44</v>
      </c>
      <c r="B35" t="s">
        <v>814</v>
      </c>
      <c r="C35" t="s">
        <v>79</v>
      </c>
      <c r="D35" t="s">
        <v>898</v>
      </c>
      <c r="E35" t="s">
        <v>80</v>
      </c>
      <c r="F35" t="s">
        <v>54</v>
      </c>
      <c r="G35" t="s">
        <v>1649</v>
      </c>
      <c r="H35" t="s">
        <v>1650</v>
      </c>
      <c r="I35" t="s">
        <v>1435</v>
      </c>
      <c r="J35" t="s">
        <v>1501</v>
      </c>
      <c r="K35" t="s">
        <v>89</v>
      </c>
      <c r="L35" t="s">
        <v>1491</v>
      </c>
      <c r="M35" t="s">
        <v>1438</v>
      </c>
      <c r="N35" t="s">
        <v>89</v>
      </c>
      <c r="O35" t="s">
        <v>1443</v>
      </c>
      <c r="P35" t="s">
        <v>1510</v>
      </c>
      <c r="Q35" t="s">
        <v>1651</v>
      </c>
      <c r="R35" t="s">
        <v>1515</v>
      </c>
      <c r="S35" t="s">
        <v>93</v>
      </c>
      <c r="T35" t="s">
        <v>1240</v>
      </c>
      <c r="U35" t="s">
        <v>1438</v>
      </c>
      <c r="V35" t="s">
        <v>89</v>
      </c>
      <c r="W35" t="s">
        <v>1474</v>
      </c>
      <c r="X35" t="s">
        <v>1652</v>
      </c>
      <c r="Y35" t="s">
        <v>1653</v>
      </c>
      <c r="Z35" t="s">
        <v>1634</v>
      </c>
      <c r="AA35" t="s">
        <v>93</v>
      </c>
      <c r="AB35" t="s">
        <v>1235</v>
      </c>
      <c r="AC35" t="s">
        <v>1654</v>
      </c>
      <c r="AF35">
        <f>Tabela3[[#This Row],[kan_params]]*1</f>
        <v>1075</v>
      </c>
      <c r="AG35">
        <f>1*Tabela3[[#This Row],[kan_test_acc]]</f>
        <v>0.94736844301223699</v>
      </c>
      <c r="AH35">
        <f>1*Tabela3[[#This Row],[mlp_test_acc]]</f>
        <v>0.97368421052631504</v>
      </c>
      <c r="AI35">
        <f>1*Tabela3[[#This Row],[mlp2_test_acc]]</f>
        <v>0.97368421052631504</v>
      </c>
    </row>
    <row r="36" spans="1:35" x14ac:dyDescent="0.25">
      <c r="A36" t="s">
        <v>44</v>
      </c>
      <c r="B36" t="s">
        <v>897</v>
      </c>
      <c r="C36" t="s">
        <v>79</v>
      </c>
      <c r="D36" t="s">
        <v>666</v>
      </c>
      <c r="E36" t="s">
        <v>80</v>
      </c>
      <c r="F36" t="s">
        <v>54</v>
      </c>
      <c r="G36" t="s">
        <v>1750</v>
      </c>
      <c r="H36" t="s">
        <v>1751</v>
      </c>
      <c r="I36" t="s">
        <v>1752</v>
      </c>
      <c r="J36" t="s">
        <v>1563</v>
      </c>
      <c r="K36" t="s">
        <v>1598</v>
      </c>
      <c r="L36" t="s">
        <v>1491</v>
      </c>
      <c r="M36" t="s">
        <v>1438</v>
      </c>
      <c r="N36" t="s">
        <v>1711</v>
      </c>
      <c r="O36" t="s">
        <v>89</v>
      </c>
      <c r="P36" t="s">
        <v>1753</v>
      </c>
      <c r="Q36" t="s">
        <v>1754</v>
      </c>
      <c r="R36" t="s">
        <v>1504</v>
      </c>
      <c r="S36" t="s">
        <v>93</v>
      </c>
      <c r="T36" t="s">
        <v>1400</v>
      </c>
      <c r="U36" t="s">
        <v>1438</v>
      </c>
      <c r="V36" t="s">
        <v>1714</v>
      </c>
      <c r="W36" t="s">
        <v>89</v>
      </c>
      <c r="X36" t="s">
        <v>1755</v>
      </c>
      <c r="Y36" t="s">
        <v>1756</v>
      </c>
      <c r="Z36" t="s">
        <v>1507</v>
      </c>
      <c r="AA36" t="s">
        <v>93</v>
      </c>
      <c r="AB36" t="s">
        <v>1337</v>
      </c>
      <c r="AC36" t="s">
        <v>1757</v>
      </c>
      <c r="AF36">
        <f>Tabela3[[#This Row],[kan_params]]*1</f>
        <v>1243</v>
      </c>
      <c r="AG36">
        <f>1*Tabela3[[#This Row],[kan_test_acc]]</f>
        <v>0.94736844301223699</v>
      </c>
      <c r="AH36">
        <f>1*Tabela3[[#This Row],[mlp_test_acc]]</f>
        <v>0.97368421052631504</v>
      </c>
      <c r="AI36">
        <f>1*Tabela3[[#This Row],[mlp2_test_acc]]</f>
        <v>0.97368421052631504</v>
      </c>
    </row>
    <row r="37" spans="1:35" x14ac:dyDescent="0.25">
      <c r="A37" t="s">
        <v>44</v>
      </c>
      <c r="B37" t="s">
        <v>273</v>
      </c>
      <c r="C37" t="s">
        <v>79</v>
      </c>
      <c r="D37" t="s">
        <v>274</v>
      </c>
      <c r="E37" t="s">
        <v>80</v>
      </c>
      <c r="F37" t="s">
        <v>54</v>
      </c>
      <c r="G37" t="s">
        <v>1837</v>
      </c>
      <c r="H37" t="s">
        <v>1838</v>
      </c>
      <c r="I37" t="s">
        <v>1435</v>
      </c>
      <c r="J37" t="s">
        <v>1519</v>
      </c>
      <c r="K37" t="s">
        <v>89</v>
      </c>
      <c r="L37" t="s">
        <v>1491</v>
      </c>
      <c r="M37" t="s">
        <v>1438</v>
      </c>
      <c r="N37" t="s">
        <v>89</v>
      </c>
      <c r="O37" t="s">
        <v>1443</v>
      </c>
      <c r="P37" t="s">
        <v>1839</v>
      </c>
      <c r="Q37" t="s">
        <v>1840</v>
      </c>
      <c r="R37" t="s">
        <v>1494</v>
      </c>
      <c r="S37" t="s">
        <v>93</v>
      </c>
      <c r="T37" t="s">
        <v>1361</v>
      </c>
      <c r="U37" t="s">
        <v>1438</v>
      </c>
      <c r="V37" t="s">
        <v>89</v>
      </c>
      <c r="W37" t="s">
        <v>1443</v>
      </c>
      <c r="X37" t="s">
        <v>1635</v>
      </c>
      <c r="Y37" t="s">
        <v>1841</v>
      </c>
      <c r="Z37" t="s">
        <v>1497</v>
      </c>
      <c r="AA37" t="s">
        <v>93</v>
      </c>
      <c r="AB37" t="s">
        <v>1250</v>
      </c>
      <c r="AC37" t="s">
        <v>1842</v>
      </c>
      <c r="AF37">
        <f>Tabela3[[#This Row],[kan_params]]*1</f>
        <v>739</v>
      </c>
      <c r="AG37">
        <f>1*Tabela3[[#This Row],[kan_test_acc]]</f>
        <v>0.94736844301223699</v>
      </c>
      <c r="AH37">
        <f>1*Tabela3[[#This Row],[mlp_test_acc]]</f>
        <v>0.97368421052631504</v>
      </c>
      <c r="AI37">
        <f>1*Tabela3[[#This Row],[mlp2_test_acc]]</f>
        <v>0.97368421052631504</v>
      </c>
    </row>
    <row r="38" spans="1:35" x14ac:dyDescent="0.25">
      <c r="A38" t="s">
        <v>44</v>
      </c>
      <c r="B38" t="s">
        <v>78</v>
      </c>
      <c r="C38" t="s">
        <v>666</v>
      </c>
      <c r="D38" t="s">
        <v>274</v>
      </c>
      <c r="E38" t="s">
        <v>80</v>
      </c>
      <c r="F38" t="s">
        <v>45</v>
      </c>
      <c r="G38" t="s">
        <v>1853</v>
      </c>
      <c r="H38" t="s">
        <v>1854</v>
      </c>
      <c r="I38" t="s">
        <v>285</v>
      </c>
      <c r="J38" t="s">
        <v>1450</v>
      </c>
      <c r="K38" t="s">
        <v>89</v>
      </c>
      <c r="L38" t="s">
        <v>1491</v>
      </c>
      <c r="M38" t="s">
        <v>1438</v>
      </c>
      <c r="N38" t="s">
        <v>89</v>
      </c>
      <c r="O38" t="s">
        <v>1484</v>
      </c>
      <c r="P38" t="s">
        <v>89</v>
      </c>
      <c r="Q38" t="s">
        <v>1855</v>
      </c>
      <c r="R38" t="s">
        <v>1442</v>
      </c>
      <c r="S38" t="s">
        <v>93</v>
      </c>
      <c r="T38" t="s">
        <v>1255</v>
      </c>
      <c r="U38" t="s">
        <v>1438</v>
      </c>
      <c r="V38" t="s">
        <v>89</v>
      </c>
      <c r="W38" t="s">
        <v>1484</v>
      </c>
      <c r="X38" t="s">
        <v>89</v>
      </c>
      <c r="Y38" t="s">
        <v>1856</v>
      </c>
      <c r="Z38" t="s">
        <v>1446</v>
      </c>
      <c r="AA38" t="s">
        <v>93</v>
      </c>
      <c r="AB38" t="s">
        <v>1247</v>
      </c>
      <c r="AC38" t="s">
        <v>1857</v>
      </c>
      <c r="AF38">
        <f>Tabela3[[#This Row],[kan_params]]*1</f>
        <v>1397</v>
      </c>
      <c r="AG38">
        <f>1*Tabela3[[#This Row],[kan_test_acc]]</f>
        <v>0.94736844301223699</v>
      </c>
      <c r="AH38">
        <f>1*Tabela3[[#This Row],[mlp_test_acc]]</f>
        <v>0.97368421052631504</v>
      </c>
      <c r="AI38">
        <f>1*Tabela3[[#This Row],[mlp2_test_acc]]</f>
        <v>0.97368421052631504</v>
      </c>
    </row>
    <row r="39" spans="1:35" x14ac:dyDescent="0.25">
      <c r="A39" t="s">
        <v>44</v>
      </c>
      <c r="B39" t="s">
        <v>78</v>
      </c>
      <c r="C39" t="s">
        <v>666</v>
      </c>
      <c r="D39" t="s">
        <v>274</v>
      </c>
      <c r="E39" t="s">
        <v>80</v>
      </c>
      <c r="F39" t="s">
        <v>46</v>
      </c>
      <c r="G39" t="s">
        <v>1858</v>
      </c>
      <c r="H39" t="s">
        <v>1859</v>
      </c>
      <c r="I39" t="s">
        <v>1860</v>
      </c>
      <c r="J39" t="s">
        <v>1436</v>
      </c>
      <c r="K39" t="s">
        <v>89</v>
      </c>
      <c r="L39" t="s">
        <v>1491</v>
      </c>
      <c r="M39" t="s">
        <v>1438</v>
      </c>
      <c r="N39" t="s">
        <v>89</v>
      </c>
      <c r="O39" t="s">
        <v>1484</v>
      </c>
      <c r="P39" t="s">
        <v>89</v>
      </c>
      <c r="Q39" t="s">
        <v>1861</v>
      </c>
      <c r="R39" t="s">
        <v>1670</v>
      </c>
      <c r="S39" t="s">
        <v>93</v>
      </c>
      <c r="T39" t="s">
        <v>1671</v>
      </c>
      <c r="U39" t="s">
        <v>1438</v>
      </c>
      <c r="V39" t="s">
        <v>89</v>
      </c>
      <c r="W39" t="s">
        <v>1484</v>
      </c>
      <c r="X39" t="s">
        <v>89</v>
      </c>
      <c r="Y39" t="s">
        <v>1862</v>
      </c>
      <c r="Z39" t="s">
        <v>1452</v>
      </c>
      <c r="AA39" t="s">
        <v>93</v>
      </c>
      <c r="AB39" t="s">
        <v>1453</v>
      </c>
      <c r="AC39" t="s">
        <v>1863</v>
      </c>
      <c r="AF39">
        <f>Tabela3[[#This Row],[kan_params]]*1</f>
        <v>2377</v>
      </c>
      <c r="AG39">
        <f>1*Tabela3[[#This Row],[kan_test_acc]]</f>
        <v>0.94736844301223699</v>
      </c>
      <c r="AH39">
        <f>1*Tabela3[[#This Row],[mlp_test_acc]]</f>
        <v>0.97368421052631504</v>
      </c>
      <c r="AI39">
        <f>1*Tabela3[[#This Row],[mlp2_test_acc]]</f>
        <v>0.97368421052631504</v>
      </c>
    </row>
    <row r="40" spans="1:35" x14ac:dyDescent="0.25">
      <c r="A40" t="s">
        <v>44</v>
      </c>
      <c r="B40" t="s">
        <v>814</v>
      </c>
      <c r="C40" t="s">
        <v>666</v>
      </c>
      <c r="D40" t="s">
        <v>79</v>
      </c>
      <c r="E40" t="s">
        <v>80</v>
      </c>
      <c r="F40" t="s">
        <v>52</v>
      </c>
      <c r="G40" t="s">
        <v>1967</v>
      </c>
      <c r="H40" t="s">
        <v>1968</v>
      </c>
      <c r="I40" t="s">
        <v>1969</v>
      </c>
      <c r="J40" t="s">
        <v>1436</v>
      </c>
      <c r="K40" t="s">
        <v>89</v>
      </c>
      <c r="L40" t="s">
        <v>1491</v>
      </c>
      <c r="M40" t="s">
        <v>1438</v>
      </c>
      <c r="N40" t="s">
        <v>89</v>
      </c>
      <c r="O40" t="s">
        <v>1484</v>
      </c>
      <c r="P40" t="s">
        <v>89</v>
      </c>
      <c r="Q40" t="s">
        <v>1970</v>
      </c>
      <c r="R40" t="s">
        <v>1515</v>
      </c>
      <c r="S40" t="s">
        <v>93</v>
      </c>
      <c r="T40" t="s">
        <v>1240</v>
      </c>
      <c r="U40" t="s">
        <v>1438</v>
      </c>
      <c r="V40" t="s">
        <v>89</v>
      </c>
      <c r="W40" t="s">
        <v>1484</v>
      </c>
      <c r="X40" t="s">
        <v>89</v>
      </c>
      <c r="Y40" t="s">
        <v>1971</v>
      </c>
      <c r="Z40" t="s">
        <v>1634</v>
      </c>
      <c r="AA40" t="s">
        <v>93</v>
      </c>
      <c r="AB40" t="s">
        <v>1235</v>
      </c>
      <c r="AC40" t="s">
        <v>1972</v>
      </c>
      <c r="AF40">
        <f>Tabela3[[#This Row],[kan_params]]*1</f>
        <v>1093</v>
      </c>
      <c r="AG40">
        <f>1*Tabela3[[#This Row],[kan_test_acc]]</f>
        <v>0.94736844301223699</v>
      </c>
      <c r="AH40">
        <f>1*Tabela3[[#This Row],[mlp_test_acc]]</f>
        <v>0.97368421052631504</v>
      </c>
      <c r="AI40">
        <f>1*Tabela3[[#This Row],[mlp2_test_acc]]</f>
        <v>0.97368421052631504</v>
      </c>
    </row>
    <row r="41" spans="1:35" x14ac:dyDescent="0.25">
      <c r="A41" t="s">
        <v>44</v>
      </c>
      <c r="B41" t="s">
        <v>814</v>
      </c>
      <c r="C41" t="s">
        <v>666</v>
      </c>
      <c r="D41" t="s">
        <v>79</v>
      </c>
      <c r="E41" t="s">
        <v>80</v>
      </c>
      <c r="F41" t="s">
        <v>54</v>
      </c>
      <c r="G41" t="s">
        <v>1978</v>
      </c>
      <c r="H41" t="s">
        <v>1979</v>
      </c>
      <c r="I41" t="s">
        <v>1361</v>
      </c>
      <c r="J41" t="s">
        <v>1895</v>
      </c>
      <c r="K41" t="s">
        <v>89</v>
      </c>
      <c r="L41" t="s">
        <v>1491</v>
      </c>
      <c r="M41" t="s">
        <v>1438</v>
      </c>
      <c r="N41" t="s">
        <v>89</v>
      </c>
      <c r="O41" t="s">
        <v>1484</v>
      </c>
      <c r="P41" t="s">
        <v>89</v>
      </c>
      <c r="Q41" t="s">
        <v>1980</v>
      </c>
      <c r="R41" t="s">
        <v>1515</v>
      </c>
      <c r="S41" t="s">
        <v>93</v>
      </c>
      <c r="T41" t="s">
        <v>1240</v>
      </c>
      <c r="U41" t="s">
        <v>1438</v>
      </c>
      <c r="V41" t="s">
        <v>89</v>
      </c>
      <c r="W41" t="s">
        <v>1484</v>
      </c>
      <c r="X41" t="s">
        <v>89</v>
      </c>
      <c r="Y41" t="s">
        <v>1981</v>
      </c>
      <c r="Z41" t="s">
        <v>1634</v>
      </c>
      <c r="AA41" t="s">
        <v>93</v>
      </c>
      <c r="AB41" t="s">
        <v>1235</v>
      </c>
      <c r="AC41" t="s">
        <v>1982</v>
      </c>
      <c r="AF41">
        <f>Tabela3[[#This Row],[kan_params]]*1</f>
        <v>1019</v>
      </c>
      <c r="AG41">
        <f>1*Tabela3[[#This Row],[kan_test_acc]]</f>
        <v>0.94736844301223699</v>
      </c>
      <c r="AH41">
        <f>1*Tabela3[[#This Row],[mlp_test_acc]]</f>
        <v>0.97368421052631504</v>
      </c>
      <c r="AI41">
        <f>1*Tabela3[[#This Row],[mlp2_test_acc]]</f>
        <v>0.97368421052631504</v>
      </c>
    </row>
    <row r="42" spans="1:35" x14ac:dyDescent="0.25">
      <c r="A42" t="s">
        <v>44</v>
      </c>
      <c r="B42" t="s">
        <v>814</v>
      </c>
      <c r="C42" t="s">
        <v>666</v>
      </c>
      <c r="D42" t="s">
        <v>79</v>
      </c>
      <c r="E42" t="s">
        <v>80</v>
      </c>
      <c r="F42" t="s">
        <v>56</v>
      </c>
      <c r="G42" t="s">
        <v>1988</v>
      </c>
      <c r="H42" t="s">
        <v>1989</v>
      </c>
      <c r="I42" t="s">
        <v>1990</v>
      </c>
      <c r="J42" t="s">
        <v>1436</v>
      </c>
      <c r="K42" t="s">
        <v>89</v>
      </c>
      <c r="L42" t="s">
        <v>1491</v>
      </c>
      <c r="M42" t="s">
        <v>1438</v>
      </c>
      <c r="N42" t="s">
        <v>89</v>
      </c>
      <c r="O42" t="s">
        <v>1484</v>
      </c>
      <c r="P42" t="s">
        <v>89</v>
      </c>
      <c r="Q42" t="s">
        <v>1991</v>
      </c>
      <c r="R42" t="s">
        <v>1670</v>
      </c>
      <c r="S42" t="s">
        <v>93</v>
      </c>
      <c r="T42" t="s">
        <v>1671</v>
      </c>
      <c r="U42" t="s">
        <v>1438</v>
      </c>
      <c r="V42" t="s">
        <v>89</v>
      </c>
      <c r="W42" t="s">
        <v>1484</v>
      </c>
      <c r="X42" t="s">
        <v>89</v>
      </c>
      <c r="Y42" t="s">
        <v>1992</v>
      </c>
      <c r="Z42" t="s">
        <v>1452</v>
      </c>
      <c r="AA42" t="s">
        <v>93</v>
      </c>
      <c r="AB42" t="s">
        <v>1453</v>
      </c>
      <c r="AC42" t="s">
        <v>1993</v>
      </c>
      <c r="AF42">
        <f>Tabela3[[#This Row],[kan_params]]*1</f>
        <v>2378</v>
      </c>
      <c r="AG42">
        <f>1*Tabela3[[#This Row],[kan_test_acc]]</f>
        <v>0.94736844301223699</v>
      </c>
      <c r="AH42">
        <f>1*Tabela3[[#This Row],[mlp_test_acc]]</f>
        <v>0.97368421052631504</v>
      </c>
      <c r="AI42">
        <f>1*Tabela3[[#This Row],[mlp2_test_acc]]</f>
        <v>0.97368421052631504</v>
      </c>
    </row>
    <row r="43" spans="1:35" x14ac:dyDescent="0.25">
      <c r="A43" t="s">
        <v>44</v>
      </c>
      <c r="B43" t="s">
        <v>897</v>
      </c>
      <c r="C43" t="s">
        <v>666</v>
      </c>
      <c r="D43" t="s">
        <v>898</v>
      </c>
      <c r="E43" t="s">
        <v>80</v>
      </c>
      <c r="F43" t="s">
        <v>54</v>
      </c>
      <c r="G43" t="s">
        <v>2056</v>
      </c>
      <c r="H43" t="s">
        <v>2057</v>
      </c>
      <c r="I43" t="s">
        <v>2058</v>
      </c>
      <c r="J43" t="s">
        <v>1882</v>
      </c>
      <c r="K43" t="s">
        <v>89</v>
      </c>
      <c r="L43" t="s">
        <v>1491</v>
      </c>
      <c r="M43" t="s">
        <v>1438</v>
      </c>
      <c r="N43" t="s">
        <v>89</v>
      </c>
      <c r="O43" t="s">
        <v>1484</v>
      </c>
      <c r="P43" t="s">
        <v>89</v>
      </c>
      <c r="Q43" t="s">
        <v>2059</v>
      </c>
      <c r="R43" t="s">
        <v>1634</v>
      </c>
      <c r="S43" t="s">
        <v>93</v>
      </c>
      <c r="T43" t="s">
        <v>1235</v>
      </c>
      <c r="U43" t="s">
        <v>1438</v>
      </c>
      <c r="V43" t="s">
        <v>89</v>
      </c>
      <c r="W43" t="s">
        <v>1484</v>
      </c>
      <c r="X43" t="s">
        <v>89</v>
      </c>
      <c r="Y43" t="s">
        <v>2060</v>
      </c>
      <c r="Z43" t="s">
        <v>1504</v>
      </c>
      <c r="AA43" t="s">
        <v>93</v>
      </c>
      <c r="AB43" t="s">
        <v>1400</v>
      </c>
      <c r="AC43" t="s">
        <v>2061</v>
      </c>
      <c r="AF43">
        <f>Tabela3[[#This Row],[kan_params]]*1</f>
        <v>1187</v>
      </c>
      <c r="AG43">
        <f>1*Tabela3[[#This Row],[kan_test_acc]]</f>
        <v>0.94736844301223699</v>
      </c>
      <c r="AH43">
        <f>1*Tabela3[[#This Row],[mlp_test_acc]]</f>
        <v>0.97368421052631504</v>
      </c>
      <c r="AI43">
        <f>1*Tabela3[[#This Row],[mlp2_test_acc]]</f>
        <v>0.97368421052631504</v>
      </c>
    </row>
    <row r="44" spans="1:35" x14ac:dyDescent="0.25">
      <c r="A44" t="s">
        <v>44</v>
      </c>
      <c r="B44" t="s">
        <v>897</v>
      </c>
      <c r="C44" t="s">
        <v>666</v>
      </c>
      <c r="D44" t="s">
        <v>898</v>
      </c>
      <c r="E44" t="s">
        <v>80</v>
      </c>
      <c r="F44" t="s">
        <v>52</v>
      </c>
      <c r="G44" t="s">
        <v>2044</v>
      </c>
      <c r="H44" t="s">
        <v>2045</v>
      </c>
      <c r="I44" t="s">
        <v>2046</v>
      </c>
      <c r="J44" t="s">
        <v>1584</v>
      </c>
      <c r="K44" t="s">
        <v>1620</v>
      </c>
      <c r="L44" t="s">
        <v>1585</v>
      </c>
      <c r="M44" t="s">
        <v>1438</v>
      </c>
      <c r="N44" t="s">
        <v>89</v>
      </c>
      <c r="O44" t="s">
        <v>1484</v>
      </c>
      <c r="P44" t="s">
        <v>89</v>
      </c>
      <c r="Q44" t="s">
        <v>2047</v>
      </c>
      <c r="R44" t="s">
        <v>1504</v>
      </c>
      <c r="S44" t="s">
        <v>93</v>
      </c>
      <c r="T44" t="s">
        <v>1400</v>
      </c>
      <c r="U44" t="s">
        <v>1438</v>
      </c>
      <c r="V44" t="s">
        <v>89</v>
      </c>
      <c r="W44" t="s">
        <v>1484</v>
      </c>
      <c r="X44" t="s">
        <v>89</v>
      </c>
      <c r="Y44" t="s">
        <v>2048</v>
      </c>
      <c r="Z44" t="s">
        <v>1507</v>
      </c>
      <c r="AA44" t="s">
        <v>93</v>
      </c>
      <c r="AB44" t="s">
        <v>1337</v>
      </c>
      <c r="AC44" t="s">
        <v>2049</v>
      </c>
      <c r="AF44">
        <f>Tabela3[[#This Row],[kan_params]]*1</f>
        <v>1273</v>
      </c>
      <c r="AG44">
        <f>1*Tabela3[[#This Row],[kan_test_acc]]</f>
        <v>0.473684221506118</v>
      </c>
      <c r="AH44">
        <f>1*Tabela3[[#This Row],[mlp_test_acc]]</f>
        <v>0.97368421052631504</v>
      </c>
      <c r="AI44">
        <f>1*Tabela3[[#This Row],[mlp2_test_acc]]</f>
        <v>0.97368421052631504</v>
      </c>
    </row>
    <row r="45" spans="1:35" x14ac:dyDescent="0.25">
      <c r="A45" t="s">
        <v>44</v>
      </c>
      <c r="B45" t="s">
        <v>897</v>
      </c>
      <c r="C45" t="s">
        <v>1026</v>
      </c>
      <c r="D45" t="s">
        <v>274</v>
      </c>
      <c r="E45" t="s">
        <v>80</v>
      </c>
      <c r="F45" t="s">
        <v>46</v>
      </c>
      <c r="G45" t="s">
        <v>1560</v>
      </c>
      <c r="H45" t="s">
        <v>2168</v>
      </c>
      <c r="I45" t="s">
        <v>1945</v>
      </c>
      <c r="J45" t="s">
        <v>1501</v>
      </c>
      <c r="K45" t="s">
        <v>89</v>
      </c>
      <c r="L45" t="s">
        <v>1491</v>
      </c>
      <c r="M45" t="s">
        <v>1463</v>
      </c>
      <c r="N45" t="s">
        <v>89</v>
      </c>
      <c r="O45" t="s">
        <v>1484</v>
      </c>
      <c r="P45" t="s">
        <v>89</v>
      </c>
      <c r="Q45" t="s">
        <v>2169</v>
      </c>
      <c r="R45" t="s">
        <v>1477</v>
      </c>
      <c r="S45" t="s">
        <v>93</v>
      </c>
      <c r="T45" t="s">
        <v>1309</v>
      </c>
      <c r="U45" t="s">
        <v>1463</v>
      </c>
      <c r="V45" t="s">
        <v>89</v>
      </c>
      <c r="W45" t="s">
        <v>1439</v>
      </c>
      <c r="X45" t="s">
        <v>89</v>
      </c>
      <c r="Y45" t="s">
        <v>2170</v>
      </c>
      <c r="Z45" t="s">
        <v>1567</v>
      </c>
      <c r="AA45" t="s">
        <v>93</v>
      </c>
      <c r="AB45" t="s">
        <v>1568</v>
      </c>
      <c r="AC45" t="s">
        <v>2171</v>
      </c>
      <c r="AF45">
        <f>Tabela3[[#This Row],[kan_params]]*1</f>
        <v>3005</v>
      </c>
      <c r="AG45">
        <f>1*Tabela3[[#This Row],[kan_test_acc]]</f>
        <v>0.94736844301223699</v>
      </c>
      <c r="AH45">
        <f>1*Tabela3[[#This Row],[mlp_test_acc]]</f>
        <v>0.94736842105263097</v>
      </c>
      <c r="AI45">
        <f>1*Tabela3[[#This Row],[mlp2_test_acc]]</f>
        <v>0.94736842105263097</v>
      </c>
    </row>
    <row r="46" spans="1:35" x14ac:dyDescent="0.25">
      <c r="A46" t="s">
        <v>44</v>
      </c>
      <c r="B46" t="s">
        <v>897</v>
      </c>
      <c r="C46" t="s">
        <v>1026</v>
      </c>
      <c r="D46" t="s">
        <v>274</v>
      </c>
      <c r="E46" t="s">
        <v>80</v>
      </c>
      <c r="F46" t="s">
        <v>47</v>
      </c>
      <c r="G46" t="s">
        <v>1570</v>
      </c>
      <c r="H46" t="s">
        <v>2172</v>
      </c>
      <c r="I46" t="s">
        <v>2173</v>
      </c>
      <c r="J46" t="s">
        <v>1450</v>
      </c>
      <c r="K46" t="s">
        <v>89</v>
      </c>
      <c r="L46" t="s">
        <v>1491</v>
      </c>
      <c r="M46" t="s">
        <v>1463</v>
      </c>
      <c r="N46" t="s">
        <v>89</v>
      </c>
      <c r="O46" t="s">
        <v>1439</v>
      </c>
      <c r="P46" t="s">
        <v>89</v>
      </c>
      <c r="Q46" t="s">
        <v>2174</v>
      </c>
      <c r="R46" t="s">
        <v>1577</v>
      </c>
      <c r="S46" t="s">
        <v>93</v>
      </c>
      <c r="T46" t="s">
        <v>1578</v>
      </c>
      <c r="U46" t="s">
        <v>1463</v>
      </c>
      <c r="V46" t="s">
        <v>89</v>
      </c>
      <c r="W46" t="s">
        <v>1439</v>
      </c>
      <c r="X46" t="s">
        <v>89</v>
      </c>
      <c r="Y46" t="s">
        <v>2175</v>
      </c>
      <c r="Z46" t="s">
        <v>1545</v>
      </c>
      <c r="AA46" t="s">
        <v>93</v>
      </c>
      <c r="AB46" t="s">
        <v>1311</v>
      </c>
      <c r="AC46" t="s">
        <v>2176</v>
      </c>
      <c r="AF46">
        <f>Tabela3[[#This Row],[kan_params]]*1</f>
        <v>2071</v>
      </c>
      <c r="AG46">
        <f>1*Tabela3[[#This Row],[kan_test_acc]]</f>
        <v>0.94736844301223699</v>
      </c>
      <c r="AH46">
        <f>1*Tabela3[[#This Row],[mlp_test_acc]]</f>
        <v>0.94736842105263097</v>
      </c>
      <c r="AI46">
        <f>1*Tabela3[[#This Row],[mlp2_test_acc]]</f>
        <v>0.94736842105263097</v>
      </c>
    </row>
    <row r="47" spans="1:35" x14ac:dyDescent="0.25">
      <c r="A47" t="s">
        <v>44</v>
      </c>
      <c r="B47" t="s">
        <v>959</v>
      </c>
      <c r="C47" t="s">
        <v>1026</v>
      </c>
      <c r="D47" t="s">
        <v>79</v>
      </c>
      <c r="E47" t="s">
        <v>80</v>
      </c>
      <c r="F47" t="s">
        <v>51</v>
      </c>
      <c r="G47" t="s">
        <v>1728</v>
      </c>
      <c r="H47" t="s">
        <v>2248</v>
      </c>
      <c r="I47" t="s">
        <v>1860</v>
      </c>
      <c r="J47" t="s">
        <v>2164</v>
      </c>
      <c r="K47" t="s">
        <v>89</v>
      </c>
      <c r="L47" t="s">
        <v>1491</v>
      </c>
      <c r="M47" t="s">
        <v>1463</v>
      </c>
      <c r="N47" t="s">
        <v>89</v>
      </c>
      <c r="O47" t="s">
        <v>1484</v>
      </c>
      <c r="P47" t="s">
        <v>89</v>
      </c>
      <c r="Q47" t="s">
        <v>2249</v>
      </c>
      <c r="R47" t="s">
        <v>1462</v>
      </c>
      <c r="S47" t="s">
        <v>93</v>
      </c>
      <c r="T47" t="s">
        <v>1303</v>
      </c>
      <c r="U47" t="s">
        <v>1463</v>
      </c>
      <c r="V47" t="s">
        <v>89</v>
      </c>
      <c r="W47" t="s">
        <v>1484</v>
      </c>
      <c r="X47" t="s">
        <v>89</v>
      </c>
      <c r="Y47" t="s">
        <v>2250</v>
      </c>
      <c r="Z47" t="s">
        <v>1466</v>
      </c>
      <c r="AA47" t="s">
        <v>93</v>
      </c>
      <c r="AB47" t="s">
        <v>1222</v>
      </c>
      <c r="AC47" t="s">
        <v>2251</v>
      </c>
      <c r="AF47">
        <f>Tabela3[[#This Row],[kan_params]]*1</f>
        <v>1754</v>
      </c>
      <c r="AG47">
        <f>1*Tabela3[[#This Row],[kan_test_acc]]</f>
        <v>0.94736844301223699</v>
      </c>
      <c r="AH47">
        <f>1*Tabela3[[#This Row],[mlp_test_acc]]</f>
        <v>0.94736842105263097</v>
      </c>
      <c r="AI47">
        <f>1*Tabela3[[#This Row],[mlp2_test_acc]]</f>
        <v>0.94736842105263097</v>
      </c>
    </row>
    <row r="48" spans="1:35" x14ac:dyDescent="0.25">
      <c r="A48" t="s">
        <v>44</v>
      </c>
      <c r="B48" t="s">
        <v>959</v>
      </c>
      <c r="C48" t="s">
        <v>1026</v>
      </c>
      <c r="D48" t="s">
        <v>79</v>
      </c>
      <c r="E48" t="s">
        <v>80</v>
      </c>
      <c r="F48" t="s">
        <v>56</v>
      </c>
      <c r="G48" t="s">
        <v>1766</v>
      </c>
      <c r="H48" t="s">
        <v>2270</v>
      </c>
      <c r="I48" t="s">
        <v>1056</v>
      </c>
      <c r="J48" t="s">
        <v>1436</v>
      </c>
      <c r="K48" t="s">
        <v>89</v>
      </c>
      <c r="L48" t="s">
        <v>1491</v>
      </c>
      <c r="M48" t="s">
        <v>1463</v>
      </c>
      <c r="N48" t="s">
        <v>89</v>
      </c>
      <c r="O48" t="s">
        <v>1439</v>
      </c>
      <c r="P48" t="s">
        <v>89</v>
      </c>
      <c r="Q48" t="s">
        <v>2271</v>
      </c>
      <c r="R48" t="s">
        <v>1472</v>
      </c>
      <c r="S48" t="s">
        <v>93</v>
      </c>
      <c r="T48" t="s">
        <v>1473</v>
      </c>
      <c r="U48" t="s">
        <v>1463</v>
      </c>
      <c r="V48" t="s">
        <v>89</v>
      </c>
      <c r="W48" t="s">
        <v>1439</v>
      </c>
      <c r="X48" t="s">
        <v>89</v>
      </c>
      <c r="Y48" t="s">
        <v>2272</v>
      </c>
      <c r="Z48" t="s">
        <v>1477</v>
      </c>
      <c r="AA48" t="s">
        <v>93</v>
      </c>
      <c r="AB48" t="s">
        <v>1309</v>
      </c>
      <c r="AC48" t="s">
        <v>2273</v>
      </c>
      <c r="AF48">
        <f>Tabela3[[#This Row],[kan_params]]*1</f>
        <v>2902</v>
      </c>
      <c r="AG48">
        <f>1*Tabela3[[#This Row],[kan_test_acc]]</f>
        <v>0.94736844301223699</v>
      </c>
      <c r="AH48">
        <f>1*Tabela3[[#This Row],[mlp_test_acc]]</f>
        <v>0.94736842105263097</v>
      </c>
      <c r="AI48">
        <f>1*Tabela3[[#This Row],[mlp2_test_acc]]</f>
        <v>0.94736842105263097</v>
      </c>
    </row>
    <row r="49" spans="1:35" x14ac:dyDescent="0.25">
      <c r="A49" t="s">
        <v>44</v>
      </c>
      <c r="B49" t="s">
        <v>78</v>
      </c>
      <c r="C49" t="s">
        <v>666</v>
      </c>
      <c r="D49" t="s">
        <v>274</v>
      </c>
      <c r="E49" t="s">
        <v>80</v>
      </c>
      <c r="F49" t="s">
        <v>51</v>
      </c>
      <c r="G49" t="s">
        <v>1887</v>
      </c>
      <c r="H49" t="s">
        <v>1888</v>
      </c>
      <c r="I49" t="s">
        <v>1179</v>
      </c>
      <c r="J49" t="s">
        <v>1450</v>
      </c>
      <c r="K49" t="s">
        <v>89</v>
      </c>
      <c r="L49" t="s">
        <v>1889</v>
      </c>
      <c r="M49" t="s">
        <v>1438</v>
      </c>
      <c r="N49" t="s">
        <v>89</v>
      </c>
      <c r="O49" t="s">
        <v>1484</v>
      </c>
      <c r="P49" t="s">
        <v>89</v>
      </c>
      <c r="Q49" t="s">
        <v>1890</v>
      </c>
      <c r="R49" t="s">
        <v>1504</v>
      </c>
      <c r="S49" t="s">
        <v>93</v>
      </c>
      <c r="T49" t="s">
        <v>1400</v>
      </c>
      <c r="U49" t="s">
        <v>1438</v>
      </c>
      <c r="V49" t="s">
        <v>89</v>
      </c>
      <c r="W49" t="s">
        <v>1484</v>
      </c>
      <c r="X49" t="s">
        <v>89</v>
      </c>
      <c r="Y49" t="s">
        <v>1891</v>
      </c>
      <c r="Z49" t="s">
        <v>1507</v>
      </c>
      <c r="AA49" t="s">
        <v>93</v>
      </c>
      <c r="AB49" t="s">
        <v>1337</v>
      </c>
      <c r="AC49" t="s">
        <v>1892</v>
      </c>
      <c r="AF49">
        <f>Tabela3[[#This Row],[kan_params]]*1</f>
        <v>1201</v>
      </c>
      <c r="AG49">
        <f>1*Tabela3[[#This Row],[kan_test_acc]]</f>
        <v>0.92105263471603305</v>
      </c>
      <c r="AH49">
        <f>1*Tabela3[[#This Row],[mlp_test_acc]]</f>
        <v>0.97368421052631504</v>
      </c>
      <c r="AI49">
        <f>1*Tabela3[[#This Row],[mlp2_test_acc]]</f>
        <v>0.97368421052631504</v>
      </c>
    </row>
    <row r="50" spans="1:35" x14ac:dyDescent="0.25">
      <c r="A50" t="s">
        <v>44</v>
      </c>
      <c r="B50" t="s">
        <v>78</v>
      </c>
      <c r="C50" t="s">
        <v>666</v>
      </c>
      <c r="D50" t="s">
        <v>274</v>
      </c>
      <c r="E50" t="s">
        <v>80</v>
      </c>
      <c r="F50" t="s">
        <v>53</v>
      </c>
      <c r="G50" t="s">
        <v>1900</v>
      </c>
      <c r="H50" t="s">
        <v>1901</v>
      </c>
      <c r="I50" t="s">
        <v>1397</v>
      </c>
      <c r="J50" t="s">
        <v>1542</v>
      </c>
      <c r="K50" t="s">
        <v>89</v>
      </c>
      <c r="L50" t="s">
        <v>1889</v>
      </c>
      <c r="M50" t="s">
        <v>1438</v>
      </c>
      <c r="N50" t="s">
        <v>89</v>
      </c>
      <c r="O50" t="s">
        <v>1484</v>
      </c>
      <c r="P50" t="s">
        <v>89</v>
      </c>
      <c r="Q50" t="s">
        <v>1902</v>
      </c>
      <c r="R50" t="s">
        <v>1446</v>
      </c>
      <c r="S50" t="s">
        <v>93</v>
      </c>
      <c r="T50" t="s">
        <v>1247</v>
      </c>
      <c r="U50" t="s">
        <v>1438</v>
      </c>
      <c r="V50" t="s">
        <v>89</v>
      </c>
      <c r="W50" t="s">
        <v>1484</v>
      </c>
      <c r="X50" t="s">
        <v>89</v>
      </c>
      <c r="Y50" t="s">
        <v>1903</v>
      </c>
      <c r="Z50" t="s">
        <v>1522</v>
      </c>
      <c r="AA50" t="s">
        <v>93</v>
      </c>
      <c r="AB50" t="s">
        <v>1412</v>
      </c>
      <c r="AC50" t="s">
        <v>1904</v>
      </c>
      <c r="AF50">
        <f>Tabela3[[#This Row],[kan_params]]*1</f>
        <v>1593</v>
      </c>
      <c r="AG50">
        <f>1*Tabela3[[#This Row],[kan_test_acc]]</f>
        <v>0.92105263471603305</v>
      </c>
      <c r="AH50">
        <f>1*Tabela3[[#This Row],[mlp_test_acc]]</f>
        <v>0.97368421052631504</v>
      </c>
      <c r="AI50">
        <f>1*Tabela3[[#This Row],[mlp2_test_acc]]</f>
        <v>0.97368421052631504</v>
      </c>
    </row>
    <row r="51" spans="1:35" x14ac:dyDescent="0.25">
      <c r="A51" t="s">
        <v>44</v>
      </c>
      <c r="B51" t="s">
        <v>78</v>
      </c>
      <c r="C51" t="s">
        <v>666</v>
      </c>
      <c r="D51" t="s">
        <v>274</v>
      </c>
      <c r="E51" t="s">
        <v>80</v>
      </c>
      <c r="F51" t="s">
        <v>56</v>
      </c>
      <c r="G51" t="s">
        <v>1916</v>
      </c>
      <c r="H51" t="s">
        <v>1917</v>
      </c>
      <c r="I51" t="s">
        <v>527</v>
      </c>
      <c r="J51" t="s">
        <v>1501</v>
      </c>
      <c r="K51" t="s">
        <v>89</v>
      </c>
      <c r="L51" t="s">
        <v>1889</v>
      </c>
      <c r="M51" t="s">
        <v>1438</v>
      </c>
      <c r="N51" t="s">
        <v>89</v>
      </c>
      <c r="O51" t="s">
        <v>1484</v>
      </c>
      <c r="P51" t="s">
        <v>89</v>
      </c>
      <c r="Q51" t="s">
        <v>1918</v>
      </c>
      <c r="R51" t="s">
        <v>1577</v>
      </c>
      <c r="S51" t="s">
        <v>93</v>
      </c>
      <c r="T51" t="s">
        <v>1578</v>
      </c>
      <c r="U51" t="s">
        <v>1438</v>
      </c>
      <c r="V51" t="s">
        <v>89</v>
      </c>
      <c r="W51" t="s">
        <v>1484</v>
      </c>
      <c r="X51" t="s">
        <v>89</v>
      </c>
      <c r="Y51" t="s">
        <v>1919</v>
      </c>
      <c r="Z51" t="s">
        <v>1545</v>
      </c>
      <c r="AA51" t="s">
        <v>93</v>
      </c>
      <c r="AB51" t="s">
        <v>1311</v>
      </c>
      <c r="AC51" t="s">
        <v>1920</v>
      </c>
      <c r="AF51">
        <f>Tabela3[[#This Row],[kan_params]]*1</f>
        <v>1985</v>
      </c>
      <c r="AG51">
        <f>1*Tabela3[[#This Row],[kan_test_acc]]</f>
        <v>0.92105263471603305</v>
      </c>
      <c r="AH51">
        <f>1*Tabela3[[#This Row],[mlp_test_acc]]</f>
        <v>0.97368421052631504</v>
      </c>
      <c r="AI51">
        <f>1*Tabela3[[#This Row],[mlp2_test_acc]]</f>
        <v>0.97368421052631504</v>
      </c>
    </row>
    <row r="52" spans="1:35" x14ac:dyDescent="0.25">
      <c r="A52" t="s">
        <v>44</v>
      </c>
      <c r="B52" t="s">
        <v>814</v>
      </c>
      <c r="C52" t="s">
        <v>666</v>
      </c>
      <c r="D52" t="s">
        <v>79</v>
      </c>
      <c r="E52" t="s">
        <v>80</v>
      </c>
      <c r="F52" t="s">
        <v>46</v>
      </c>
      <c r="G52" t="s">
        <v>1927</v>
      </c>
      <c r="H52" t="s">
        <v>1928</v>
      </c>
      <c r="I52" t="s">
        <v>1929</v>
      </c>
      <c r="J52" t="s">
        <v>1542</v>
      </c>
      <c r="K52" t="s">
        <v>89</v>
      </c>
      <c r="L52" t="s">
        <v>1889</v>
      </c>
      <c r="M52" t="s">
        <v>1438</v>
      </c>
      <c r="N52" t="s">
        <v>89</v>
      </c>
      <c r="O52" t="s">
        <v>1484</v>
      </c>
      <c r="P52" t="s">
        <v>89</v>
      </c>
      <c r="Q52" t="s">
        <v>1930</v>
      </c>
      <c r="R52" t="s">
        <v>1472</v>
      </c>
      <c r="S52" t="s">
        <v>93</v>
      </c>
      <c r="T52" t="s">
        <v>1473</v>
      </c>
      <c r="U52" t="s">
        <v>1438</v>
      </c>
      <c r="V52" t="s">
        <v>89</v>
      </c>
      <c r="W52" t="s">
        <v>1484</v>
      </c>
      <c r="X52" t="s">
        <v>89</v>
      </c>
      <c r="Y52" t="s">
        <v>1931</v>
      </c>
      <c r="Z52" t="s">
        <v>1477</v>
      </c>
      <c r="AA52" t="s">
        <v>93</v>
      </c>
      <c r="AB52" t="s">
        <v>1309</v>
      </c>
      <c r="AC52" t="s">
        <v>1932</v>
      </c>
      <c r="AF52">
        <f>Tabela3[[#This Row],[kan_params]]*1</f>
        <v>2848</v>
      </c>
      <c r="AG52">
        <f>1*Tabela3[[#This Row],[kan_test_acc]]</f>
        <v>0.92105263471603305</v>
      </c>
      <c r="AH52">
        <f>1*Tabela3[[#This Row],[mlp_test_acc]]</f>
        <v>0.97368421052631504</v>
      </c>
      <c r="AI52">
        <f>1*Tabela3[[#This Row],[mlp2_test_acc]]</f>
        <v>0.97368421052631504</v>
      </c>
    </row>
    <row r="53" spans="1:35" x14ac:dyDescent="0.25">
      <c r="A53" t="s">
        <v>44</v>
      </c>
      <c r="B53" t="s">
        <v>814</v>
      </c>
      <c r="C53" t="s">
        <v>666</v>
      </c>
      <c r="D53" t="s">
        <v>79</v>
      </c>
      <c r="E53" t="s">
        <v>80</v>
      </c>
      <c r="F53" t="s">
        <v>47</v>
      </c>
      <c r="G53" t="s">
        <v>1933</v>
      </c>
      <c r="H53" t="s">
        <v>1934</v>
      </c>
      <c r="I53" t="s">
        <v>1935</v>
      </c>
      <c r="J53" t="s">
        <v>1936</v>
      </c>
      <c r="K53" t="s">
        <v>89</v>
      </c>
      <c r="L53" t="s">
        <v>1889</v>
      </c>
      <c r="M53" t="s">
        <v>1438</v>
      </c>
      <c r="N53" t="s">
        <v>89</v>
      </c>
      <c r="O53" t="s">
        <v>1484</v>
      </c>
      <c r="P53" t="s">
        <v>89</v>
      </c>
      <c r="Q53" t="s">
        <v>1937</v>
      </c>
      <c r="R53" t="s">
        <v>1466</v>
      </c>
      <c r="S53" t="s">
        <v>93</v>
      </c>
      <c r="T53" t="s">
        <v>1222</v>
      </c>
      <c r="U53" t="s">
        <v>1438</v>
      </c>
      <c r="V53" t="s">
        <v>89</v>
      </c>
      <c r="W53" t="s">
        <v>1484</v>
      </c>
      <c r="X53" t="s">
        <v>89</v>
      </c>
      <c r="Y53" t="s">
        <v>1938</v>
      </c>
      <c r="Z53" t="s">
        <v>1577</v>
      </c>
      <c r="AA53" t="s">
        <v>93</v>
      </c>
      <c r="AB53" t="s">
        <v>1578</v>
      </c>
      <c r="AC53" t="s">
        <v>1939</v>
      </c>
      <c r="AF53">
        <f>Tabela3[[#This Row],[kan_params]]*1</f>
        <v>1963</v>
      </c>
      <c r="AG53">
        <f>1*Tabela3[[#This Row],[kan_test_acc]]</f>
        <v>0.92105263471603305</v>
      </c>
      <c r="AH53">
        <f>1*Tabela3[[#This Row],[mlp_test_acc]]</f>
        <v>0.97368421052631504</v>
      </c>
      <c r="AI53">
        <f>1*Tabela3[[#This Row],[mlp2_test_acc]]</f>
        <v>0.97368421052631504</v>
      </c>
    </row>
    <row r="54" spans="1:35" x14ac:dyDescent="0.25">
      <c r="A54" t="s">
        <v>44</v>
      </c>
      <c r="B54" t="s">
        <v>814</v>
      </c>
      <c r="C54" t="s">
        <v>666</v>
      </c>
      <c r="D54" t="s">
        <v>79</v>
      </c>
      <c r="E54" t="s">
        <v>80</v>
      </c>
      <c r="F54" t="s">
        <v>48</v>
      </c>
      <c r="G54" t="s">
        <v>1940</v>
      </c>
      <c r="H54" t="s">
        <v>1941</v>
      </c>
      <c r="I54" t="s">
        <v>1942</v>
      </c>
      <c r="J54" t="s">
        <v>1501</v>
      </c>
      <c r="K54" t="s">
        <v>89</v>
      </c>
      <c r="L54" t="s">
        <v>1889</v>
      </c>
      <c r="M54" t="s">
        <v>1438</v>
      </c>
      <c r="N54" t="s">
        <v>89</v>
      </c>
      <c r="O54" t="s">
        <v>1484</v>
      </c>
      <c r="P54" t="s">
        <v>89</v>
      </c>
      <c r="Q54" t="s">
        <v>1943</v>
      </c>
      <c r="R54" t="s">
        <v>1944</v>
      </c>
      <c r="S54" t="s">
        <v>93</v>
      </c>
      <c r="T54" t="s">
        <v>1945</v>
      </c>
      <c r="U54" t="s">
        <v>1438</v>
      </c>
      <c r="V54" t="s">
        <v>89</v>
      </c>
      <c r="W54" t="s">
        <v>1439</v>
      </c>
      <c r="X54" t="s">
        <v>89</v>
      </c>
      <c r="Y54" t="s">
        <v>1946</v>
      </c>
      <c r="Z54" t="s">
        <v>1588</v>
      </c>
      <c r="AA54" t="s">
        <v>93</v>
      </c>
      <c r="AB54" t="s">
        <v>1301</v>
      </c>
      <c r="AC54" t="s">
        <v>1947</v>
      </c>
      <c r="AF54">
        <f>Tabela3[[#This Row],[kan_params]]*1</f>
        <v>3318</v>
      </c>
      <c r="AG54">
        <f>1*Tabela3[[#This Row],[kan_test_acc]]</f>
        <v>0.92105263471603305</v>
      </c>
      <c r="AH54">
        <f>1*Tabela3[[#This Row],[mlp_test_acc]]</f>
        <v>0.97368421052631504</v>
      </c>
      <c r="AI54">
        <f>1*Tabela3[[#This Row],[mlp2_test_acc]]</f>
        <v>0.97368421052631504</v>
      </c>
    </row>
    <row r="55" spans="1:35" x14ac:dyDescent="0.25">
      <c r="A55" t="s">
        <v>44</v>
      </c>
      <c r="B55" t="s">
        <v>814</v>
      </c>
      <c r="C55" t="s">
        <v>666</v>
      </c>
      <c r="D55" t="s">
        <v>79</v>
      </c>
      <c r="E55" t="s">
        <v>80</v>
      </c>
      <c r="F55" t="s">
        <v>50</v>
      </c>
      <c r="G55" t="s">
        <v>1954</v>
      </c>
      <c r="H55" t="s">
        <v>1955</v>
      </c>
      <c r="I55" t="s">
        <v>1956</v>
      </c>
      <c r="J55" t="s">
        <v>1957</v>
      </c>
      <c r="K55" t="s">
        <v>89</v>
      </c>
      <c r="L55" t="s">
        <v>1889</v>
      </c>
      <c r="M55" t="s">
        <v>1438</v>
      </c>
      <c r="N55" t="s">
        <v>89</v>
      </c>
      <c r="O55" t="s">
        <v>1484</v>
      </c>
      <c r="P55" t="s">
        <v>89</v>
      </c>
      <c r="Q55" t="s">
        <v>1958</v>
      </c>
      <c r="R55" t="s">
        <v>1497</v>
      </c>
      <c r="S55" t="s">
        <v>93</v>
      </c>
      <c r="T55" t="s">
        <v>1250</v>
      </c>
      <c r="U55" t="s">
        <v>1438</v>
      </c>
      <c r="V55" t="s">
        <v>89</v>
      </c>
      <c r="W55" t="s">
        <v>1484</v>
      </c>
      <c r="X55" t="s">
        <v>89</v>
      </c>
      <c r="Y55" t="s">
        <v>1959</v>
      </c>
      <c r="Z55" t="s">
        <v>1529</v>
      </c>
      <c r="AA55" t="s">
        <v>93</v>
      </c>
      <c r="AB55" t="s">
        <v>1226</v>
      </c>
      <c r="AC55" t="s">
        <v>1960</v>
      </c>
      <c r="AF55">
        <f>Tabela3[[#This Row],[kan_params]]*1</f>
        <v>803</v>
      </c>
      <c r="AG55">
        <f>1*Tabela3[[#This Row],[kan_test_acc]]</f>
        <v>0.92105263471603305</v>
      </c>
      <c r="AH55">
        <f>1*Tabela3[[#This Row],[mlp_test_acc]]</f>
        <v>0.97368421052631504</v>
      </c>
      <c r="AI55">
        <f>1*Tabela3[[#This Row],[mlp2_test_acc]]</f>
        <v>0.97368421052631504</v>
      </c>
    </row>
    <row r="56" spans="1:35" x14ac:dyDescent="0.25">
      <c r="A56" t="s">
        <v>44</v>
      </c>
      <c r="B56" t="s">
        <v>814</v>
      </c>
      <c r="C56" t="s">
        <v>666</v>
      </c>
      <c r="D56" t="s">
        <v>79</v>
      </c>
      <c r="E56" t="s">
        <v>80</v>
      </c>
      <c r="F56" t="s">
        <v>53</v>
      </c>
      <c r="G56" t="s">
        <v>1973</v>
      </c>
      <c r="H56" t="s">
        <v>1974</v>
      </c>
      <c r="I56" t="s">
        <v>1646</v>
      </c>
      <c r="J56" t="s">
        <v>1436</v>
      </c>
      <c r="K56" t="s">
        <v>89</v>
      </c>
      <c r="L56" t="s">
        <v>1889</v>
      </c>
      <c r="M56" t="s">
        <v>1438</v>
      </c>
      <c r="N56" t="s">
        <v>89</v>
      </c>
      <c r="O56" t="s">
        <v>1484</v>
      </c>
      <c r="P56" t="s">
        <v>89</v>
      </c>
      <c r="Q56" t="s">
        <v>1975</v>
      </c>
      <c r="R56" t="s">
        <v>1466</v>
      </c>
      <c r="S56" t="s">
        <v>93</v>
      </c>
      <c r="T56" t="s">
        <v>1222</v>
      </c>
      <c r="U56" t="s">
        <v>1438</v>
      </c>
      <c r="V56" t="s">
        <v>89</v>
      </c>
      <c r="W56" t="s">
        <v>1484</v>
      </c>
      <c r="X56" t="s">
        <v>89</v>
      </c>
      <c r="Y56" t="s">
        <v>1976</v>
      </c>
      <c r="Z56" t="s">
        <v>1577</v>
      </c>
      <c r="AA56" t="s">
        <v>93</v>
      </c>
      <c r="AB56" t="s">
        <v>1578</v>
      </c>
      <c r="AC56" t="s">
        <v>1977</v>
      </c>
      <c r="AF56">
        <f>Tabela3[[#This Row],[kan_params]]*1</f>
        <v>1908</v>
      </c>
      <c r="AG56">
        <f>1*Tabela3[[#This Row],[kan_test_acc]]</f>
        <v>0.92105263471603305</v>
      </c>
      <c r="AH56">
        <f>1*Tabela3[[#This Row],[mlp_test_acc]]</f>
        <v>0.97368421052631504</v>
      </c>
      <c r="AI56">
        <f>1*Tabela3[[#This Row],[mlp2_test_acc]]</f>
        <v>0.97368421052631504</v>
      </c>
    </row>
    <row r="57" spans="1:35" x14ac:dyDescent="0.25">
      <c r="A57" t="s">
        <v>44</v>
      </c>
      <c r="B57" t="s">
        <v>814</v>
      </c>
      <c r="C57" t="s">
        <v>666</v>
      </c>
      <c r="D57" t="s">
        <v>79</v>
      </c>
      <c r="E57" t="s">
        <v>80</v>
      </c>
      <c r="F57" t="s">
        <v>55</v>
      </c>
      <c r="G57" t="s">
        <v>1830</v>
      </c>
      <c r="H57" t="s">
        <v>1983</v>
      </c>
      <c r="I57" t="s">
        <v>1984</v>
      </c>
      <c r="J57" t="s">
        <v>1450</v>
      </c>
      <c r="K57" t="s">
        <v>89</v>
      </c>
      <c r="L57" t="s">
        <v>1889</v>
      </c>
      <c r="M57" t="s">
        <v>1438</v>
      </c>
      <c r="N57" t="s">
        <v>89</v>
      </c>
      <c r="O57" t="s">
        <v>1484</v>
      </c>
      <c r="P57" t="s">
        <v>89</v>
      </c>
      <c r="Q57" t="s">
        <v>1985</v>
      </c>
      <c r="R57" t="s">
        <v>1507</v>
      </c>
      <c r="S57" t="s">
        <v>93</v>
      </c>
      <c r="T57" t="s">
        <v>1337</v>
      </c>
      <c r="U57" t="s">
        <v>1438</v>
      </c>
      <c r="V57" t="s">
        <v>89</v>
      </c>
      <c r="W57" t="s">
        <v>1484</v>
      </c>
      <c r="X57" t="s">
        <v>89</v>
      </c>
      <c r="Y57" t="s">
        <v>1986</v>
      </c>
      <c r="Z57" t="s">
        <v>1442</v>
      </c>
      <c r="AA57" t="s">
        <v>93</v>
      </c>
      <c r="AB57" t="s">
        <v>1255</v>
      </c>
      <c r="AC57" t="s">
        <v>1987</v>
      </c>
      <c r="AF57">
        <f>Tabela3[[#This Row],[kan_params]]*1</f>
        <v>1383</v>
      </c>
      <c r="AG57">
        <f>1*Tabela3[[#This Row],[kan_test_acc]]</f>
        <v>0.92105263471603305</v>
      </c>
      <c r="AH57">
        <f>1*Tabela3[[#This Row],[mlp_test_acc]]</f>
        <v>0.97368421052631504</v>
      </c>
      <c r="AI57">
        <f>1*Tabela3[[#This Row],[mlp2_test_acc]]</f>
        <v>0.97368421052631504</v>
      </c>
    </row>
    <row r="58" spans="1:35" x14ac:dyDescent="0.25">
      <c r="A58" t="s">
        <v>44</v>
      </c>
      <c r="B58" t="s">
        <v>897</v>
      </c>
      <c r="C58" t="s">
        <v>1026</v>
      </c>
      <c r="D58" t="s">
        <v>274</v>
      </c>
      <c r="E58" t="s">
        <v>80</v>
      </c>
      <c r="F58" t="s">
        <v>45</v>
      </c>
      <c r="G58" t="s">
        <v>1550</v>
      </c>
      <c r="H58" t="s">
        <v>2163</v>
      </c>
      <c r="I58" t="s">
        <v>1705</v>
      </c>
      <c r="J58" t="s">
        <v>2164</v>
      </c>
      <c r="K58" t="s">
        <v>89</v>
      </c>
      <c r="L58" t="s">
        <v>1889</v>
      </c>
      <c r="M58" t="s">
        <v>1463</v>
      </c>
      <c r="N58" t="s">
        <v>89</v>
      </c>
      <c r="O58" t="s">
        <v>1484</v>
      </c>
      <c r="P58" t="s">
        <v>89</v>
      </c>
      <c r="Q58" t="s">
        <v>2165</v>
      </c>
      <c r="R58" t="s">
        <v>1462</v>
      </c>
      <c r="S58" t="s">
        <v>93</v>
      </c>
      <c r="T58" t="s">
        <v>1303</v>
      </c>
      <c r="U58" t="s">
        <v>1463</v>
      </c>
      <c r="V58" t="s">
        <v>89</v>
      </c>
      <c r="W58" t="s">
        <v>1484</v>
      </c>
      <c r="X58" t="s">
        <v>89</v>
      </c>
      <c r="Y58" t="s">
        <v>2166</v>
      </c>
      <c r="Z58" t="s">
        <v>1466</v>
      </c>
      <c r="AA58" t="s">
        <v>93</v>
      </c>
      <c r="AB58" t="s">
        <v>1222</v>
      </c>
      <c r="AC58" t="s">
        <v>2167</v>
      </c>
      <c r="AF58">
        <f>Tabela3[[#This Row],[kan_params]]*1</f>
        <v>1765</v>
      </c>
      <c r="AG58">
        <f>1*Tabela3[[#This Row],[kan_test_acc]]</f>
        <v>0.92105263471603305</v>
      </c>
      <c r="AH58">
        <f>1*Tabela3[[#This Row],[mlp_test_acc]]</f>
        <v>0.94736842105263097</v>
      </c>
      <c r="AI58">
        <f>1*Tabela3[[#This Row],[mlp2_test_acc]]</f>
        <v>0.94736842105263097</v>
      </c>
    </row>
    <row r="59" spans="1:35" x14ac:dyDescent="0.25">
      <c r="A59" t="s">
        <v>44</v>
      </c>
      <c r="B59" t="s">
        <v>897</v>
      </c>
      <c r="C59" t="s">
        <v>1026</v>
      </c>
      <c r="D59" t="s">
        <v>274</v>
      </c>
      <c r="E59" t="s">
        <v>80</v>
      </c>
      <c r="F59" t="s">
        <v>48</v>
      </c>
      <c r="G59" t="s">
        <v>1581</v>
      </c>
      <c r="H59" t="s">
        <v>2177</v>
      </c>
      <c r="I59" t="s">
        <v>285</v>
      </c>
      <c r="J59" t="s">
        <v>1519</v>
      </c>
      <c r="K59" t="s">
        <v>89</v>
      </c>
      <c r="L59" t="s">
        <v>1889</v>
      </c>
      <c r="M59" t="s">
        <v>2178</v>
      </c>
      <c r="N59" t="s">
        <v>89</v>
      </c>
      <c r="O59" t="s">
        <v>1439</v>
      </c>
      <c r="P59" t="s">
        <v>89</v>
      </c>
      <c r="Q59" t="s">
        <v>2179</v>
      </c>
      <c r="R59" t="s">
        <v>1588</v>
      </c>
      <c r="S59" t="s">
        <v>93</v>
      </c>
      <c r="T59" t="s">
        <v>1301</v>
      </c>
      <c r="U59" t="s">
        <v>2178</v>
      </c>
      <c r="V59" t="s">
        <v>89</v>
      </c>
      <c r="W59" t="s">
        <v>1439</v>
      </c>
      <c r="X59" t="s">
        <v>89</v>
      </c>
      <c r="Y59" t="s">
        <v>2180</v>
      </c>
      <c r="Z59" t="s">
        <v>1591</v>
      </c>
      <c r="AA59" t="s">
        <v>93</v>
      </c>
      <c r="AB59" t="s">
        <v>1592</v>
      </c>
      <c r="AC59" t="s">
        <v>2181</v>
      </c>
      <c r="AF59">
        <f>Tabela3[[#This Row],[kan_params]]*1</f>
        <v>3501</v>
      </c>
      <c r="AG59">
        <f>1*Tabela3[[#This Row],[kan_test_acc]]</f>
        <v>0.92105263471603305</v>
      </c>
      <c r="AH59">
        <f>1*Tabela3[[#This Row],[mlp_test_acc]]</f>
        <v>0.92105263157894701</v>
      </c>
      <c r="AI59">
        <f>1*Tabela3[[#This Row],[mlp2_test_acc]]</f>
        <v>0.92105263157894701</v>
      </c>
    </row>
    <row r="60" spans="1:35" x14ac:dyDescent="0.25">
      <c r="A60" t="s">
        <v>44</v>
      </c>
      <c r="B60" t="s">
        <v>897</v>
      </c>
      <c r="C60" t="s">
        <v>1026</v>
      </c>
      <c r="D60" t="s">
        <v>274</v>
      </c>
      <c r="E60" t="s">
        <v>80</v>
      </c>
      <c r="F60" t="s">
        <v>50</v>
      </c>
      <c r="G60" t="s">
        <v>1606</v>
      </c>
      <c r="H60" t="s">
        <v>2186</v>
      </c>
      <c r="I60" t="s">
        <v>1263</v>
      </c>
      <c r="J60" t="s">
        <v>2164</v>
      </c>
      <c r="K60" t="s">
        <v>89</v>
      </c>
      <c r="L60" t="s">
        <v>1889</v>
      </c>
      <c r="M60" t="s">
        <v>89</v>
      </c>
      <c r="N60" t="s">
        <v>89</v>
      </c>
      <c r="O60" t="s">
        <v>1484</v>
      </c>
      <c r="P60" t="s">
        <v>2187</v>
      </c>
      <c r="Q60" t="s">
        <v>2188</v>
      </c>
      <c r="R60" t="s">
        <v>1529</v>
      </c>
      <c r="S60" t="s">
        <v>93</v>
      </c>
      <c r="T60" t="s">
        <v>1226</v>
      </c>
      <c r="U60" t="s">
        <v>89</v>
      </c>
      <c r="V60" t="s">
        <v>89</v>
      </c>
      <c r="W60" t="s">
        <v>1484</v>
      </c>
      <c r="X60" t="s">
        <v>94</v>
      </c>
      <c r="Y60" t="s">
        <v>2189</v>
      </c>
      <c r="Z60" t="s">
        <v>1512</v>
      </c>
      <c r="AA60" t="s">
        <v>93</v>
      </c>
      <c r="AB60" t="s">
        <v>1231</v>
      </c>
      <c r="AC60" t="s">
        <v>2190</v>
      </c>
      <c r="AF60">
        <f>Tabela3[[#This Row],[kan_params]]*1</f>
        <v>847</v>
      </c>
      <c r="AG60">
        <f>1*Tabela3[[#This Row],[kan_test_acc]]</f>
        <v>0.92105263471603305</v>
      </c>
      <c r="AH60">
        <f>1*Tabela3[[#This Row],[mlp_test_acc]]</f>
        <v>1</v>
      </c>
      <c r="AI60">
        <f>1*Tabela3[[#This Row],[mlp2_test_acc]]</f>
        <v>1</v>
      </c>
    </row>
    <row r="61" spans="1:35" x14ac:dyDescent="0.25">
      <c r="A61" t="s">
        <v>44</v>
      </c>
      <c r="B61" t="s">
        <v>897</v>
      </c>
      <c r="C61" t="s">
        <v>1026</v>
      </c>
      <c r="D61" t="s">
        <v>274</v>
      </c>
      <c r="E61" t="s">
        <v>80</v>
      </c>
      <c r="F61" t="s">
        <v>56</v>
      </c>
      <c r="G61" t="s">
        <v>1664</v>
      </c>
      <c r="H61" t="s">
        <v>2217</v>
      </c>
      <c r="I61" t="s">
        <v>341</v>
      </c>
      <c r="J61" t="s">
        <v>89</v>
      </c>
      <c r="K61" t="s">
        <v>89</v>
      </c>
      <c r="L61" t="s">
        <v>1889</v>
      </c>
      <c r="M61" t="s">
        <v>1463</v>
      </c>
      <c r="N61" t="s">
        <v>89</v>
      </c>
      <c r="O61" t="s">
        <v>89</v>
      </c>
      <c r="P61" t="s">
        <v>305</v>
      </c>
      <c r="Q61" t="s">
        <v>2218</v>
      </c>
      <c r="R61" t="s">
        <v>1670</v>
      </c>
      <c r="S61" t="s">
        <v>93</v>
      </c>
      <c r="T61" t="s">
        <v>1671</v>
      </c>
      <c r="U61" t="s">
        <v>1438</v>
      </c>
      <c r="V61" t="s">
        <v>89</v>
      </c>
      <c r="W61" t="s">
        <v>89</v>
      </c>
      <c r="X61" t="s">
        <v>98</v>
      </c>
      <c r="Y61" t="s">
        <v>2219</v>
      </c>
      <c r="Z61" t="s">
        <v>1452</v>
      </c>
      <c r="AA61" t="s">
        <v>93</v>
      </c>
      <c r="AB61" t="s">
        <v>1453</v>
      </c>
      <c r="AC61" t="s">
        <v>2220</v>
      </c>
      <c r="AF61">
        <f>Tabela3[[#This Row],[kan_params]]*1</f>
        <v>2509</v>
      </c>
      <c r="AG61">
        <f>1*Tabela3[[#This Row],[kan_test_acc]]</f>
        <v>0.92105263471603305</v>
      </c>
      <c r="AH61">
        <f>1*Tabela3[[#This Row],[mlp_test_acc]]</f>
        <v>0.94736842105263097</v>
      </c>
      <c r="AI61">
        <f>1*Tabela3[[#This Row],[mlp2_test_acc]]</f>
        <v>0.97368421052631504</v>
      </c>
    </row>
    <row r="62" spans="1:35" x14ac:dyDescent="0.25">
      <c r="A62" t="s">
        <v>44</v>
      </c>
      <c r="B62" t="s">
        <v>959</v>
      </c>
      <c r="C62" t="s">
        <v>1026</v>
      </c>
      <c r="D62" t="s">
        <v>79</v>
      </c>
      <c r="E62" t="s">
        <v>80</v>
      </c>
      <c r="F62" t="s">
        <v>46</v>
      </c>
      <c r="G62" t="s">
        <v>1683</v>
      </c>
      <c r="H62" t="s">
        <v>2225</v>
      </c>
      <c r="I62" t="s">
        <v>317</v>
      </c>
      <c r="J62" t="s">
        <v>1501</v>
      </c>
      <c r="K62" t="s">
        <v>89</v>
      </c>
      <c r="L62" t="s">
        <v>1889</v>
      </c>
      <c r="M62" t="s">
        <v>2178</v>
      </c>
      <c r="N62" t="s">
        <v>89</v>
      </c>
      <c r="O62" t="s">
        <v>1439</v>
      </c>
      <c r="P62" t="s">
        <v>89</v>
      </c>
      <c r="Q62" t="s">
        <v>2226</v>
      </c>
      <c r="R62" t="s">
        <v>1588</v>
      </c>
      <c r="S62" t="s">
        <v>93</v>
      </c>
      <c r="T62" t="s">
        <v>1301</v>
      </c>
      <c r="U62" t="s">
        <v>1463</v>
      </c>
      <c r="V62" t="s">
        <v>89</v>
      </c>
      <c r="W62" t="s">
        <v>1439</v>
      </c>
      <c r="X62" t="s">
        <v>89</v>
      </c>
      <c r="Y62" t="s">
        <v>2227</v>
      </c>
      <c r="Z62" t="s">
        <v>1591</v>
      </c>
      <c r="AA62" t="s">
        <v>93</v>
      </c>
      <c r="AB62" t="s">
        <v>1592</v>
      </c>
      <c r="AC62" t="s">
        <v>2228</v>
      </c>
      <c r="AF62">
        <f>Tabela3[[#This Row],[kan_params]]*1</f>
        <v>3476</v>
      </c>
      <c r="AG62">
        <f>1*Tabela3[[#This Row],[kan_test_acc]]</f>
        <v>0.92105263471603305</v>
      </c>
      <c r="AH62">
        <f>1*Tabela3[[#This Row],[mlp_test_acc]]</f>
        <v>0.92105263157894701</v>
      </c>
      <c r="AI62">
        <f>1*Tabela3[[#This Row],[mlp2_test_acc]]</f>
        <v>0.94736842105263097</v>
      </c>
    </row>
    <row r="63" spans="1:35" x14ac:dyDescent="0.25">
      <c r="A63" t="s">
        <v>44</v>
      </c>
      <c r="B63" t="s">
        <v>959</v>
      </c>
      <c r="C63" t="s">
        <v>1026</v>
      </c>
      <c r="D63" t="s">
        <v>79</v>
      </c>
      <c r="E63" t="s">
        <v>80</v>
      </c>
      <c r="F63" t="s">
        <v>47</v>
      </c>
      <c r="G63" t="s">
        <v>1690</v>
      </c>
      <c r="H63" t="s">
        <v>2229</v>
      </c>
      <c r="I63" t="s">
        <v>2230</v>
      </c>
      <c r="J63" t="s">
        <v>1450</v>
      </c>
      <c r="K63" t="s">
        <v>89</v>
      </c>
      <c r="L63" t="s">
        <v>1889</v>
      </c>
      <c r="M63" t="s">
        <v>1463</v>
      </c>
      <c r="N63" t="s">
        <v>89</v>
      </c>
      <c r="O63" t="s">
        <v>1439</v>
      </c>
      <c r="P63" t="s">
        <v>89</v>
      </c>
      <c r="Q63" t="s">
        <v>2231</v>
      </c>
      <c r="R63" t="s">
        <v>1670</v>
      </c>
      <c r="S63" t="s">
        <v>93</v>
      </c>
      <c r="T63" t="s">
        <v>1671</v>
      </c>
      <c r="U63" t="s">
        <v>2178</v>
      </c>
      <c r="V63" t="s">
        <v>89</v>
      </c>
      <c r="W63" t="s">
        <v>1439</v>
      </c>
      <c r="X63" t="s">
        <v>89</v>
      </c>
      <c r="Y63" t="s">
        <v>2232</v>
      </c>
      <c r="Z63" t="s">
        <v>1452</v>
      </c>
      <c r="AA63" t="s">
        <v>93</v>
      </c>
      <c r="AB63" t="s">
        <v>1453</v>
      </c>
      <c r="AC63" t="s">
        <v>2233</v>
      </c>
      <c r="AF63">
        <f>Tabela3[[#This Row],[kan_params]]*1</f>
        <v>2395</v>
      </c>
      <c r="AG63">
        <f>1*Tabela3[[#This Row],[kan_test_acc]]</f>
        <v>0.92105263471603305</v>
      </c>
      <c r="AH63">
        <f>1*Tabela3[[#This Row],[mlp_test_acc]]</f>
        <v>0.94736842105263097</v>
      </c>
      <c r="AI63">
        <f>1*Tabela3[[#This Row],[mlp2_test_acc]]</f>
        <v>0.92105263157894701</v>
      </c>
    </row>
    <row r="64" spans="1:35" x14ac:dyDescent="0.25">
      <c r="A64" t="s">
        <v>44</v>
      </c>
      <c r="B64" t="s">
        <v>959</v>
      </c>
      <c r="C64" t="s">
        <v>1026</v>
      </c>
      <c r="D64" t="s">
        <v>79</v>
      </c>
      <c r="E64" t="s">
        <v>80</v>
      </c>
      <c r="F64" t="s">
        <v>48</v>
      </c>
      <c r="G64" t="s">
        <v>1696</v>
      </c>
      <c r="H64" t="s">
        <v>2234</v>
      </c>
      <c r="I64" t="s">
        <v>1485</v>
      </c>
      <c r="J64" t="s">
        <v>1936</v>
      </c>
      <c r="K64" t="s">
        <v>89</v>
      </c>
      <c r="L64" t="s">
        <v>1889</v>
      </c>
      <c r="M64" t="s">
        <v>2178</v>
      </c>
      <c r="N64" t="s">
        <v>89</v>
      </c>
      <c r="O64" t="s">
        <v>1439</v>
      </c>
      <c r="P64" t="s">
        <v>89</v>
      </c>
      <c r="Q64" t="s">
        <v>2235</v>
      </c>
      <c r="R64" t="s">
        <v>1701</v>
      </c>
      <c r="S64" t="s">
        <v>93</v>
      </c>
      <c r="T64" t="s">
        <v>1702</v>
      </c>
      <c r="U64" t="s">
        <v>2178</v>
      </c>
      <c r="V64" t="s">
        <v>89</v>
      </c>
      <c r="W64" t="s">
        <v>1439</v>
      </c>
      <c r="X64" t="s">
        <v>89</v>
      </c>
      <c r="Y64" t="s">
        <v>2236</v>
      </c>
      <c r="Z64" t="s">
        <v>1704</v>
      </c>
      <c r="AA64" t="s">
        <v>93</v>
      </c>
      <c r="AB64" t="s">
        <v>1705</v>
      </c>
      <c r="AC64" t="s">
        <v>2237</v>
      </c>
      <c r="AF64">
        <f>Tabela3[[#This Row],[kan_params]]*1</f>
        <v>4050</v>
      </c>
      <c r="AG64">
        <f>1*Tabela3[[#This Row],[kan_test_acc]]</f>
        <v>0.92105263471603305</v>
      </c>
      <c r="AH64">
        <f>1*Tabela3[[#This Row],[mlp_test_acc]]</f>
        <v>0.92105263157894701</v>
      </c>
      <c r="AI64">
        <f>1*Tabela3[[#This Row],[mlp2_test_acc]]</f>
        <v>0.92105263157894701</v>
      </c>
    </row>
    <row r="65" spans="1:35" x14ac:dyDescent="0.25">
      <c r="A65" t="s">
        <v>44</v>
      </c>
      <c r="B65" t="s">
        <v>959</v>
      </c>
      <c r="C65" t="s">
        <v>1026</v>
      </c>
      <c r="D65" t="s">
        <v>79</v>
      </c>
      <c r="E65" t="s">
        <v>80</v>
      </c>
      <c r="F65" t="s">
        <v>52</v>
      </c>
      <c r="G65" t="s">
        <v>1737</v>
      </c>
      <c r="H65" t="s">
        <v>2252</v>
      </c>
      <c r="I65" t="s">
        <v>98</v>
      </c>
      <c r="J65" t="s">
        <v>1501</v>
      </c>
      <c r="K65" t="s">
        <v>89</v>
      </c>
      <c r="L65" t="s">
        <v>1889</v>
      </c>
      <c r="M65" t="s">
        <v>1463</v>
      </c>
      <c r="N65" t="s">
        <v>89</v>
      </c>
      <c r="O65" t="s">
        <v>1484</v>
      </c>
      <c r="P65" t="s">
        <v>89</v>
      </c>
      <c r="Q65" t="s">
        <v>2253</v>
      </c>
      <c r="R65" t="s">
        <v>1507</v>
      </c>
      <c r="S65" t="s">
        <v>93</v>
      </c>
      <c r="T65" t="s">
        <v>1337</v>
      </c>
      <c r="U65" t="s">
        <v>1463</v>
      </c>
      <c r="V65" t="s">
        <v>89</v>
      </c>
      <c r="W65" t="s">
        <v>1484</v>
      </c>
      <c r="X65" t="s">
        <v>89</v>
      </c>
      <c r="Y65" t="s">
        <v>2254</v>
      </c>
      <c r="Z65" t="s">
        <v>1442</v>
      </c>
      <c r="AA65" t="s">
        <v>93</v>
      </c>
      <c r="AB65" t="s">
        <v>1255</v>
      </c>
      <c r="AC65" t="s">
        <v>2255</v>
      </c>
      <c r="AF65">
        <f>Tabela3[[#This Row],[kan_params]]*1</f>
        <v>1333</v>
      </c>
      <c r="AG65">
        <f>1*Tabela3[[#This Row],[kan_test_acc]]</f>
        <v>0.92105263471603305</v>
      </c>
      <c r="AH65">
        <f>1*Tabela3[[#This Row],[mlp_test_acc]]</f>
        <v>0.94736842105263097</v>
      </c>
      <c r="AI65">
        <f>1*Tabela3[[#This Row],[mlp2_test_acc]]</f>
        <v>0.94736842105263097</v>
      </c>
    </row>
    <row r="66" spans="1:35" x14ac:dyDescent="0.25">
      <c r="A66" t="s">
        <v>44</v>
      </c>
      <c r="B66" t="s">
        <v>959</v>
      </c>
      <c r="C66" t="s">
        <v>1026</v>
      </c>
      <c r="D66" t="s">
        <v>79</v>
      </c>
      <c r="E66" t="s">
        <v>80</v>
      </c>
      <c r="F66" t="s">
        <v>53</v>
      </c>
      <c r="G66" t="s">
        <v>1744</v>
      </c>
      <c r="H66" t="s">
        <v>2256</v>
      </c>
      <c r="I66" t="s">
        <v>2257</v>
      </c>
      <c r="J66" t="s">
        <v>1450</v>
      </c>
      <c r="K66" t="s">
        <v>89</v>
      </c>
      <c r="L66" t="s">
        <v>1889</v>
      </c>
      <c r="M66" t="s">
        <v>1463</v>
      </c>
      <c r="N66" t="s">
        <v>89</v>
      </c>
      <c r="O66" t="s">
        <v>1484</v>
      </c>
      <c r="P66" t="s">
        <v>89</v>
      </c>
      <c r="Q66" t="s">
        <v>2258</v>
      </c>
      <c r="R66" t="s">
        <v>1548</v>
      </c>
      <c r="S66" t="s">
        <v>93</v>
      </c>
      <c r="T66" t="s">
        <v>1397</v>
      </c>
      <c r="U66" t="s">
        <v>1463</v>
      </c>
      <c r="V66" t="s">
        <v>89</v>
      </c>
      <c r="W66" t="s">
        <v>1439</v>
      </c>
      <c r="X66" t="s">
        <v>89</v>
      </c>
      <c r="Y66" t="s">
        <v>2259</v>
      </c>
      <c r="Z66" t="s">
        <v>1670</v>
      </c>
      <c r="AA66" t="s">
        <v>93</v>
      </c>
      <c r="AB66" t="s">
        <v>1671</v>
      </c>
      <c r="AC66" t="s">
        <v>2260</v>
      </c>
      <c r="AF66">
        <f>Tabela3[[#This Row],[kan_params]]*1</f>
        <v>2328</v>
      </c>
      <c r="AG66">
        <f>1*Tabela3[[#This Row],[kan_test_acc]]</f>
        <v>0.92105263471603305</v>
      </c>
      <c r="AH66">
        <f>1*Tabela3[[#This Row],[mlp_test_acc]]</f>
        <v>0.94736842105263097</v>
      </c>
      <c r="AI66">
        <f>1*Tabela3[[#This Row],[mlp2_test_acc]]</f>
        <v>0.94736842105263097</v>
      </c>
    </row>
    <row r="67" spans="1:35" x14ac:dyDescent="0.25">
      <c r="A67" t="s">
        <v>44</v>
      </c>
      <c r="B67" t="s">
        <v>78</v>
      </c>
      <c r="C67" t="s">
        <v>666</v>
      </c>
      <c r="D67" t="s">
        <v>274</v>
      </c>
      <c r="E67" t="s">
        <v>80</v>
      </c>
      <c r="F67" t="s">
        <v>50</v>
      </c>
      <c r="G67" t="s">
        <v>1879</v>
      </c>
      <c r="H67" t="s">
        <v>1880</v>
      </c>
      <c r="I67" t="s">
        <v>1881</v>
      </c>
      <c r="J67" t="s">
        <v>1882</v>
      </c>
      <c r="K67" t="s">
        <v>89</v>
      </c>
      <c r="L67" t="s">
        <v>1883</v>
      </c>
      <c r="M67" t="s">
        <v>1463</v>
      </c>
      <c r="N67" t="s">
        <v>89</v>
      </c>
      <c r="O67" t="s">
        <v>1484</v>
      </c>
      <c r="P67" t="s">
        <v>89</v>
      </c>
      <c r="Q67" t="s">
        <v>1884</v>
      </c>
      <c r="R67" t="s">
        <v>1815</v>
      </c>
      <c r="S67" t="s">
        <v>93</v>
      </c>
      <c r="T67" t="s">
        <v>635</v>
      </c>
      <c r="U67" t="s">
        <v>1438</v>
      </c>
      <c r="V67" t="s">
        <v>89</v>
      </c>
      <c r="W67" t="s">
        <v>1484</v>
      </c>
      <c r="X67" t="s">
        <v>89</v>
      </c>
      <c r="Y67" t="s">
        <v>1885</v>
      </c>
      <c r="Z67" t="s">
        <v>1494</v>
      </c>
      <c r="AA67" t="s">
        <v>93</v>
      </c>
      <c r="AB67" t="s">
        <v>1361</v>
      </c>
      <c r="AC67" t="s">
        <v>1886</v>
      </c>
      <c r="AF67">
        <f>Tabela3[[#This Row],[kan_params]]*1</f>
        <v>671</v>
      </c>
      <c r="AG67">
        <f>1*Tabela3[[#This Row],[kan_test_acc]]</f>
        <v>0.89473682641982999</v>
      </c>
      <c r="AH67">
        <f>1*Tabela3[[#This Row],[mlp_test_acc]]</f>
        <v>0.94736842105263097</v>
      </c>
      <c r="AI67">
        <f>1*Tabela3[[#This Row],[mlp2_test_acc]]</f>
        <v>0.97368421052631504</v>
      </c>
    </row>
    <row r="68" spans="1:35" x14ac:dyDescent="0.25">
      <c r="A68" t="s">
        <v>44</v>
      </c>
      <c r="B68" t="s">
        <v>78</v>
      </c>
      <c r="C68" t="s">
        <v>666</v>
      </c>
      <c r="D68" t="s">
        <v>274</v>
      </c>
      <c r="E68" t="s">
        <v>80</v>
      </c>
      <c r="F68" t="s">
        <v>54</v>
      </c>
      <c r="G68" t="s">
        <v>1905</v>
      </c>
      <c r="H68" t="s">
        <v>1906</v>
      </c>
      <c r="I68" t="s">
        <v>1247</v>
      </c>
      <c r="J68" t="s">
        <v>1907</v>
      </c>
      <c r="K68" t="s">
        <v>89</v>
      </c>
      <c r="L68" t="s">
        <v>1883</v>
      </c>
      <c r="M68" t="s">
        <v>1438</v>
      </c>
      <c r="N68" t="s">
        <v>89</v>
      </c>
      <c r="O68" t="s">
        <v>1439</v>
      </c>
      <c r="P68" t="s">
        <v>89</v>
      </c>
      <c r="Q68" t="s">
        <v>1908</v>
      </c>
      <c r="R68" t="s">
        <v>1529</v>
      </c>
      <c r="S68" t="s">
        <v>93</v>
      </c>
      <c r="T68" t="s">
        <v>1226</v>
      </c>
      <c r="U68" t="s">
        <v>1463</v>
      </c>
      <c r="V68" t="s">
        <v>89</v>
      </c>
      <c r="W68" t="s">
        <v>1484</v>
      </c>
      <c r="X68" t="s">
        <v>89</v>
      </c>
      <c r="Y68" t="s">
        <v>1909</v>
      </c>
      <c r="Z68" t="s">
        <v>1512</v>
      </c>
      <c r="AA68" t="s">
        <v>93</v>
      </c>
      <c r="AB68" t="s">
        <v>1231</v>
      </c>
      <c r="AC68" t="s">
        <v>1910</v>
      </c>
      <c r="AF68">
        <f>Tabela3[[#This Row],[kan_params]]*1</f>
        <v>851</v>
      </c>
      <c r="AG68">
        <f>1*Tabela3[[#This Row],[kan_test_acc]]</f>
        <v>0.89473682641982999</v>
      </c>
      <c r="AH68">
        <f>1*Tabela3[[#This Row],[mlp_test_acc]]</f>
        <v>0.97368421052631504</v>
      </c>
      <c r="AI68">
        <f>1*Tabela3[[#This Row],[mlp2_test_acc]]</f>
        <v>0.94736842105263097</v>
      </c>
    </row>
    <row r="69" spans="1:35" x14ac:dyDescent="0.25">
      <c r="A69" t="s">
        <v>44</v>
      </c>
      <c r="B69" t="s">
        <v>78</v>
      </c>
      <c r="C69" t="s">
        <v>666</v>
      </c>
      <c r="D69" t="s">
        <v>274</v>
      </c>
      <c r="E69" t="s">
        <v>80</v>
      </c>
      <c r="F69" t="s">
        <v>55</v>
      </c>
      <c r="G69" t="s">
        <v>1911</v>
      </c>
      <c r="H69" t="s">
        <v>1912</v>
      </c>
      <c r="I69" t="s">
        <v>160</v>
      </c>
      <c r="J69" t="s">
        <v>1501</v>
      </c>
      <c r="K69" t="s">
        <v>89</v>
      </c>
      <c r="L69" t="s">
        <v>1883</v>
      </c>
      <c r="M69" t="s">
        <v>1438</v>
      </c>
      <c r="N69" t="s">
        <v>89</v>
      </c>
      <c r="O69" t="s">
        <v>1484</v>
      </c>
      <c r="P69" t="s">
        <v>89</v>
      </c>
      <c r="Q69" t="s">
        <v>1913</v>
      </c>
      <c r="R69" t="s">
        <v>1634</v>
      </c>
      <c r="S69" t="s">
        <v>93</v>
      </c>
      <c r="T69" t="s">
        <v>1235</v>
      </c>
      <c r="U69" t="s">
        <v>1438</v>
      </c>
      <c r="V69" t="s">
        <v>89</v>
      </c>
      <c r="W69" t="s">
        <v>1484</v>
      </c>
      <c r="X69" t="s">
        <v>89</v>
      </c>
      <c r="Y69" t="s">
        <v>1914</v>
      </c>
      <c r="Z69" t="s">
        <v>1504</v>
      </c>
      <c r="AA69" t="s">
        <v>93</v>
      </c>
      <c r="AB69" t="s">
        <v>1400</v>
      </c>
      <c r="AC69" t="s">
        <v>1915</v>
      </c>
      <c r="AF69">
        <f>Tabela3[[#This Row],[kan_params]]*1</f>
        <v>1155</v>
      </c>
      <c r="AG69">
        <f>1*Tabela3[[#This Row],[kan_test_acc]]</f>
        <v>0.89473682641982999</v>
      </c>
      <c r="AH69">
        <f>1*Tabela3[[#This Row],[mlp_test_acc]]</f>
        <v>0.97368421052631504</v>
      </c>
      <c r="AI69">
        <f>1*Tabela3[[#This Row],[mlp2_test_acc]]</f>
        <v>0.97368421052631504</v>
      </c>
    </row>
    <row r="70" spans="1:35" x14ac:dyDescent="0.25">
      <c r="A70" t="s">
        <v>44</v>
      </c>
      <c r="B70" t="s">
        <v>959</v>
      </c>
      <c r="C70" t="s">
        <v>666</v>
      </c>
      <c r="D70" t="s">
        <v>666</v>
      </c>
      <c r="E70" t="s">
        <v>80</v>
      </c>
      <c r="F70" t="s">
        <v>56</v>
      </c>
      <c r="G70" t="s">
        <v>2157</v>
      </c>
      <c r="H70" t="s">
        <v>2158</v>
      </c>
      <c r="I70" t="s">
        <v>2159</v>
      </c>
      <c r="J70" t="s">
        <v>1542</v>
      </c>
      <c r="K70" t="s">
        <v>89</v>
      </c>
      <c r="L70" t="s">
        <v>1883</v>
      </c>
      <c r="M70" t="s">
        <v>89</v>
      </c>
      <c r="N70" t="s">
        <v>89</v>
      </c>
      <c r="O70" t="s">
        <v>1484</v>
      </c>
      <c r="P70" t="s">
        <v>1235</v>
      </c>
      <c r="Q70" t="s">
        <v>2160</v>
      </c>
      <c r="R70" t="s">
        <v>1567</v>
      </c>
      <c r="S70" t="s">
        <v>93</v>
      </c>
      <c r="T70" t="s">
        <v>1568</v>
      </c>
      <c r="U70" t="s">
        <v>89</v>
      </c>
      <c r="V70" t="s">
        <v>89</v>
      </c>
      <c r="W70" t="s">
        <v>1484</v>
      </c>
      <c r="X70" t="s">
        <v>657</v>
      </c>
      <c r="Y70" t="s">
        <v>2161</v>
      </c>
      <c r="Z70" t="s">
        <v>1944</v>
      </c>
      <c r="AA70" t="s">
        <v>93</v>
      </c>
      <c r="AB70" t="s">
        <v>1945</v>
      </c>
      <c r="AC70" t="s">
        <v>2162</v>
      </c>
      <c r="AF70">
        <f>Tabela3[[#This Row],[kan_params]]*1</f>
        <v>3164</v>
      </c>
      <c r="AG70">
        <f>1*Tabela3[[#This Row],[kan_test_acc]]</f>
        <v>0.89473682641982999</v>
      </c>
      <c r="AH70">
        <f>1*Tabela3[[#This Row],[mlp_test_acc]]</f>
        <v>1</v>
      </c>
      <c r="AI70">
        <f>1*Tabela3[[#This Row],[mlp2_test_acc]]</f>
        <v>1</v>
      </c>
    </row>
    <row r="71" spans="1:35" x14ac:dyDescent="0.25">
      <c r="A71" t="s">
        <v>44</v>
      </c>
      <c r="B71" t="s">
        <v>897</v>
      </c>
      <c r="C71" t="s">
        <v>1026</v>
      </c>
      <c r="D71" t="s">
        <v>274</v>
      </c>
      <c r="E71" t="s">
        <v>80</v>
      </c>
      <c r="F71" t="s">
        <v>55</v>
      </c>
      <c r="G71" t="s">
        <v>1655</v>
      </c>
      <c r="H71" t="s">
        <v>2210</v>
      </c>
      <c r="I71" t="s">
        <v>2211</v>
      </c>
      <c r="J71" t="s">
        <v>89</v>
      </c>
      <c r="K71" t="s">
        <v>1598</v>
      </c>
      <c r="L71" t="s">
        <v>1883</v>
      </c>
      <c r="M71" t="s">
        <v>1463</v>
      </c>
      <c r="N71" t="s">
        <v>89</v>
      </c>
      <c r="O71" t="s">
        <v>89</v>
      </c>
      <c r="P71" t="s">
        <v>2212</v>
      </c>
      <c r="Q71" t="s">
        <v>2213</v>
      </c>
      <c r="R71" t="s">
        <v>1442</v>
      </c>
      <c r="S71" t="s">
        <v>93</v>
      </c>
      <c r="T71" t="s">
        <v>1255</v>
      </c>
      <c r="U71" t="s">
        <v>1438</v>
      </c>
      <c r="V71" t="s">
        <v>89</v>
      </c>
      <c r="W71" t="s">
        <v>89</v>
      </c>
      <c r="X71" t="s">
        <v>2214</v>
      </c>
      <c r="Y71" t="s">
        <v>2215</v>
      </c>
      <c r="Z71" t="s">
        <v>1446</v>
      </c>
      <c r="AA71" t="s">
        <v>93</v>
      </c>
      <c r="AB71" t="s">
        <v>1247</v>
      </c>
      <c r="AC71" t="s">
        <v>2216</v>
      </c>
      <c r="AF71">
        <f>Tabela3[[#This Row],[kan_params]]*1</f>
        <v>1459</v>
      </c>
      <c r="AG71">
        <f>1*Tabela3[[#This Row],[kan_test_acc]]</f>
        <v>0.89473682641982999</v>
      </c>
      <c r="AH71">
        <f>1*Tabela3[[#This Row],[mlp_test_acc]]</f>
        <v>0.94736842105263097</v>
      </c>
      <c r="AI71">
        <f>1*Tabela3[[#This Row],[mlp2_test_acc]]</f>
        <v>0.97368421052631504</v>
      </c>
    </row>
    <row r="72" spans="1:35" x14ac:dyDescent="0.25">
      <c r="A72" t="s">
        <v>44</v>
      </c>
      <c r="B72" t="s">
        <v>959</v>
      </c>
      <c r="C72" t="s">
        <v>1026</v>
      </c>
      <c r="D72" t="s">
        <v>79</v>
      </c>
      <c r="E72" t="s">
        <v>80</v>
      </c>
      <c r="F72" t="s">
        <v>50</v>
      </c>
      <c r="G72" t="s">
        <v>1719</v>
      </c>
      <c r="H72" t="s">
        <v>2243</v>
      </c>
      <c r="I72" t="s">
        <v>2244</v>
      </c>
      <c r="J72" t="s">
        <v>1895</v>
      </c>
      <c r="K72" t="s">
        <v>89</v>
      </c>
      <c r="L72" t="s">
        <v>1883</v>
      </c>
      <c r="M72" t="s">
        <v>1463</v>
      </c>
      <c r="N72" t="s">
        <v>89</v>
      </c>
      <c r="O72" t="s">
        <v>1484</v>
      </c>
      <c r="P72" t="s">
        <v>89</v>
      </c>
      <c r="Q72" t="s">
        <v>2245</v>
      </c>
      <c r="R72" t="s">
        <v>1512</v>
      </c>
      <c r="S72" t="s">
        <v>93</v>
      </c>
      <c r="T72" t="s">
        <v>1231</v>
      </c>
      <c r="U72" t="s">
        <v>1463</v>
      </c>
      <c r="V72" t="s">
        <v>89</v>
      </c>
      <c r="W72" t="s">
        <v>1484</v>
      </c>
      <c r="X72" t="s">
        <v>89</v>
      </c>
      <c r="Y72" t="s">
        <v>2246</v>
      </c>
      <c r="Z72" t="s">
        <v>1515</v>
      </c>
      <c r="AA72" t="s">
        <v>93</v>
      </c>
      <c r="AB72" t="s">
        <v>1240</v>
      </c>
      <c r="AC72" t="s">
        <v>2247</v>
      </c>
      <c r="AF72">
        <f>Tabela3[[#This Row],[kan_params]]*1</f>
        <v>979</v>
      </c>
      <c r="AG72">
        <f>1*Tabela3[[#This Row],[kan_test_acc]]</f>
        <v>0.89473682641982999</v>
      </c>
      <c r="AH72">
        <f>1*Tabela3[[#This Row],[mlp_test_acc]]</f>
        <v>0.94736842105263097</v>
      </c>
      <c r="AI72">
        <f>1*Tabela3[[#This Row],[mlp2_test_acc]]</f>
        <v>0.94736842105263097</v>
      </c>
    </row>
    <row r="73" spans="1:35" x14ac:dyDescent="0.25">
      <c r="A73" t="s">
        <v>44</v>
      </c>
      <c r="B73" t="s">
        <v>959</v>
      </c>
      <c r="C73" t="s">
        <v>1026</v>
      </c>
      <c r="D73" t="s">
        <v>79</v>
      </c>
      <c r="E73" t="s">
        <v>80</v>
      </c>
      <c r="F73" t="s">
        <v>54</v>
      </c>
      <c r="G73" t="s">
        <v>1750</v>
      </c>
      <c r="H73" t="s">
        <v>2261</v>
      </c>
      <c r="I73" t="s">
        <v>2128</v>
      </c>
      <c r="J73" t="s">
        <v>2027</v>
      </c>
      <c r="K73" t="s">
        <v>89</v>
      </c>
      <c r="L73" t="s">
        <v>1883</v>
      </c>
      <c r="M73" t="s">
        <v>1463</v>
      </c>
      <c r="N73" t="s">
        <v>89</v>
      </c>
      <c r="O73" t="s">
        <v>1439</v>
      </c>
      <c r="P73" t="s">
        <v>89</v>
      </c>
      <c r="Q73" t="s">
        <v>2262</v>
      </c>
      <c r="R73" t="s">
        <v>1504</v>
      </c>
      <c r="S73" t="s">
        <v>93</v>
      </c>
      <c r="T73" t="s">
        <v>1400</v>
      </c>
      <c r="U73" t="s">
        <v>1463</v>
      </c>
      <c r="V73" t="s">
        <v>89</v>
      </c>
      <c r="W73" t="s">
        <v>1439</v>
      </c>
      <c r="X73" t="s">
        <v>89</v>
      </c>
      <c r="Y73" t="s">
        <v>2263</v>
      </c>
      <c r="Z73" t="s">
        <v>1507</v>
      </c>
      <c r="AA73" t="s">
        <v>93</v>
      </c>
      <c r="AB73" t="s">
        <v>1337</v>
      </c>
      <c r="AC73" t="s">
        <v>2264</v>
      </c>
      <c r="AF73">
        <f>Tabela3[[#This Row],[kan_params]]*1</f>
        <v>1243</v>
      </c>
      <c r="AG73">
        <f>1*Tabela3[[#This Row],[kan_test_acc]]</f>
        <v>0.89473682641982999</v>
      </c>
      <c r="AH73">
        <f>1*Tabela3[[#This Row],[mlp_test_acc]]</f>
        <v>0.94736842105263097</v>
      </c>
      <c r="AI73">
        <f>1*Tabela3[[#This Row],[mlp2_test_acc]]</f>
        <v>0.94736842105263097</v>
      </c>
    </row>
    <row r="74" spans="1:35" x14ac:dyDescent="0.25">
      <c r="A74" t="s">
        <v>44</v>
      </c>
      <c r="B74" t="s">
        <v>959</v>
      </c>
      <c r="C74" t="s">
        <v>1026</v>
      </c>
      <c r="D74" t="s">
        <v>79</v>
      </c>
      <c r="E74" t="s">
        <v>80</v>
      </c>
      <c r="F74" t="s">
        <v>55</v>
      </c>
      <c r="G74" t="s">
        <v>1758</v>
      </c>
      <c r="H74" t="s">
        <v>2265</v>
      </c>
      <c r="I74" t="s">
        <v>2266</v>
      </c>
      <c r="J74" t="s">
        <v>89</v>
      </c>
      <c r="K74" t="s">
        <v>89</v>
      </c>
      <c r="L74" t="s">
        <v>1883</v>
      </c>
      <c r="M74" t="s">
        <v>1463</v>
      </c>
      <c r="N74" t="s">
        <v>89</v>
      </c>
      <c r="O74" t="s">
        <v>1484</v>
      </c>
      <c r="P74" t="s">
        <v>89</v>
      </c>
      <c r="Q74" t="s">
        <v>2267</v>
      </c>
      <c r="R74" t="s">
        <v>1522</v>
      </c>
      <c r="S74" t="s">
        <v>93</v>
      </c>
      <c r="T74" t="s">
        <v>1412</v>
      </c>
      <c r="U74" t="s">
        <v>1463</v>
      </c>
      <c r="V74" t="s">
        <v>89</v>
      </c>
      <c r="W74" t="s">
        <v>1439</v>
      </c>
      <c r="X74" t="s">
        <v>89</v>
      </c>
      <c r="Y74" t="s">
        <v>2268</v>
      </c>
      <c r="Z74" t="s">
        <v>1462</v>
      </c>
      <c r="AA74" t="s">
        <v>93</v>
      </c>
      <c r="AB74" t="s">
        <v>1303</v>
      </c>
      <c r="AC74" t="s">
        <v>2269</v>
      </c>
      <c r="AF74">
        <f>Tabela3[[#This Row],[kan_params]]*1</f>
        <v>1687</v>
      </c>
      <c r="AG74">
        <f>1*Tabela3[[#This Row],[kan_test_acc]]</f>
        <v>0.89473682641982999</v>
      </c>
      <c r="AH74">
        <f>1*Tabela3[[#This Row],[mlp_test_acc]]</f>
        <v>0.94736842105263097</v>
      </c>
      <c r="AI74">
        <f>1*Tabela3[[#This Row],[mlp2_test_acc]]</f>
        <v>0.94736842105263097</v>
      </c>
    </row>
    <row r="75" spans="1:35" x14ac:dyDescent="0.25">
      <c r="A75" t="s">
        <v>44</v>
      </c>
      <c r="B75" t="s">
        <v>2351</v>
      </c>
      <c r="C75" t="s">
        <v>1026</v>
      </c>
      <c r="D75" t="s">
        <v>666</v>
      </c>
      <c r="E75" t="s">
        <v>80</v>
      </c>
      <c r="F75" t="s">
        <v>49</v>
      </c>
      <c r="G75" t="s">
        <v>2381</v>
      </c>
      <c r="H75" t="s">
        <v>2382</v>
      </c>
      <c r="I75" t="s">
        <v>551</v>
      </c>
      <c r="J75" t="s">
        <v>1501</v>
      </c>
      <c r="K75" t="s">
        <v>89</v>
      </c>
      <c r="L75" t="s">
        <v>1883</v>
      </c>
      <c r="M75" t="s">
        <v>1438</v>
      </c>
      <c r="N75" t="s">
        <v>89</v>
      </c>
      <c r="O75" t="s">
        <v>1439</v>
      </c>
      <c r="P75" t="s">
        <v>89</v>
      </c>
      <c r="Q75" t="s">
        <v>2383</v>
      </c>
      <c r="R75" t="s">
        <v>1812</v>
      </c>
      <c r="S75" t="s">
        <v>93</v>
      </c>
      <c r="T75" t="s">
        <v>626</v>
      </c>
      <c r="U75" t="s">
        <v>1463</v>
      </c>
      <c r="V75" t="s">
        <v>89</v>
      </c>
      <c r="W75" t="s">
        <v>1612</v>
      </c>
      <c r="X75" t="s">
        <v>89</v>
      </c>
      <c r="Y75" t="s">
        <v>2384</v>
      </c>
      <c r="Z75" t="s">
        <v>1815</v>
      </c>
      <c r="AA75" t="s">
        <v>93</v>
      </c>
      <c r="AB75" t="s">
        <v>635</v>
      </c>
      <c r="AC75" t="s">
        <v>2385</v>
      </c>
      <c r="AF75">
        <f>Tabela3[[#This Row],[kan_params]]*1</f>
        <v>594</v>
      </c>
      <c r="AG75">
        <f>1*Tabela3[[#This Row],[kan_test_acc]]</f>
        <v>0.89473682641982999</v>
      </c>
      <c r="AH75">
        <f>1*Tabela3[[#This Row],[mlp_test_acc]]</f>
        <v>0.97368421052631504</v>
      </c>
      <c r="AI75">
        <f>1*Tabela3[[#This Row],[mlp2_test_acc]]</f>
        <v>0.94736842105263097</v>
      </c>
    </row>
    <row r="76" spans="1:35" x14ac:dyDescent="0.25">
      <c r="A76" t="s">
        <v>44</v>
      </c>
      <c r="B76" t="s">
        <v>814</v>
      </c>
      <c r="C76" t="s">
        <v>79</v>
      </c>
      <c r="D76" t="s">
        <v>898</v>
      </c>
      <c r="E76" t="s">
        <v>80</v>
      </c>
      <c r="F76" t="s">
        <v>46</v>
      </c>
      <c r="G76" t="s">
        <v>1560</v>
      </c>
      <c r="H76" t="s">
        <v>1561</v>
      </c>
      <c r="I76" t="s">
        <v>1562</v>
      </c>
      <c r="J76" t="s">
        <v>1563</v>
      </c>
      <c r="K76" t="s">
        <v>89</v>
      </c>
      <c r="L76" t="s">
        <v>1564</v>
      </c>
      <c r="M76" t="s">
        <v>1438</v>
      </c>
      <c r="N76" t="s">
        <v>89</v>
      </c>
      <c r="O76" t="s">
        <v>89</v>
      </c>
      <c r="P76" t="s">
        <v>278</v>
      </c>
      <c r="Q76" t="s">
        <v>1565</v>
      </c>
      <c r="R76" t="s">
        <v>1477</v>
      </c>
      <c r="S76" t="s">
        <v>93</v>
      </c>
      <c r="T76" t="s">
        <v>1309</v>
      </c>
      <c r="U76" t="s">
        <v>1438</v>
      </c>
      <c r="V76" t="s">
        <v>89</v>
      </c>
      <c r="W76" t="s">
        <v>89</v>
      </c>
      <c r="X76" t="s">
        <v>278</v>
      </c>
      <c r="Y76" t="s">
        <v>1566</v>
      </c>
      <c r="Z76" t="s">
        <v>1567</v>
      </c>
      <c r="AA76" t="s">
        <v>93</v>
      </c>
      <c r="AB76" t="s">
        <v>1568</v>
      </c>
      <c r="AC76" t="s">
        <v>1569</v>
      </c>
      <c r="AF76">
        <f>Tabela3[[#This Row],[kan_params]]*1</f>
        <v>3005</v>
      </c>
      <c r="AG76">
        <f>1*Tabela3[[#This Row],[kan_test_acc]]</f>
        <v>0.86842107772827104</v>
      </c>
      <c r="AH76">
        <f>1*Tabela3[[#This Row],[mlp_test_acc]]</f>
        <v>0.97368421052631504</v>
      </c>
      <c r="AI76">
        <f>1*Tabela3[[#This Row],[mlp2_test_acc]]</f>
        <v>0.97368421052631504</v>
      </c>
    </row>
    <row r="77" spans="1:35" x14ac:dyDescent="0.25">
      <c r="A77" t="s">
        <v>44</v>
      </c>
      <c r="B77" t="s">
        <v>897</v>
      </c>
      <c r="C77" t="s">
        <v>79</v>
      </c>
      <c r="D77" t="s">
        <v>666</v>
      </c>
      <c r="E77" t="s">
        <v>80</v>
      </c>
      <c r="F77" t="s">
        <v>47</v>
      </c>
      <c r="G77" t="s">
        <v>1690</v>
      </c>
      <c r="H77" t="s">
        <v>1691</v>
      </c>
      <c r="I77" t="s">
        <v>1692</v>
      </c>
      <c r="J77" t="s">
        <v>1501</v>
      </c>
      <c r="K77" t="s">
        <v>89</v>
      </c>
      <c r="L77" t="s">
        <v>1564</v>
      </c>
      <c r="M77" t="s">
        <v>1438</v>
      </c>
      <c r="N77" t="s">
        <v>89</v>
      </c>
      <c r="O77" t="s">
        <v>89</v>
      </c>
      <c r="P77" t="s">
        <v>98</v>
      </c>
      <c r="Q77" t="s">
        <v>1693</v>
      </c>
      <c r="R77" t="s">
        <v>1670</v>
      </c>
      <c r="S77" t="s">
        <v>93</v>
      </c>
      <c r="T77" t="s">
        <v>1671</v>
      </c>
      <c r="U77" t="s">
        <v>89</v>
      </c>
      <c r="V77" t="s">
        <v>89</v>
      </c>
      <c r="W77" t="s">
        <v>89</v>
      </c>
      <c r="X77" t="s">
        <v>98</v>
      </c>
      <c r="Y77" t="s">
        <v>1694</v>
      </c>
      <c r="Z77" t="s">
        <v>1452</v>
      </c>
      <c r="AA77" t="s">
        <v>93</v>
      </c>
      <c r="AB77" t="s">
        <v>1453</v>
      </c>
      <c r="AC77" t="s">
        <v>1695</v>
      </c>
      <c r="AF77">
        <f>Tabela3[[#This Row],[kan_params]]*1</f>
        <v>2395</v>
      </c>
      <c r="AG77">
        <f>1*Tabela3[[#This Row],[kan_test_acc]]</f>
        <v>0.86842107772827104</v>
      </c>
      <c r="AH77">
        <f>1*Tabela3[[#This Row],[mlp_test_acc]]</f>
        <v>0.97368421052631504</v>
      </c>
      <c r="AI77">
        <f>1*Tabela3[[#This Row],[mlp2_test_acc]]</f>
        <v>1</v>
      </c>
    </row>
    <row r="78" spans="1:35" x14ac:dyDescent="0.25">
      <c r="A78" t="s">
        <v>44</v>
      </c>
      <c r="B78" t="s">
        <v>959</v>
      </c>
      <c r="C78" t="s">
        <v>1026</v>
      </c>
      <c r="D78" t="s">
        <v>79</v>
      </c>
      <c r="E78" t="s">
        <v>80</v>
      </c>
      <c r="F78" t="s">
        <v>49</v>
      </c>
      <c r="G78" t="s">
        <v>1707</v>
      </c>
      <c r="H78" t="s">
        <v>2238</v>
      </c>
      <c r="I78" t="s">
        <v>657</v>
      </c>
      <c r="J78" t="s">
        <v>2239</v>
      </c>
      <c r="K78" t="s">
        <v>89</v>
      </c>
      <c r="L78" t="s">
        <v>1564</v>
      </c>
      <c r="M78" t="s">
        <v>1463</v>
      </c>
      <c r="N78" t="s">
        <v>89</v>
      </c>
      <c r="O78" t="s">
        <v>1612</v>
      </c>
      <c r="P78" t="s">
        <v>89</v>
      </c>
      <c r="Q78" t="s">
        <v>2240</v>
      </c>
      <c r="R78" t="s">
        <v>1604</v>
      </c>
      <c r="S78" t="s">
        <v>93</v>
      </c>
      <c r="T78" t="s">
        <v>657</v>
      </c>
      <c r="U78" t="s">
        <v>1463</v>
      </c>
      <c r="V78" t="s">
        <v>89</v>
      </c>
      <c r="W78" t="s">
        <v>1439</v>
      </c>
      <c r="X78" t="s">
        <v>89</v>
      </c>
      <c r="Y78" t="s">
        <v>2241</v>
      </c>
      <c r="Z78" t="s">
        <v>1717</v>
      </c>
      <c r="AA78" t="s">
        <v>93</v>
      </c>
      <c r="AB78" t="s">
        <v>621</v>
      </c>
      <c r="AC78" t="s">
        <v>2242</v>
      </c>
      <c r="AF78">
        <f>Tabela3[[#This Row],[kan_params]]*1</f>
        <v>468</v>
      </c>
      <c r="AG78">
        <f>1*Tabela3[[#This Row],[kan_test_acc]]</f>
        <v>0.86842107772827104</v>
      </c>
      <c r="AH78">
        <f>1*Tabela3[[#This Row],[mlp_test_acc]]</f>
        <v>0.94736842105263097</v>
      </c>
      <c r="AI78">
        <f>1*Tabela3[[#This Row],[mlp2_test_acc]]</f>
        <v>0.94736842105263097</v>
      </c>
    </row>
    <row r="79" spans="1:35" x14ac:dyDescent="0.25">
      <c r="A79" t="s">
        <v>44</v>
      </c>
      <c r="B79" t="s">
        <v>814</v>
      </c>
      <c r="C79" t="s">
        <v>79</v>
      </c>
      <c r="D79" t="s">
        <v>898</v>
      </c>
      <c r="E79" t="s">
        <v>80</v>
      </c>
      <c r="F79" t="s">
        <v>52</v>
      </c>
      <c r="G79" t="s">
        <v>1627</v>
      </c>
      <c r="H79" t="s">
        <v>1628</v>
      </c>
      <c r="I79" t="s">
        <v>1629</v>
      </c>
      <c r="J79" t="s">
        <v>1630</v>
      </c>
      <c r="K79" t="s">
        <v>1598</v>
      </c>
      <c r="L79" t="s">
        <v>1631</v>
      </c>
      <c r="M79" t="s">
        <v>89</v>
      </c>
      <c r="N79" t="s">
        <v>89</v>
      </c>
      <c r="O79" t="s">
        <v>1439</v>
      </c>
      <c r="P79" t="s">
        <v>1632</v>
      </c>
      <c r="Q79" t="s">
        <v>1633</v>
      </c>
      <c r="R79" t="s">
        <v>1634</v>
      </c>
      <c r="S79" t="s">
        <v>93</v>
      </c>
      <c r="T79" t="s">
        <v>1235</v>
      </c>
      <c r="U79" t="s">
        <v>89</v>
      </c>
      <c r="V79" t="s">
        <v>89</v>
      </c>
      <c r="W79" t="s">
        <v>1439</v>
      </c>
      <c r="X79" t="s">
        <v>1635</v>
      </c>
      <c r="Y79" t="s">
        <v>1636</v>
      </c>
      <c r="Z79" t="s">
        <v>1504</v>
      </c>
      <c r="AA79" t="s">
        <v>93</v>
      </c>
      <c r="AB79" t="s">
        <v>1400</v>
      </c>
      <c r="AC79" t="s">
        <v>1637</v>
      </c>
      <c r="AF79">
        <f>Tabela3[[#This Row],[kan_params]]*1</f>
        <v>1153</v>
      </c>
      <c r="AG79">
        <f>1*Tabela3[[#This Row],[kan_test_acc]]</f>
        <v>0.84210526943206698</v>
      </c>
      <c r="AH79">
        <f>1*Tabela3[[#This Row],[mlp_test_acc]]</f>
        <v>1</v>
      </c>
      <c r="AI79">
        <f>1*Tabela3[[#This Row],[mlp2_test_acc]]</f>
        <v>1</v>
      </c>
    </row>
    <row r="80" spans="1:35" x14ac:dyDescent="0.25">
      <c r="A80" t="s">
        <v>44</v>
      </c>
      <c r="B80" t="s">
        <v>897</v>
      </c>
      <c r="C80" t="s">
        <v>79</v>
      </c>
      <c r="D80" t="s">
        <v>666</v>
      </c>
      <c r="E80" t="s">
        <v>80</v>
      </c>
      <c r="F80" t="s">
        <v>53</v>
      </c>
      <c r="G80" t="s">
        <v>1744</v>
      </c>
      <c r="H80" t="s">
        <v>1745</v>
      </c>
      <c r="I80" t="s">
        <v>1746</v>
      </c>
      <c r="J80" t="s">
        <v>1710</v>
      </c>
      <c r="K80" t="s">
        <v>1598</v>
      </c>
      <c r="L80" t="s">
        <v>1631</v>
      </c>
      <c r="M80" t="s">
        <v>89</v>
      </c>
      <c r="N80" t="s">
        <v>1679</v>
      </c>
      <c r="O80" t="s">
        <v>89</v>
      </c>
      <c r="P80" t="s">
        <v>98</v>
      </c>
      <c r="Q80" t="s">
        <v>1747</v>
      </c>
      <c r="R80" t="s">
        <v>1548</v>
      </c>
      <c r="S80" t="s">
        <v>93</v>
      </c>
      <c r="T80" t="s">
        <v>1397</v>
      </c>
      <c r="U80" t="s">
        <v>89</v>
      </c>
      <c r="V80" t="s">
        <v>1714</v>
      </c>
      <c r="W80" t="s">
        <v>89</v>
      </c>
      <c r="X80" t="s">
        <v>98</v>
      </c>
      <c r="Y80" t="s">
        <v>1748</v>
      </c>
      <c r="Z80" t="s">
        <v>1670</v>
      </c>
      <c r="AA80" t="s">
        <v>93</v>
      </c>
      <c r="AB80" t="s">
        <v>1671</v>
      </c>
      <c r="AC80" t="s">
        <v>1749</v>
      </c>
      <c r="AF80">
        <f>Tabela3[[#This Row],[kan_params]]*1</f>
        <v>2328</v>
      </c>
      <c r="AG80">
        <f>1*Tabela3[[#This Row],[kan_test_acc]]</f>
        <v>0.84210526943206698</v>
      </c>
      <c r="AH80">
        <f>1*Tabela3[[#This Row],[mlp_test_acc]]</f>
        <v>1</v>
      </c>
      <c r="AI80">
        <f>1*Tabela3[[#This Row],[mlp2_test_acc]]</f>
        <v>1</v>
      </c>
    </row>
    <row r="81" spans="1:35" x14ac:dyDescent="0.25">
      <c r="A81" t="s">
        <v>44</v>
      </c>
      <c r="B81" t="s">
        <v>959</v>
      </c>
      <c r="C81" t="s">
        <v>1026</v>
      </c>
      <c r="D81" t="s">
        <v>79</v>
      </c>
      <c r="E81" t="s">
        <v>80</v>
      </c>
      <c r="F81" t="s">
        <v>45</v>
      </c>
      <c r="G81" t="s">
        <v>1674</v>
      </c>
      <c r="H81" t="s">
        <v>2221</v>
      </c>
      <c r="I81" t="s">
        <v>1456</v>
      </c>
      <c r="J81" t="s">
        <v>1630</v>
      </c>
      <c r="K81" t="s">
        <v>89</v>
      </c>
      <c r="L81" t="s">
        <v>1631</v>
      </c>
      <c r="M81" t="s">
        <v>2178</v>
      </c>
      <c r="N81" t="s">
        <v>89</v>
      </c>
      <c r="O81" t="s">
        <v>1439</v>
      </c>
      <c r="P81" t="s">
        <v>89</v>
      </c>
      <c r="Q81" t="s">
        <v>2222</v>
      </c>
      <c r="R81" t="s">
        <v>1577</v>
      </c>
      <c r="S81" t="s">
        <v>93</v>
      </c>
      <c r="T81" t="s">
        <v>1578</v>
      </c>
      <c r="U81" t="s">
        <v>1463</v>
      </c>
      <c r="V81" t="s">
        <v>89</v>
      </c>
      <c r="W81" t="s">
        <v>1439</v>
      </c>
      <c r="X81" t="s">
        <v>89</v>
      </c>
      <c r="Y81" t="s">
        <v>2223</v>
      </c>
      <c r="Z81" t="s">
        <v>1545</v>
      </c>
      <c r="AA81" t="s">
        <v>93</v>
      </c>
      <c r="AB81" t="s">
        <v>1311</v>
      </c>
      <c r="AC81" t="s">
        <v>2224</v>
      </c>
      <c r="AF81">
        <f>Tabela3[[#This Row],[kan_params]]*1</f>
        <v>2041</v>
      </c>
      <c r="AG81">
        <f>1*Tabela3[[#This Row],[kan_test_acc]]</f>
        <v>0.84210526943206698</v>
      </c>
      <c r="AH81">
        <f>1*Tabela3[[#This Row],[mlp_test_acc]]</f>
        <v>0.92105263157894701</v>
      </c>
      <c r="AI81">
        <f>1*Tabela3[[#This Row],[mlp2_test_acc]]</f>
        <v>0.94736842105263097</v>
      </c>
    </row>
    <row r="82" spans="1:35" x14ac:dyDescent="0.25">
      <c r="A82" t="s">
        <v>44</v>
      </c>
      <c r="B82" t="s">
        <v>1297</v>
      </c>
      <c r="C82" t="s">
        <v>1026</v>
      </c>
      <c r="D82" t="s">
        <v>898</v>
      </c>
      <c r="E82" t="s">
        <v>80</v>
      </c>
      <c r="F82" t="s">
        <v>49</v>
      </c>
      <c r="G82" t="s">
        <v>2301</v>
      </c>
      <c r="H82" t="s">
        <v>2302</v>
      </c>
      <c r="I82" t="s">
        <v>2303</v>
      </c>
      <c r="J82" t="s">
        <v>1630</v>
      </c>
      <c r="K82" t="s">
        <v>89</v>
      </c>
      <c r="L82" t="s">
        <v>1631</v>
      </c>
      <c r="M82" t="s">
        <v>1463</v>
      </c>
      <c r="N82" t="s">
        <v>89</v>
      </c>
      <c r="O82" t="s">
        <v>1612</v>
      </c>
      <c r="P82" t="s">
        <v>89</v>
      </c>
      <c r="Q82" t="s">
        <v>2304</v>
      </c>
      <c r="R82" t="s">
        <v>1717</v>
      </c>
      <c r="S82" t="s">
        <v>93</v>
      </c>
      <c r="T82" t="s">
        <v>621</v>
      </c>
      <c r="U82" t="s">
        <v>1463</v>
      </c>
      <c r="V82" t="s">
        <v>89</v>
      </c>
      <c r="W82" t="s">
        <v>1484</v>
      </c>
      <c r="X82" t="s">
        <v>89</v>
      </c>
      <c r="Y82" t="s">
        <v>2305</v>
      </c>
      <c r="Z82" t="s">
        <v>1812</v>
      </c>
      <c r="AA82" t="s">
        <v>93</v>
      </c>
      <c r="AB82" t="s">
        <v>626</v>
      </c>
      <c r="AC82" t="s">
        <v>2306</v>
      </c>
      <c r="AF82">
        <f>Tabela3[[#This Row],[kan_params]]*1</f>
        <v>531</v>
      </c>
      <c r="AG82">
        <f>1*Tabela3[[#This Row],[kan_test_acc]]</f>
        <v>0.84210526943206698</v>
      </c>
      <c r="AH82">
        <f>1*Tabela3[[#This Row],[mlp_test_acc]]</f>
        <v>0.94736842105263097</v>
      </c>
      <c r="AI82">
        <f>1*Tabela3[[#This Row],[mlp2_test_acc]]</f>
        <v>0.94736842105263097</v>
      </c>
    </row>
    <row r="83" spans="1:35" x14ac:dyDescent="0.25">
      <c r="A83" t="s">
        <v>44</v>
      </c>
      <c r="B83" t="s">
        <v>78</v>
      </c>
      <c r="C83" t="s">
        <v>666</v>
      </c>
      <c r="D83" t="s">
        <v>274</v>
      </c>
      <c r="E83" t="s">
        <v>80</v>
      </c>
      <c r="F83" t="s">
        <v>52</v>
      </c>
      <c r="G83" t="s">
        <v>1893</v>
      </c>
      <c r="H83" t="s">
        <v>1894</v>
      </c>
      <c r="I83" t="s">
        <v>1397</v>
      </c>
      <c r="J83" t="s">
        <v>1895</v>
      </c>
      <c r="K83" t="s">
        <v>89</v>
      </c>
      <c r="L83" t="s">
        <v>1896</v>
      </c>
      <c r="M83" t="s">
        <v>1463</v>
      </c>
      <c r="N83" t="s">
        <v>89</v>
      </c>
      <c r="O83" t="s">
        <v>1484</v>
      </c>
      <c r="P83" t="s">
        <v>89</v>
      </c>
      <c r="Q83" t="s">
        <v>1897</v>
      </c>
      <c r="R83" t="s">
        <v>1529</v>
      </c>
      <c r="S83" t="s">
        <v>93</v>
      </c>
      <c r="T83" t="s">
        <v>1226</v>
      </c>
      <c r="U83" t="s">
        <v>1438</v>
      </c>
      <c r="V83" t="s">
        <v>89</v>
      </c>
      <c r="W83" t="s">
        <v>1484</v>
      </c>
      <c r="X83" t="s">
        <v>89</v>
      </c>
      <c r="Y83" t="s">
        <v>1898</v>
      </c>
      <c r="Z83" t="s">
        <v>1512</v>
      </c>
      <c r="AA83" t="s">
        <v>93</v>
      </c>
      <c r="AB83" t="s">
        <v>1231</v>
      </c>
      <c r="AC83" t="s">
        <v>1899</v>
      </c>
      <c r="AF83">
        <f>Tabela3[[#This Row],[kan_params]]*1</f>
        <v>913</v>
      </c>
      <c r="AG83">
        <f>1*Tabela3[[#This Row],[kan_test_acc]]</f>
        <v>0.81578946113586404</v>
      </c>
      <c r="AH83">
        <f>1*Tabela3[[#This Row],[mlp_test_acc]]</f>
        <v>0.94736842105263097</v>
      </c>
      <c r="AI83">
        <f>1*Tabela3[[#This Row],[mlp2_test_acc]]</f>
        <v>0.97368421052631504</v>
      </c>
    </row>
    <row r="84" spans="1:35" x14ac:dyDescent="0.25">
      <c r="A84" t="s">
        <v>44</v>
      </c>
      <c r="B84" t="s">
        <v>897</v>
      </c>
      <c r="C84" t="s">
        <v>666</v>
      </c>
      <c r="D84" t="s">
        <v>898</v>
      </c>
      <c r="E84" t="s">
        <v>80</v>
      </c>
      <c r="F84" t="s">
        <v>55</v>
      </c>
      <c r="G84" t="s">
        <v>2062</v>
      </c>
      <c r="H84" t="s">
        <v>2063</v>
      </c>
      <c r="I84" t="s">
        <v>2064</v>
      </c>
      <c r="J84" t="s">
        <v>1997</v>
      </c>
      <c r="K84" t="s">
        <v>1554</v>
      </c>
      <c r="L84" t="s">
        <v>1575</v>
      </c>
      <c r="M84" t="s">
        <v>1438</v>
      </c>
      <c r="N84" t="s">
        <v>89</v>
      </c>
      <c r="O84" t="s">
        <v>1484</v>
      </c>
      <c r="P84" t="s">
        <v>89</v>
      </c>
      <c r="Q84" t="s">
        <v>2065</v>
      </c>
      <c r="R84" t="s">
        <v>1446</v>
      </c>
      <c r="S84" t="s">
        <v>93</v>
      </c>
      <c r="T84" t="s">
        <v>1247</v>
      </c>
      <c r="U84" t="s">
        <v>1438</v>
      </c>
      <c r="V84" t="s">
        <v>89</v>
      </c>
      <c r="W84" t="s">
        <v>1484</v>
      </c>
      <c r="X84" t="s">
        <v>89</v>
      </c>
      <c r="Y84" t="s">
        <v>2066</v>
      </c>
      <c r="Z84" t="s">
        <v>1522</v>
      </c>
      <c r="AA84" t="s">
        <v>93</v>
      </c>
      <c r="AB84" t="s">
        <v>1412</v>
      </c>
      <c r="AC84" t="s">
        <v>2067</v>
      </c>
      <c r="AF84">
        <f>Tabela3[[#This Row],[kan_params]]*1</f>
        <v>1611</v>
      </c>
      <c r="AG84">
        <f>1*Tabela3[[#This Row],[kan_test_acc]]</f>
        <v>0.5</v>
      </c>
      <c r="AH84">
        <f>1*Tabela3[[#This Row],[mlp_test_acc]]</f>
        <v>0.97368421052631504</v>
      </c>
      <c r="AI84">
        <f>1*Tabela3[[#This Row],[mlp2_test_acc]]</f>
        <v>0.97368421052631504</v>
      </c>
    </row>
    <row r="85" spans="1:35" x14ac:dyDescent="0.25">
      <c r="A85" t="s">
        <v>44</v>
      </c>
      <c r="B85" t="s">
        <v>959</v>
      </c>
      <c r="C85" t="s">
        <v>666</v>
      </c>
      <c r="D85" t="s">
        <v>666</v>
      </c>
      <c r="E85" t="s">
        <v>80</v>
      </c>
      <c r="F85" t="s">
        <v>50</v>
      </c>
      <c r="G85" t="s">
        <v>2117</v>
      </c>
      <c r="H85" t="s">
        <v>2118</v>
      </c>
      <c r="I85" t="s">
        <v>2112</v>
      </c>
      <c r="J85" t="s">
        <v>2119</v>
      </c>
      <c r="K85" t="s">
        <v>89</v>
      </c>
      <c r="L85" t="s">
        <v>2120</v>
      </c>
      <c r="M85" t="s">
        <v>1438</v>
      </c>
      <c r="N85" t="s">
        <v>89</v>
      </c>
      <c r="O85" t="s">
        <v>1484</v>
      </c>
      <c r="P85" t="s">
        <v>89</v>
      </c>
      <c r="Q85" t="s">
        <v>2121</v>
      </c>
      <c r="R85" t="s">
        <v>1515</v>
      </c>
      <c r="S85" t="s">
        <v>93</v>
      </c>
      <c r="T85" t="s">
        <v>1240</v>
      </c>
      <c r="U85" t="s">
        <v>1438</v>
      </c>
      <c r="V85" t="s">
        <v>89</v>
      </c>
      <c r="W85" t="s">
        <v>1484</v>
      </c>
      <c r="X85" t="s">
        <v>89</v>
      </c>
      <c r="Y85" t="s">
        <v>2122</v>
      </c>
      <c r="Z85" t="s">
        <v>1634</v>
      </c>
      <c r="AA85" t="s">
        <v>93</v>
      </c>
      <c r="AB85" t="s">
        <v>1235</v>
      </c>
      <c r="AC85" t="s">
        <v>2123</v>
      </c>
      <c r="AF85">
        <f>Tabela3[[#This Row],[kan_params]]*1</f>
        <v>1067</v>
      </c>
      <c r="AG85">
        <f>1*Tabela3[[#This Row],[kan_test_acc]]</f>
        <v>0.78947371244430498</v>
      </c>
      <c r="AH85">
        <f>1*Tabela3[[#This Row],[mlp_test_acc]]</f>
        <v>0.97368421052631504</v>
      </c>
      <c r="AI85">
        <f>1*Tabela3[[#This Row],[mlp2_test_acc]]</f>
        <v>0.97368421052631504</v>
      </c>
    </row>
    <row r="86" spans="1:35" x14ac:dyDescent="0.25">
      <c r="A86" t="s">
        <v>44</v>
      </c>
      <c r="B86" t="s">
        <v>959</v>
      </c>
      <c r="C86" t="s">
        <v>666</v>
      </c>
      <c r="D86" t="s">
        <v>666</v>
      </c>
      <c r="E86" t="s">
        <v>80</v>
      </c>
      <c r="F86" t="s">
        <v>54</v>
      </c>
      <c r="G86" t="s">
        <v>2144</v>
      </c>
      <c r="H86" t="s">
        <v>2145</v>
      </c>
      <c r="I86" t="s">
        <v>2146</v>
      </c>
      <c r="J86" t="s">
        <v>1761</v>
      </c>
      <c r="K86" t="s">
        <v>1554</v>
      </c>
      <c r="L86" t="s">
        <v>2147</v>
      </c>
      <c r="M86" t="s">
        <v>1438</v>
      </c>
      <c r="N86" t="s">
        <v>89</v>
      </c>
      <c r="O86" t="s">
        <v>1484</v>
      </c>
      <c r="P86" t="s">
        <v>89</v>
      </c>
      <c r="Q86" t="s">
        <v>2148</v>
      </c>
      <c r="R86" t="s">
        <v>1507</v>
      </c>
      <c r="S86" t="s">
        <v>93</v>
      </c>
      <c r="T86" t="s">
        <v>1337</v>
      </c>
      <c r="U86" t="s">
        <v>1438</v>
      </c>
      <c r="V86" t="s">
        <v>89</v>
      </c>
      <c r="W86" t="s">
        <v>1484</v>
      </c>
      <c r="X86" t="s">
        <v>89</v>
      </c>
      <c r="Y86" t="s">
        <v>2149</v>
      </c>
      <c r="Z86" t="s">
        <v>1442</v>
      </c>
      <c r="AA86" t="s">
        <v>93</v>
      </c>
      <c r="AB86" t="s">
        <v>1255</v>
      </c>
      <c r="AC86" t="s">
        <v>2150</v>
      </c>
      <c r="AF86">
        <f>Tabela3[[#This Row],[kan_params]]*1</f>
        <v>1355</v>
      </c>
      <c r="AG86">
        <f>1*Tabela3[[#This Row],[kan_test_acc]]</f>
        <v>0.76315790414810103</v>
      </c>
      <c r="AH86">
        <f>1*Tabela3[[#This Row],[mlp_test_acc]]</f>
        <v>0.97368421052631504</v>
      </c>
      <c r="AI86">
        <f>1*Tabela3[[#This Row],[mlp2_test_acc]]</f>
        <v>0.97368421052631504</v>
      </c>
    </row>
    <row r="87" spans="1:35" x14ac:dyDescent="0.25">
      <c r="A87" t="s">
        <v>44</v>
      </c>
      <c r="B87" t="s">
        <v>814</v>
      </c>
      <c r="C87" t="s">
        <v>79</v>
      </c>
      <c r="D87" t="s">
        <v>898</v>
      </c>
      <c r="E87" t="s">
        <v>80</v>
      </c>
      <c r="F87" t="s">
        <v>53</v>
      </c>
      <c r="G87" t="s">
        <v>1638</v>
      </c>
      <c r="H87" t="s">
        <v>1639</v>
      </c>
      <c r="I87" t="s">
        <v>1640</v>
      </c>
      <c r="J87" t="s">
        <v>1641</v>
      </c>
      <c r="K87" t="s">
        <v>1642</v>
      </c>
      <c r="L87" t="s">
        <v>1643</v>
      </c>
      <c r="M87" t="s">
        <v>1438</v>
      </c>
      <c r="N87" t="s">
        <v>89</v>
      </c>
      <c r="O87" t="s">
        <v>1439</v>
      </c>
      <c r="P87" t="s">
        <v>1644</v>
      </c>
      <c r="Q87" t="s">
        <v>1645</v>
      </c>
      <c r="R87" t="s">
        <v>1577</v>
      </c>
      <c r="S87" t="s">
        <v>93</v>
      </c>
      <c r="T87" t="s">
        <v>1578</v>
      </c>
      <c r="U87" t="s">
        <v>1438</v>
      </c>
      <c r="V87" t="s">
        <v>89</v>
      </c>
      <c r="W87" t="s">
        <v>1439</v>
      </c>
      <c r="X87" t="s">
        <v>1646</v>
      </c>
      <c r="Y87" t="s">
        <v>1647</v>
      </c>
      <c r="Z87" t="s">
        <v>1545</v>
      </c>
      <c r="AA87" t="s">
        <v>93</v>
      </c>
      <c r="AB87" t="s">
        <v>1311</v>
      </c>
      <c r="AC87" t="s">
        <v>1648</v>
      </c>
      <c r="AF87">
        <f>Tabela3[[#This Row],[kan_params]]*1</f>
        <v>2013</v>
      </c>
      <c r="AG87">
        <f>1*Tabela3[[#This Row],[kan_test_acc]]</f>
        <v>0.73684209585189797</v>
      </c>
      <c r="AH87">
        <f>1*Tabela3[[#This Row],[mlp_test_acc]]</f>
        <v>0.97368421052631504</v>
      </c>
      <c r="AI87">
        <f>1*Tabela3[[#This Row],[mlp2_test_acc]]</f>
        <v>0.97368421052631504</v>
      </c>
    </row>
    <row r="88" spans="1:35" x14ac:dyDescent="0.25">
      <c r="A88" t="s">
        <v>44</v>
      </c>
      <c r="B88" t="s">
        <v>897</v>
      </c>
      <c r="C88" t="s">
        <v>79</v>
      </c>
      <c r="D88" t="s">
        <v>666</v>
      </c>
      <c r="E88" t="s">
        <v>80</v>
      </c>
      <c r="F88" t="s">
        <v>51</v>
      </c>
      <c r="G88" t="s">
        <v>1728</v>
      </c>
      <c r="H88" t="s">
        <v>1729</v>
      </c>
      <c r="I88" t="s">
        <v>1730</v>
      </c>
      <c r="J88" t="s">
        <v>1731</v>
      </c>
      <c r="K88" t="s">
        <v>1598</v>
      </c>
      <c r="L88" t="s">
        <v>1643</v>
      </c>
      <c r="M88" t="s">
        <v>89</v>
      </c>
      <c r="N88" t="s">
        <v>89</v>
      </c>
      <c r="O88" t="s">
        <v>89</v>
      </c>
      <c r="P88" t="s">
        <v>1732</v>
      </c>
      <c r="Q88" t="s">
        <v>1733</v>
      </c>
      <c r="R88" t="s">
        <v>1462</v>
      </c>
      <c r="S88" t="s">
        <v>93</v>
      </c>
      <c r="T88" t="s">
        <v>1303</v>
      </c>
      <c r="U88" t="s">
        <v>89</v>
      </c>
      <c r="V88" t="s">
        <v>1679</v>
      </c>
      <c r="W88" t="s">
        <v>89</v>
      </c>
      <c r="X88" t="s">
        <v>1734</v>
      </c>
      <c r="Y88" t="s">
        <v>1735</v>
      </c>
      <c r="Z88" t="s">
        <v>1466</v>
      </c>
      <c r="AA88" t="s">
        <v>93</v>
      </c>
      <c r="AB88" t="s">
        <v>1222</v>
      </c>
      <c r="AC88" t="s">
        <v>1736</v>
      </c>
      <c r="AF88">
        <f>Tabela3[[#This Row],[kan_params]]*1</f>
        <v>1754</v>
      </c>
      <c r="AG88">
        <f>1*Tabela3[[#This Row],[kan_test_acc]]</f>
        <v>0.73684209585189797</v>
      </c>
      <c r="AH88">
        <f>1*Tabela3[[#This Row],[mlp_test_acc]]</f>
        <v>1</v>
      </c>
      <c r="AI88">
        <f>1*Tabela3[[#This Row],[mlp2_test_acc]]</f>
        <v>1</v>
      </c>
    </row>
    <row r="89" spans="1:35" x14ac:dyDescent="0.25">
      <c r="A89" t="s">
        <v>44</v>
      </c>
      <c r="B89" t="s">
        <v>959</v>
      </c>
      <c r="C89" t="s">
        <v>666</v>
      </c>
      <c r="D89" t="s">
        <v>666</v>
      </c>
      <c r="E89" t="s">
        <v>80</v>
      </c>
      <c r="F89" t="s">
        <v>45</v>
      </c>
      <c r="G89" t="s">
        <v>2076</v>
      </c>
      <c r="H89" t="s">
        <v>2077</v>
      </c>
      <c r="I89" t="s">
        <v>2078</v>
      </c>
      <c r="J89" t="s">
        <v>1761</v>
      </c>
      <c r="K89" t="s">
        <v>1574</v>
      </c>
      <c r="L89" t="s">
        <v>1643</v>
      </c>
      <c r="M89" t="s">
        <v>89</v>
      </c>
      <c r="N89" t="s">
        <v>89</v>
      </c>
      <c r="O89" t="s">
        <v>89</v>
      </c>
      <c r="P89" t="s">
        <v>2079</v>
      </c>
      <c r="Q89" t="s">
        <v>2080</v>
      </c>
      <c r="R89" t="s">
        <v>1545</v>
      </c>
      <c r="S89" t="s">
        <v>93</v>
      </c>
      <c r="T89" t="s">
        <v>1311</v>
      </c>
      <c r="U89" t="s">
        <v>89</v>
      </c>
      <c r="V89" t="s">
        <v>89</v>
      </c>
      <c r="W89" t="s">
        <v>1484</v>
      </c>
      <c r="X89" t="s">
        <v>2081</v>
      </c>
      <c r="Y89" t="s">
        <v>2082</v>
      </c>
      <c r="Z89" t="s">
        <v>1548</v>
      </c>
      <c r="AA89" t="s">
        <v>93</v>
      </c>
      <c r="AB89" t="s">
        <v>1397</v>
      </c>
      <c r="AC89" t="s">
        <v>2083</v>
      </c>
      <c r="AF89">
        <f>Tabela3[[#This Row],[kan_params]]*1</f>
        <v>2225</v>
      </c>
      <c r="AG89">
        <f>1*Tabela3[[#This Row],[kan_test_acc]]</f>
        <v>0.73684209585189797</v>
      </c>
      <c r="AH89">
        <f>1*Tabela3[[#This Row],[mlp_test_acc]]</f>
        <v>1</v>
      </c>
      <c r="AI89">
        <f>1*Tabela3[[#This Row],[mlp2_test_acc]]</f>
        <v>1</v>
      </c>
    </row>
    <row r="90" spans="1:35" x14ac:dyDescent="0.25">
      <c r="A90" t="s">
        <v>44</v>
      </c>
      <c r="B90" t="s">
        <v>959</v>
      </c>
      <c r="C90" t="s">
        <v>666</v>
      </c>
      <c r="D90" t="s">
        <v>666</v>
      </c>
      <c r="E90" t="s">
        <v>80</v>
      </c>
      <c r="F90" t="s">
        <v>49</v>
      </c>
      <c r="G90" t="s">
        <v>2110</v>
      </c>
      <c r="H90" t="s">
        <v>2111</v>
      </c>
      <c r="I90" t="s">
        <v>2112</v>
      </c>
      <c r="J90" t="s">
        <v>2113</v>
      </c>
      <c r="K90" t="s">
        <v>89</v>
      </c>
      <c r="L90" t="s">
        <v>1643</v>
      </c>
      <c r="M90" t="s">
        <v>1438</v>
      </c>
      <c r="N90" t="s">
        <v>89</v>
      </c>
      <c r="O90" t="s">
        <v>1484</v>
      </c>
      <c r="P90" t="s">
        <v>89</v>
      </c>
      <c r="Q90" t="s">
        <v>2114</v>
      </c>
      <c r="R90" t="s">
        <v>1717</v>
      </c>
      <c r="S90" t="s">
        <v>93</v>
      </c>
      <c r="T90" t="s">
        <v>621</v>
      </c>
      <c r="U90" t="s">
        <v>1438</v>
      </c>
      <c r="V90" t="s">
        <v>89</v>
      </c>
      <c r="W90" t="s">
        <v>1484</v>
      </c>
      <c r="X90" t="s">
        <v>89</v>
      </c>
      <c r="Y90" t="s">
        <v>2115</v>
      </c>
      <c r="Z90" t="s">
        <v>1812</v>
      </c>
      <c r="AA90" t="s">
        <v>93</v>
      </c>
      <c r="AB90" t="s">
        <v>626</v>
      </c>
      <c r="AC90" t="s">
        <v>2116</v>
      </c>
      <c r="AF90">
        <f>Tabela3[[#This Row],[kan_params]]*1</f>
        <v>510</v>
      </c>
      <c r="AG90">
        <f>1*Tabela3[[#This Row],[kan_test_acc]]</f>
        <v>0.73684209585189797</v>
      </c>
      <c r="AH90">
        <f>1*Tabela3[[#This Row],[mlp_test_acc]]</f>
        <v>0.97368421052631504</v>
      </c>
      <c r="AI90">
        <f>1*Tabela3[[#This Row],[mlp2_test_acc]]</f>
        <v>0.97368421052631504</v>
      </c>
    </row>
    <row r="91" spans="1:35" x14ac:dyDescent="0.25">
      <c r="A91" t="s">
        <v>44</v>
      </c>
      <c r="B91" t="s">
        <v>814</v>
      </c>
      <c r="C91" t="s">
        <v>79</v>
      </c>
      <c r="D91" t="s">
        <v>898</v>
      </c>
      <c r="E91" t="s">
        <v>80</v>
      </c>
      <c r="F91" t="s">
        <v>49</v>
      </c>
      <c r="G91" t="s">
        <v>1594</v>
      </c>
      <c r="H91" t="s">
        <v>1595</v>
      </c>
      <c r="I91" t="s">
        <v>1596</v>
      </c>
      <c r="J91" t="s">
        <v>1597</v>
      </c>
      <c r="K91" t="s">
        <v>1598</v>
      </c>
      <c r="L91" t="s">
        <v>1599</v>
      </c>
      <c r="M91" t="s">
        <v>1438</v>
      </c>
      <c r="N91" t="s">
        <v>89</v>
      </c>
      <c r="O91" t="s">
        <v>1443</v>
      </c>
      <c r="P91" t="s">
        <v>1600</v>
      </c>
      <c r="Q91" t="s">
        <v>1601</v>
      </c>
      <c r="R91" t="s">
        <v>1487</v>
      </c>
      <c r="S91" t="s">
        <v>93</v>
      </c>
      <c r="T91" t="s">
        <v>645</v>
      </c>
      <c r="U91" t="s">
        <v>1438</v>
      </c>
      <c r="V91" t="s">
        <v>89</v>
      </c>
      <c r="W91" t="s">
        <v>1439</v>
      </c>
      <c r="X91" t="s">
        <v>1602</v>
      </c>
      <c r="Y91" t="s">
        <v>1603</v>
      </c>
      <c r="Z91" t="s">
        <v>1604</v>
      </c>
      <c r="AA91" t="s">
        <v>93</v>
      </c>
      <c r="AB91" t="s">
        <v>657</v>
      </c>
      <c r="AC91" t="s">
        <v>1605</v>
      </c>
      <c r="AF91">
        <f>Tabela3[[#This Row],[kan_params]]*1</f>
        <v>405</v>
      </c>
      <c r="AG91">
        <f>1*Tabela3[[#This Row],[kan_test_acc]]</f>
        <v>0.71052628755569402</v>
      </c>
      <c r="AH91">
        <f>1*Tabela3[[#This Row],[mlp_test_acc]]</f>
        <v>0.97368421052631504</v>
      </c>
      <c r="AI91">
        <f>1*Tabela3[[#This Row],[mlp2_test_acc]]</f>
        <v>0.97368421052631504</v>
      </c>
    </row>
    <row r="92" spans="1:35" x14ac:dyDescent="0.25">
      <c r="A92" t="s">
        <v>44</v>
      </c>
      <c r="B92" t="s">
        <v>814</v>
      </c>
      <c r="C92" t="s">
        <v>666</v>
      </c>
      <c r="D92" t="s">
        <v>79</v>
      </c>
      <c r="E92" t="s">
        <v>80</v>
      </c>
      <c r="F92" t="s">
        <v>51</v>
      </c>
      <c r="G92" t="s">
        <v>1961</v>
      </c>
      <c r="H92" t="s">
        <v>1962</v>
      </c>
      <c r="I92" t="s">
        <v>1963</v>
      </c>
      <c r="J92" t="s">
        <v>1769</v>
      </c>
      <c r="K92" t="s">
        <v>1598</v>
      </c>
      <c r="L92" t="s">
        <v>1599</v>
      </c>
      <c r="M92" t="s">
        <v>1438</v>
      </c>
      <c r="N92" t="s">
        <v>89</v>
      </c>
      <c r="O92" t="s">
        <v>1484</v>
      </c>
      <c r="P92" t="s">
        <v>89</v>
      </c>
      <c r="Q92" t="s">
        <v>1964</v>
      </c>
      <c r="R92" t="s">
        <v>1442</v>
      </c>
      <c r="S92" t="s">
        <v>93</v>
      </c>
      <c r="T92" t="s">
        <v>1255</v>
      </c>
      <c r="U92" t="s">
        <v>1438</v>
      </c>
      <c r="V92" t="s">
        <v>89</v>
      </c>
      <c r="W92" t="s">
        <v>1484</v>
      </c>
      <c r="X92" t="s">
        <v>89</v>
      </c>
      <c r="Y92" t="s">
        <v>1965</v>
      </c>
      <c r="Z92" t="s">
        <v>1446</v>
      </c>
      <c r="AA92" t="s">
        <v>93</v>
      </c>
      <c r="AB92" t="s">
        <v>1247</v>
      </c>
      <c r="AC92" t="s">
        <v>1966</v>
      </c>
      <c r="AF92">
        <f>Tabela3[[#This Row],[kan_params]]*1</f>
        <v>1438</v>
      </c>
      <c r="AG92">
        <f>1*Tabela3[[#This Row],[kan_test_acc]]</f>
        <v>0.71052628755569402</v>
      </c>
      <c r="AH92">
        <f>1*Tabela3[[#This Row],[mlp_test_acc]]</f>
        <v>0.97368421052631504</v>
      </c>
      <c r="AI92">
        <f>1*Tabela3[[#This Row],[mlp2_test_acc]]</f>
        <v>0.97368421052631504</v>
      </c>
    </row>
    <row r="93" spans="1:35" x14ac:dyDescent="0.25">
      <c r="A93" t="s">
        <v>44</v>
      </c>
      <c r="B93" t="s">
        <v>897</v>
      </c>
      <c r="C93" t="s">
        <v>666</v>
      </c>
      <c r="D93" t="s">
        <v>898</v>
      </c>
      <c r="E93" t="s">
        <v>80</v>
      </c>
      <c r="F93" t="s">
        <v>51</v>
      </c>
      <c r="G93" t="s">
        <v>2037</v>
      </c>
      <c r="H93" t="s">
        <v>2038</v>
      </c>
      <c r="I93" t="s">
        <v>2039</v>
      </c>
      <c r="J93" t="s">
        <v>2040</v>
      </c>
      <c r="K93" t="s">
        <v>1642</v>
      </c>
      <c r="L93" t="s">
        <v>1610</v>
      </c>
      <c r="M93" t="s">
        <v>1438</v>
      </c>
      <c r="N93" t="s">
        <v>89</v>
      </c>
      <c r="O93" t="s">
        <v>1484</v>
      </c>
      <c r="P93" t="s">
        <v>89</v>
      </c>
      <c r="Q93" t="s">
        <v>2041</v>
      </c>
      <c r="R93" t="s">
        <v>1522</v>
      </c>
      <c r="S93" t="s">
        <v>93</v>
      </c>
      <c r="T93" t="s">
        <v>1412</v>
      </c>
      <c r="U93" t="s">
        <v>1438</v>
      </c>
      <c r="V93" t="s">
        <v>89</v>
      </c>
      <c r="W93" t="s">
        <v>1484</v>
      </c>
      <c r="X93" t="s">
        <v>89</v>
      </c>
      <c r="Y93" t="s">
        <v>2042</v>
      </c>
      <c r="Z93" t="s">
        <v>1462</v>
      </c>
      <c r="AA93" t="s">
        <v>93</v>
      </c>
      <c r="AB93" t="s">
        <v>1303</v>
      </c>
      <c r="AC93" t="s">
        <v>2043</v>
      </c>
      <c r="AF93">
        <f>Tabela3[[#This Row],[kan_params]]*1</f>
        <v>1675</v>
      </c>
      <c r="AG93">
        <f>1*Tabela3[[#This Row],[kan_test_acc]]</f>
        <v>0.57894736528396595</v>
      </c>
      <c r="AH93">
        <f>1*Tabela3[[#This Row],[mlp_test_acc]]</f>
        <v>0.97368421052631504</v>
      </c>
      <c r="AI93">
        <f>1*Tabela3[[#This Row],[mlp2_test_acc]]</f>
        <v>0.97368421052631504</v>
      </c>
    </row>
    <row r="94" spans="1:35" x14ac:dyDescent="0.25">
      <c r="A94" t="s">
        <v>44</v>
      </c>
      <c r="B94" t="s">
        <v>959</v>
      </c>
      <c r="C94" t="s">
        <v>666</v>
      </c>
      <c r="D94" t="s">
        <v>666</v>
      </c>
      <c r="E94" t="s">
        <v>80</v>
      </c>
      <c r="F94" t="s">
        <v>46</v>
      </c>
      <c r="G94" t="s">
        <v>2084</v>
      </c>
      <c r="H94" t="s">
        <v>2085</v>
      </c>
      <c r="I94" t="s">
        <v>2086</v>
      </c>
      <c r="J94" t="s">
        <v>2087</v>
      </c>
      <c r="K94" t="s">
        <v>1598</v>
      </c>
      <c r="L94" t="s">
        <v>1599</v>
      </c>
      <c r="M94" t="s">
        <v>89</v>
      </c>
      <c r="N94" t="s">
        <v>89</v>
      </c>
      <c r="O94" t="s">
        <v>89</v>
      </c>
      <c r="P94" t="s">
        <v>98</v>
      </c>
      <c r="Q94" t="s">
        <v>2088</v>
      </c>
      <c r="R94" t="s">
        <v>2020</v>
      </c>
      <c r="S94" t="s">
        <v>93</v>
      </c>
      <c r="T94" t="s">
        <v>2021</v>
      </c>
      <c r="U94" t="s">
        <v>89</v>
      </c>
      <c r="V94" t="s">
        <v>89</v>
      </c>
      <c r="W94" t="s">
        <v>1484</v>
      </c>
      <c r="X94" t="s">
        <v>2089</v>
      </c>
      <c r="Y94" t="s">
        <v>2090</v>
      </c>
      <c r="Z94" t="s">
        <v>1701</v>
      </c>
      <c r="AA94" t="s">
        <v>93</v>
      </c>
      <c r="AB94" t="s">
        <v>1702</v>
      </c>
      <c r="AC94" t="s">
        <v>2091</v>
      </c>
      <c r="AF94">
        <f>Tabela3[[#This Row],[kan_params]]*1</f>
        <v>3790</v>
      </c>
      <c r="AG94">
        <f>1*Tabela3[[#This Row],[kan_test_acc]]</f>
        <v>0.71052628755569402</v>
      </c>
      <c r="AH94">
        <f>1*Tabela3[[#This Row],[mlp_test_acc]]</f>
        <v>1</v>
      </c>
      <c r="AI94">
        <f>1*Tabela3[[#This Row],[mlp2_test_acc]]</f>
        <v>1</v>
      </c>
    </row>
    <row r="95" spans="1:35" x14ac:dyDescent="0.25">
      <c r="A95" t="s">
        <v>44</v>
      </c>
      <c r="B95" t="s">
        <v>959</v>
      </c>
      <c r="C95" t="s">
        <v>666</v>
      </c>
      <c r="D95" t="s">
        <v>666</v>
      </c>
      <c r="E95" t="s">
        <v>80</v>
      </c>
      <c r="F95" t="s">
        <v>52</v>
      </c>
      <c r="G95" t="s">
        <v>2131</v>
      </c>
      <c r="H95" t="s">
        <v>2132</v>
      </c>
      <c r="I95" t="s">
        <v>2133</v>
      </c>
      <c r="J95" t="s">
        <v>1609</v>
      </c>
      <c r="K95" t="s">
        <v>1642</v>
      </c>
      <c r="L95" t="s">
        <v>1599</v>
      </c>
      <c r="M95" t="s">
        <v>89</v>
      </c>
      <c r="N95" t="s">
        <v>89</v>
      </c>
      <c r="O95" t="s">
        <v>1484</v>
      </c>
      <c r="P95" t="s">
        <v>228</v>
      </c>
      <c r="Q95" t="s">
        <v>2134</v>
      </c>
      <c r="R95" t="s">
        <v>1442</v>
      </c>
      <c r="S95" t="s">
        <v>93</v>
      </c>
      <c r="T95" t="s">
        <v>1255</v>
      </c>
      <c r="U95" t="s">
        <v>89</v>
      </c>
      <c r="V95" t="s">
        <v>89</v>
      </c>
      <c r="W95" t="s">
        <v>1484</v>
      </c>
      <c r="X95" t="s">
        <v>1056</v>
      </c>
      <c r="Y95" t="s">
        <v>2135</v>
      </c>
      <c r="Z95" t="s">
        <v>1446</v>
      </c>
      <c r="AA95" t="s">
        <v>93</v>
      </c>
      <c r="AB95" t="s">
        <v>1247</v>
      </c>
      <c r="AC95" t="s">
        <v>2136</v>
      </c>
      <c r="AF95">
        <f>Tabela3[[#This Row],[kan_params]]*1</f>
        <v>1453</v>
      </c>
      <c r="AG95">
        <f>1*Tabela3[[#This Row],[kan_test_acc]]</f>
        <v>0.71052628755569402</v>
      </c>
      <c r="AH95">
        <f>1*Tabela3[[#This Row],[mlp_test_acc]]</f>
        <v>1</v>
      </c>
      <c r="AI95">
        <f>1*Tabela3[[#This Row],[mlp2_test_acc]]</f>
        <v>1</v>
      </c>
    </row>
    <row r="96" spans="1:35" x14ac:dyDescent="0.25">
      <c r="A96" t="s">
        <v>44</v>
      </c>
      <c r="B96" t="s">
        <v>959</v>
      </c>
      <c r="C96" t="s">
        <v>666</v>
      </c>
      <c r="D96" t="s">
        <v>666</v>
      </c>
      <c r="E96" t="s">
        <v>80</v>
      </c>
      <c r="F96" t="s">
        <v>55</v>
      </c>
      <c r="G96" t="s">
        <v>2151</v>
      </c>
      <c r="H96" t="s">
        <v>2152</v>
      </c>
      <c r="I96" t="s">
        <v>2153</v>
      </c>
      <c r="J96" t="s">
        <v>2087</v>
      </c>
      <c r="K96" t="s">
        <v>1554</v>
      </c>
      <c r="L96" t="s">
        <v>1599</v>
      </c>
      <c r="M96" t="s">
        <v>89</v>
      </c>
      <c r="N96" t="s">
        <v>89</v>
      </c>
      <c r="O96" t="s">
        <v>1484</v>
      </c>
      <c r="P96" t="s">
        <v>317</v>
      </c>
      <c r="Q96" t="s">
        <v>2154</v>
      </c>
      <c r="R96" t="s">
        <v>1462</v>
      </c>
      <c r="S96" t="s">
        <v>93</v>
      </c>
      <c r="T96" t="s">
        <v>1303</v>
      </c>
      <c r="U96" t="s">
        <v>89</v>
      </c>
      <c r="V96" t="s">
        <v>89</v>
      </c>
      <c r="W96" t="s">
        <v>1484</v>
      </c>
      <c r="X96" t="s">
        <v>857</v>
      </c>
      <c r="Y96" t="s">
        <v>2155</v>
      </c>
      <c r="Z96" t="s">
        <v>1466</v>
      </c>
      <c r="AA96" t="s">
        <v>93</v>
      </c>
      <c r="AB96" t="s">
        <v>1222</v>
      </c>
      <c r="AC96" t="s">
        <v>2156</v>
      </c>
      <c r="AF96">
        <f>Tabela3[[#This Row],[kan_params]]*1</f>
        <v>1839</v>
      </c>
      <c r="AG96">
        <f>1*Tabela3[[#This Row],[kan_test_acc]]</f>
        <v>0.71052628755569402</v>
      </c>
      <c r="AH96">
        <f>1*Tabela3[[#This Row],[mlp_test_acc]]</f>
        <v>1</v>
      </c>
      <c r="AI96">
        <f>1*Tabela3[[#This Row],[mlp2_test_acc]]</f>
        <v>1</v>
      </c>
    </row>
    <row r="97" spans="1:35" x14ac:dyDescent="0.25">
      <c r="A97" t="s">
        <v>44</v>
      </c>
      <c r="B97" t="s">
        <v>814</v>
      </c>
      <c r="C97" t="s">
        <v>79</v>
      </c>
      <c r="D97" t="s">
        <v>898</v>
      </c>
      <c r="E97" t="s">
        <v>80</v>
      </c>
      <c r="F97" t="s">
        <v>45</v>
      </c>
      <c r="G97" t="s">
        <v>1550</v>
      </c>
      <c r="H97" t="s">
        <v>1551</v>
      </c>
      <c r="I97" t="s">
        <v>1552</v>
      </c>
      <c r="J97" t="s">
        <v>1553</v>
      </c>
      <c r="K97" t="s">
        <v>1554</v>
      </c>
      <c r="L97" t="s">
        <v>1555</v>
      </c>
      <c r="M97" t="s">
        <v>89</v>
      </c>
      <c r="N97" t="s">
        <v>89</v>
      </c>
      <c r="O97" t="s">
        <v>1439</v>
      </c>
      <c r="P97" t="s">
        <v>1556</v>
      </c>
      <c r="Q97" t="s">
        <v>1557</v>
      </c>
      <c r="R97" t="s">
        <v>1462</v>
      </c>
      <c r="S97" t="s">
        <v>93</v>
      </c>
      <c r="T97" t="s">
        <v>1303</v>
      </c>
      <c r="U97" t="s">
        <v>1438</v>
      </c>
      <c r="V97" t="s">
        <v>89</v>
      </c>
      <c r="W97" t="s">
        <v>1439</v>
      </c>
      <c r="X97" t="s">
        <v>739</v>
      </c>
      <c r="Y97" t="s">
        <v>1558</v>
      </c>
      <c r="Z97" t="s">
        <v>1466</v>
      </c>
      <c r="AA97" t="s">
        <v>93</v>
      </c>
      <c r="AB97" t="s">
        <v>1222</v>
      </c>
      <c r="AC97" t="s">
        <v>1559</v>
      </c>
      <c r="AF97">
        <f>Tabela3[[#This Row],[kan_params]]*1</f>
        <v>1765</v>
      </c>
      <c r="AG97">
        <f>1*Tabela3[[#This Row],[kan_test_acc]]</f>
        <v>0.68421053886413497</v>
      </c>
      <c r="AH97">
        <f>1*Tabela3[[#This Row],[mlp_test_acc]]</f>
        <v>1</v>
      </c>
      <c r="AI97">
        <f>1*Tabela3[[#This Row],[mlp2_test_acc]]</f>
        <v>0.97368421052631504</v>
      </c>
    </row>
    <row r="98" spans="1:35" x14ac:dyDescent="0.25">
      <c r="A98" t="s">
        <v>44</v>
      </c>
      <c r="B98" t="s">
        <v>897</v>
      </c>
      <c r="C98" t="s">
        <v>79</v>
      </c>
      <c r="D98" t="s">
        <v>666</v>
      </c>
      <c r="E98" t="s">
        <v>80</v>
      </c>
      <c r="F98" t="s">
        <v>45</v>
      </c>
      <c r="G98" t="s">
        <v>1674</v>
      </c>
      <c r="H98" t="s">
        <v>1675</v>
      </c>
      <c r="I98" t="s">
        <v>1676</v>
      </c>
      <c r="J98" t="s">
        <v>1677</v>
      </c>
      <c r="K98" t="s">
        <v>1678</v>
      </c>
      <c r="L98" t="s">
        <v>1555</v>
      </c>
      <c r="M98" t="s">
        <v>89</v>
      </c>
      <c r="N98" t="s">
        <v>1679</v>
      </c>
      <c r="O98" t="s">
        <v>89</v>
      </c>
      <c r="P98" t="s">
        <v>98</v>
      </c>
      <c r="Q98" t="s">
        <v>1680</v>
      </c>
      <c r="R98" t="s">
        <v>1577</v>
      </c>
      <c r="S98" t="s">
        <v>93</v>
      </c>
      <c r="T98" t="s">
        <v>1578</v>
      </c>
      <c r="U98" t="s">
        <v>89</v>
      </c>
      <c r="V98" t="s">
        <v>1679</v>
      </c>
      <c r="W98" t="s">
        <v>89</v>
      </c>
      <c r="X98" t="s">
        <v>98</v>
      </c>
      <c r="Y98" t="s">
        <v>1681</v>
      </c>
      <c r="Z98" t="s">
        <v>1545</v>
      </c>
      <c r="AA98" t="s">
        <v>93</v>
      </c>
      <c r="AB98" t="s">
        <v>1311</v>
      </c>
      <c r="AC98" t="s">
        <v>1682</v>
      </c>
      <c r="AF98">
        <f>Tabela3[[#This Row],[kan_params]]*1</f>
        <v>2041</v>
      </c>
      <c r="AG98">
        <f>1*Tabela3[[#This Row],[kan_test_acc]]</f>
        <v>0.68421053886413497</v>
      </c>
      <c r="AH98">
        <f>1*Tabela3[[#This Row],[mlp_test_acc]]</f>
        <v>1</v>
      </c>
      <c r="AI98">
        <f>1*Tabela3[[#This Row],[mlp2_test_acc]]</f>
        <v>1</v>
      </c>
    </row>
    <row r="99" spans="1:35" x14ac:dyDescent="0.25">
      <c r="A99" t="s">
        <v>44</v>
      </c>
      <c r="B99" t="s">
        <v>897</v>
      </c>
      <c r="C99" t="s">
        <v>79</v>
      </c>
      <c r="D99" t="s">
        <v>666</v>
      </c>
      <c r="E99" t="s">
        <v>80</v>
      </c>
      <c r="F99" t="s">
        <v>49</v>
      </c>
      <c r="G99" t="s">
        <v>1707</v>
      </c>
      <c r="H99" t="s">
        <v>1708</v>
      </c>
      <c r="I99" t="s">
        <v>1709</v>
      </c>
      <c r="J99" t="s">
        <v>1710</v>
      </c>
      <c r="K99" t="s">
        <v>1554</v>
      </c>
      <c r="L99" t="s">
        <v>1555</v>
      </c>
      <c r="M99" t="s">
        <v>1438</v>
      </c>
      <c r="N99" t="s">
        <v>1711</v>
      </c>
      <c r="O99" t="s">
        <v>89</v>
      </c>
      <c r="P99" t="s">
        <v>1712</v>
      </c>
      <c r="Q99" t="s">
        <v>1713</v>
      </c>
      <c r="R99" t="s">
        <v>1604</v>
      </c>
      <c r="S99" t="s">
        <v>93</v>
      </c>
      <c r="T99" t="s">
        <v>657</v>
      </c>
      <c r="U99" t="s">
        <v>1438</v>
      </c>
      <c r="V99" t="s">
        <v>1714</v>
      </c>
      <c r="W99" t="s">
        <v>89</v>
      </c>
      <c r="X99" t="s">
        <v>1715</v>
      </c>
      <c r="Y99" t="s">
        <v>1716</v>
      </c>
      <c r="Z99" t="s">
        <v>1717</v>
      </c>
      <c r="AA99" t="s">
        <v>93</v>
      </c>
      <c r="AB99" t="s">
        <v>621</v>
      </c>
      <c r="AC99" t="s">
        <v>1718</v>
      </c>
      <c r="AF99">
        <f>Tabela3[[#This Row],[kan_params]]*1</f>
        <v>468</v>
      </c>
      <c r="AG99">
        <f>1*Tabela3[[#This Row],[kan_test_acc]]</f>
        <v>0.68421053886413497</v>
      </c>
      <c r="AH99">
        <f>1*Tabela3[[#This Row],[mlp_test_acc]]</f>
        <v>0.97368421052631504</v>
      </c>
      <c r="AI99">
        <f>1*Tabela3[[#This Row],[mlp2_test_acc]]</f>
        <v>0.97368421052631504</v>
      </c>
    </row>
    <row r="100" spans="1:35" x14ac:dyDescent="0.25">
      <c r="A100" t="s">
        <v>44</v>
      </c>
      <c r="B100" t="s">
        <v>897</v>
      </c>
      <c r="C100" t="s">
        <v>79</v>
      </c>
      <c r="D100" t="s">
        <v>666</v>
      </c>
      <c r="E100" t="s">
        <v>80</v>
      </c>
      <c r="F100" t="s">
        <v>48</v>
      </c>
      <c r="G100" t="s">
        <v>1696</v>
      </c>
      <c r="H100" t="s">
        <v>1697</v>
      </c>
      <c r="I100" t="s">
        <v>1698</v>
      </c>
      <c r="J100" t="s">
        <v>1686</v>
      </c>
      <c r="K100" t="s">
        <v>1554</v>
      </c>
      <c r="L100" t="s">
        <v>1699</v>
      </c>
      <c r="M100" t="s">
        <v>1438</v>
      </c>
      <c r="N100" t="s">
        <v>89</v>
      </c>
      <c r="O100" t="s">
        <v>1484</v>
      </c>
      <c r="P100" t="s">
        <v>89</v>
      </c>
      <c r="Q100" t="s">
        <v>1700</v>
      </c>
      <c r="R100" t="s">
        <v>1701</v>
      </c>
      <c r="S100" t="s">
        <v>93</v>
      </c>
      <c r="T100" t="s">
        <v>1702</v>
      </c>
      <c r="U100" t="s">
        <v>1438</v>
      </c>
      <c r="V100" t="s">
        <v>89</v>
      </c>
      <c r="W100" t="s">
        <v>1484</v>
      </c>
      <c r="X100" t="s">
        <v>89</v>
      </c>
      <c r="Y100" t="s">
        <v>1703</v>
      </c>
      <c r="Z100" t="s">
        <v>1704</v>
      </c>
      <c r="AA100" t="s">
        <v>93</v>
      </c>
      <c r="AB100" t="s">
        <v>1705</v>
      </c>
      <c r="AC100" t="s">
        <v>1706</v>
      </c>
      <c r="AF100">
        <f>Tabela3[[#This Row],[kan_params]]*1</f>
        <v>4050</v>
      </c>
      <c r="AG100">
        <f>1*Tabela3[[#This Row],[kan_test_acc]]</f>
        <v>0.65789473056793202</v>
      </c>
      <c r="AH100">
        <f>1*Tabela3[[#This Row],[mlp_test_acc]]</f>
        <v>0.97368421052631504</v>
      </c>
      <c r="AI100">
        <f>1*Tabela3[[#This Row],[mlp2_test_acc]]</f>
        <v>0.97368421052631504</v>
      </c>
    </row>
    <row r="101" spans="1:35" x14ac:dyDescent="0.25">
      <c r="A101" t="s">
        <v>44</v>
      </c>
      <c r="B101" t="s">
        <v>897</v>
      </c>
      <c r="C101" t="s">
        <v>79</v>
      </c>
      <c r="D101" t="s">
        <v>666</v>
      </c>
      <c r="E101" t="s">
        <v>80</v>
      </c>
      <c r="F101" t="s">
        <v>56</v>
      </c>
      <c r="G101" t="s">
        <v>1766</v>
      </c>
      <c r="H101" t="s">
        <v>1767</v>
      </c>
      <c r="I101" t="s">
        <v>1768</v>
      </c>
      <c r="J101" t="s">
        <v>1769</v>
      </c>
      <c r="K101" t="s">
        <v>1642</v>
      </c>
      <c r="L101" t="s">
        <v>1699</v>
      </c>
      <c r="M101" t="s">
        <v>89</v>
      </c>
      <c r="N101" t="s">
        <v>1714</v>
      </c>
      <c r="O101" t="s">
        <v>89</v>
      </c>
      <c r="P101" t="s">
        <v>98</v>
      </c>
      <c r="Q101" t="s">
        <v>1770</v>
      </c>
      <c r="R101" t="s">
        <v>1472</v>
      </c>
      <c r="S101" t="s">
        <v>93</v>
      </c>
      <c r="T101" t="s">
        <v>1473</v>
      </c>
      <c r="U101" t="s">
        <v>89</v>
      </c>
      <c r="V101" t="s">
        <v>1679</v>
      </c>
      <c r="W101" t="s">
        <v>89</v>
      </c>
      <c r="X101" t="s">
        <v>98</v>
      </c>
      <c r="Y101" t="s">
        <v>1771</v>
      </c>
      <c r="Z101" t="s">
        <v>1477</v>
      </c>
      <c r="AA101" t="s">
        <v>93</v>
      </c>
      <c r="AB101" t="s">
        <v>1309</v>
      </c>
      <c r="AC101" t="s">
        <v>1772</v>
      </c>
      <c r="AF101">
        <f>Tabela3[[#This Row],[kan_params]]*1</f>
        <v>2902</v>
      </c>
      <c r="AG101">
        <f>1*Tabela3[[#This Row],[kan_test_acc]]</f>
        <v>0.65789473056793202</v>
      </c>
      <c r="AH101">
        <f>1*Tabela3[[#This Row],[mlp_test_acc]]</f>
        <v>1</v>
      </c>
      <c r="AI101">
        <f>1*Tabela3[[#This Row],[mlp2_test_acc]]</f>
        <v>1</v>
      </c>
    </row>
    <row r="102" spans="1:35" x14ac:dyDescent="0.25">
      <c r="A102" t="s">
        <v>44</v>
      </c>
      <c r="B102" t="s">
        <v>897</v>
      </c>
      <c r="C102" t="s">
        <v>666</v>
      </c>
      <c r="D102" t="s">
        <v>898</v>
      </c>
      <c r="E102" t="s">
        <v>80</v>
      </c>
      <c r="F102" t="s">
        <v>45</v>
      </c>
      <c r="G102" t="s">
        <v>1994</v>
      </c>
      <c r="H102" t="s">
        <v>1995</v>
      </c>
      <c r="I102" t="s">
        <v>1996</v>
      </c>
      <c r="J102" t="s">
        <v>1997</v>
      </c>
      <c r="K102" t="s">
        <v>1554</v>
      </c>
      <c r="L102" t="s">
        <v>1998</v>
      </c>
      <c r="M102" t="s">
        <v>1438</v>
      </c>
      <c r="N102" t="s">
        <v>89</v>
      </c>
      <c r="O102" t="s">
        <v>1484</v>
      </c>
      <c r="P102" t="s">
        <v>89</v>
      </c>
      <c r="Q102" t="s">
        <v>1999</v>
      </c>
      <c r="R102" t="s">
        <v>1466</v>
      </c>
      <c r="S102" t="s">
        <v>93</v>
      </c>
      <c r="T102" t="s">
        <v>1222</v>
      </c>
      <c r="U102" t="s">
        <v>1438</v>
      </c>
      <c r="V102" t="s">
        <v>89</v>
      </c>
      <c r="W102" t="s">
        <v>1484</v>
      </c>
      <c r="X102" t="s">
        <v>89</v>
      </c>
      <c r="Y102" t="s">
        <v>2000</v>
      </c>
      <c r="Z102" t="s">
        <v>1577</v>
      </c>
      <c r="AA102" t="s">
        <v>93</v>
      </c>
      <c r="AB102" t="s">
        <v>1578</v>
      </c>
      <c r="AC102" t="s">
        <v>2001</v>
      </c>
      <c r="AF102">
        <f>Tabela3[[#This Row],[kan_params]]*1</f>
        <v>1949</v>
      </c>
      <c r="AG102">
        <f>1*Tabela3[[#This Row],[kan_test_acc]]</f>
        <v>0.36842104792594899</v>
      </c>
      <c r="AH102">
        <f>1*Tabela3[[#This Row],[mlp_test_acc]]</f>
        <v>0.97368421052631504</v>
      </c>
      <c r="AI102">
        <f>1*Tabela3[[#This Row],[mlp2_test_acc]]</f>
        <v>0.97368421052631504</v>
      </c>
    </row>
    <row r="103" spans="1:35" x14ac:dyDescent="0.25">
      <c r="A103" t="s">
        <v>44</v>
      </c>
      <c r="B103" t="s">
        <v>959</v>
      </c>
      <c r="C103" t="s">
        <v>666</v>
      </c>
      <c r="D103" t="s">
        <v>666</v>
      </c>
      <c r="E103" t="s">
        <v>80</v>
      </c>
      <c r="F103" t="s">
        <v>48</v>
      </c>
      <c r="G103" t="s">
        <v>2101</v>
      </c>
      <c r="H103" t="s">
        <v>2102</v>
      </c>
      <c r="I103" t="s">
        <v>2103</v>
      </c>
      <c r="J103" t="s">
        <v>1667</v>
      </c>
      <c r="K103" t="s">
        <v>1598</v>
      </c>
      <c r="L103" t="s">
        <v>2012</v>
      </c>
      <c r="M103" t="s">
        <v>89</v>
      </c>
      <c r="N103" t="s">
        <v>89</v>
      </c>
      <c r="O103" t="s">
        <v>1484</v>
      </c>
      <c r="P103" t="s">
        <v>1397</v>
      </c>
      <c r="Q103" t="s">
        <v>2104</v>
      </c>
      <c r="R103" t="s">
        <v>2105</v>
      </c>
      <c r="S103" t="s">
        <v>93</v>
      </c>
      <c r="T103" t="s">
        <v>2089</v>
      </c>
      <c r="U103" t="s">
        <v>89</v>
      </c>
      <c r="V103" t="s">
        <v>89</v>
      </c>
      <c r="W103" t="s">
        <v>89</v>
      </c>
      <c r="X103" t="s">
        <v>968</v>
      </c>
      <c r="Y103" t="s">
        <v>2106</v>
      </c>
      <c r="Z103" t="s">
        <v>2107</v>
      </c>
      <c r="AA103" t="s">
        <v>93</v>
      </c>
      <c r="AB103" t="s">
        <v>2108</v>
      </c>
      <c r="AC103" t="s">
        <v>2109</v>
      </c>
      <c r="AF103">
        <f>Tabela3[[#This Row],[kan_params]]*1</f>
        <v>4416</v>
      </c>
      <c r="AG103">
        <f>1*Tabela3[[#This Row],[kan_test_acc]]</f>
        <v>0.63157892227172796</v>
      </c>
      <c r="AH103">
        <f>1*Tabela3[[#This Row],[mlp_test_acc]]</f>
        <v>1</v>
      </c>
      <c r="AI103">
        <f>1*Tabela3[[#This Row],[mlp2_test_acc]]</f>
        <v>1</v>
      </c>
    </row>
    <row r="104" spans="1:35" x14ac:dyDescent="0.25">
      <c r="A104" t="s">
        <v>44</v>
      </c>
      <c r="B104" t="s">
        <v>1297</v>
      </c>
      <c r="C104" t="s">
        <v>1026</v>
      </c>
      <c r="D104" t="s">
        <v>898</v>
      </c>
      <c r="E104" t="s">
        <v>80</v>
      </c>
      <c r="F104" t="s">
        <v>48</v>
      </c>
      <c r="G104" t="s">
        <v>2293</v>
      </c>
      <c r="H104" t="s">
        <v>2294</v>
      </c>
      <c r="I104" t="s">
        <v>2295</v>
      </c>
      <c r="J104" t="s">
        <v>1667</v>
      </c>
      <c r="K104" t="s">
        <v>1554</v>
      </c>
      <c r="L104" t="s">
        <v>2012</v>
      </c>
      <c r="M104" t="s">
        <v>2178</v>
      </c>
      <c r="N104" t="s">
        <v>89</v>
      </c>
      <c r="O104" t="s">
        <v>1439</v>
      </c>
      <c r="P104" t="s">
        <v>89</v>
      </c>
      <c r="Q104" t="s">
        <v>2296</v>
      </c>
      <c r="R104" t="s">
        <v>2107</v>
      </c>
      <c r="S104" t="s">
        <v>93</v>
      </c>
      <c r="T104" t="s">
        <v>2108</v>
      </c>
      <c r="U104" t="s">
        <v>2178</v>
      </c>
      <c r="V104" t="s">
        <v>89</v>
      </c>
      <c r="W104" t="s">
        <v>1439</v>
      </c>
      <c r="X104" t="s">
        <v>89</v>
      </c>
      <c r="Y104" t="s">
        <v>2297</v>
      </c>
      <c r="Z104" t="s">
        <v>2298</v>
      </c>
      <c r="AA104" t="s">
        <v>93</v>
      </c>
      <c r="AB104" t="s">
        <v>2299</v>
      </c>
      <c r="AC104" t="s">
        <v>2300</v>
      </c>
      <c r="AF104">
        <f>Tabela3[[#This Row],[kan_params]]*1</f>
        <v>4599</v>
      </c>
      <c r="AG104">
        <f>1*Tabela3[[#This Row],[kan_test_acc]]</f>
        <v>0.63157892227172796</v>
      </c>
      <c r="AH104">
        <f>1*Tabela3[[#This Row],[mlp_test_acc]]</f>
        <v>0.92105263157894701</v>
      </c>
      <c r="AI104">
        <f>1*Tabela3[[#This Row],[mlp2_test_acc]]</f>
        <v>0.92105263157894701</v>
      </c>
    </row>
    <row r="105" spans="1:35" x14ac:dyDescent="0.25">
      <c r="A105" t="s">
        <v>44</v>
      </c>
      <c r="B105" t="s">
        <v>1297</v>
      </c>
      <c r="C105" t="s">
        <v>1026</v>
      </c>
      <c r="D105" t="s">
        <v>898</v>
      </c>
      <c r="E105" t="s">
        <v>80</v>
      </c>
      <c r="F105" t="s">
        <v>54</v>
      </c>
      <c r="G105" t="s">
        <v>2332</v>
      </c>
      <c r="H105" t="s">
        <v>2333</v>
      </c>
      <c r="I105" t="s">
        <v>2334</v>
      </c>
      <c r="J105" t="s">
        <v>2335</v>
      </c>
      <c r="K105" t="s">
        <v>1574</v>
      </c>
      <c r="L105" t="s">
        <v>2012</v>
      </c>
      <c r="M105" t="s">
        <v>1463</v>
      </c>
      <c r="N105" t="s">
        <v>89</v>
      </c>
      <c r="O105" t="s">
        <v>1484</v>
      </c>
      <c r="P105" t="s">
        <v>89</v>
      </c>
      <c r="Q105" t="s">
        <v>2336</v>
      </c>
      <c r="R105" t="s">
        <v>1442</v>
      </c>
      <c r="S105" t="s">
        <v>93</v>
      </c>
      <c r="T105" t="s">
        <v>1255</v>
      </c>
      <c r="U105" t="s">
        <v>1463</v>
      </c>
      <c r="V105" t="s">
        <v>89</v>
      </c>
      <c r="W105" t="s">
        <v>1484</v>
      </c>
      <c r="X105" t="s">
        <v>89</v>
      </c>
      <c r="Y105" t="s">
        <v>2337</v>
      </c>
      <c r="Z105" t="s">
        <v>1446</v>
      </c>
      <c r="AA105" t="s">
        <v>93</v>
      </c>
      <c r="AB105" t="s">
        <v>1247</v>
      </c>
      <c r="AC105" t="s">
        <v>2338</v>
      </c>
      <c r="AF105">
        <f>Tabela3[[#This Row],[kan_params]]*1</f>
        <v>1411</v>
      </c>
      <c r="AG105">
        <f>1*Tabela3[[#This Row],[kan_test_acc]]</f>
        <v>0.63157892227172796</v>
      </c>
      <c r="AH105">
        <f>1*Tabela3[[#This Row],[mlp_test_acc]]</f>
        <v>0.94736842105263097</v>
      </c>
      <c r="AI105">
        <f>1*Tabela3[[#This Row],[mlp2_test_acc]]</f>
        <v>0.94736842105263097</v>
      </c>
    </row>
    <row r="106" spans="1:35" x14ac:dyDescent="0.25">
      <c r="A106" t="s">
        <v>44</v>
      </c>
      <c r="B106" t="s">
        <v>1297</v>
      </c>
      <c r="C106" t="s">
        <v>1026</v>
      </c>
      <c r="D106" t="s">
        <v>898</v>
      </c>
      <c r="E106" t="s">
        <v>80</v>
      </c>
      <c r="F106" t="s">
        <v>55</v>
      </c>
      <c r="G106" t="s">
        <v>2339</v>
      </c>
      <c r="H106" t="s">
        <v>2340</v>
      </c>
      <c r="I106" t="s">
        <v>2341</v>
      </c>
      <c r="J106" t="s">
        <v>2071</v>
      </c>
      <c r="K106" t="s">
        <v>1642</v>
      </c>
      <c r="L106" t="s">
        <v>2012</v>
      </c>
      <c r="M106" t="s">
        <v>1463</v>
      </c>
      <c r="N106" t="s">
        <v>89</v>
      </c>
      <c r="O106" t="s">
        <v>1484</v>
      </c>
      <c r="P106" t="s">
        <v>89</v>
      </c>
      <c r="Q106" t="s">
        <v>2342</v>
      </c>
      <c r="R106" t="s">
        <v>1466</v>
      </c>
      <c r="S106" t="s">
        <v>93</v>
      </c>
      <c r="T106" t="s">
        <v>1222</v>
      </c>
      <c r="U106" t="s">
        <v>1463</v>
      </c>
      <c r="V106" t="s">
        <v>89</v>
      </c>
      <c r="W106" t="s">
        <v>1484</v>
      </c>
      <c r="X106" t="s">
        <v>89</v>
      </c>
      <c r="Y106" t="s">
        <v>2343</v>
      </c>
      <c r="Z106" t="s">
        <v>1577</v>
      </c>
      <c r="AA106" t="s">
        <v>93</v>
      </c>
      <c r="AB106" t="s">
        <v>1578</v>
      </c>
      <c r="AC106" t="s">
        <v>2344</v>
      </c>
      <c r="AF106">
        <f>Tabela3[[#This Row],[kan_params]]*1</f>
        <v>1915</v>
      </c>
      <c r="AG106">
        <f>1*Tabela3[[#This Row],[kan_test_acc]]</f>
        <v>0.63157892227172796</v>
      </c>
      <c r="AH106">
        <f>1*Tabela3[[#This Row],[mlp_test_acc]]</f>
        <v>0.94736842105263097</v>
      </c>
      <c r="AI106">
        <f>1*Tabela3[[#This Row],[mlp2_test_acc]]</f>
        <v>0.94736842105263097</v>
      </c>
    </row>
    <row r="107" spans="1:35" x14ac:dyDescent="0.25">
      <c r="A107" t="s">
        <v>44</v>
      </c>
      <c r="B107" t="s">
        <v>2351</v>
      </c>
      <c r="C107" t="s">
        <v>1026</v>
      </c>
      <c r="D107" t="s">
        <v>666</v>
      </c>
      <c r="E107" t="s">
        <v>80</v>
      </c>
      <c r="F107" t="s">
        <v>48</v>
      </c>
      <c r="G107" t="s">
        <v>2371</v>
      </c>
      <c r="H107" t="s">
        <v>2372</v>
      </c>
      <c r="I107" t="s">
        <v>2373</v>
      </c>
      <c r="J107" t="s">
        <v>2071</v>
      </c>
      <c r="K107" t="s">
        <v>1554</v>
      </c>
      <c r="L107" t="s">
        <v>2012</v>
      </c>
      <c r="M107" t="s">
        <v>1463</v>
      </c>
      <c r="N107" t="s">
        <v>1679</v>
      </c>
      <c r="O107" t="s">
        <v>89</v>
      </c>
      <c r="P107" t="s">
        <v>98</v>
      </c>
      <c r="Q107" t="s">
        <v>2374</v>
      </c>
      <c r="R107" t="s">
        <v>2375</v>
      </c>
      <c r="S107" t="s">
        <v>93</v>
      </c>
      <c r="T107" t="s">
        <v>2376</v>
      </c>
      <c r="U107" t="s">
        <v>1463</v>
      </c>
      <c r="V107" t="s">
        <v>1679</v>
      </c>
      <c r="W107" t="s">
        <v>89</v>
      </c>
      <c r="X107" t="s">
        <v>98</v>
      </c>
      <c r="Y107" t="s">
        <v>2377</v>
      </c>
      <c r="Z107" t="s">
        <v>2378</v>
      </c>
      <c r="AA107" t="s">
        <v>93</v>
      </c>
      <c r="AB107" t="s">
        <v>2379</v>
      </c>
      <c r="AC107" t="s">
        <v>2380</v>
      </c>
      <c r="AF107">
        <f>Tabela3[[#This Row],[kan_params]]*1</f>
        <v>5148</v>
      </c>
      <c r="AG107">
        <f>1*Tabela3[[#This Row],[kan_test_acc]]</f>
        <v>0.63157892227172796</v>
      </c>
      <c r="AH107">
        <f>1*Tabela3[[#This Row],[mlp_test_acc]]</f>
        <v>0.94736842105263097</v>
      </c>
      <c r="AI107">
        <f>1*Tabela3[[#This Row],[mlp2_test_acc]]</f>
        <v>0.94736842105263097</v>
      </c>
    </row>
    <row r="108" spans="1:35" x14ac:dyDescent="0.25">
      <c r="A108" t="s">
        <v>44</v>
      </c>
      <c r="B108" t="s">
        <v>814</v>
      </c>
      <c r="C108" t="s">
        <v>79</v>
      </c>
      <c r="D108" t="s">
        <v>898</v>
      </c>
      <c r="E108" t="s">
        <v>80</v>
      </c>
      <c r="F108" t="s">
        <v>55</v>
      </c>
      <c r="G108" t="s">
        <v>1655</v>
      </c>
      <c r="H108" t="s">
        <v>1656</v>
      </c>
      <c r="I108" t="s">
        <v>1657</v>
      </c>
      <c r="J108" t="s">
        <v>1619</v>
      </c>
      <c r="K108" t="s">
        <v>1620</v>
      </c>
      <c r="L108" t="s">
        <v>1658</v>
      </c>
      <c r="M108" t="s">
        <v>1438</v>
      </c>
      <c r="N108" t="s">
        <v>89</v>
      </c>
      <c r="O108" t="s">
        <v>1439</v>
      </c>
      <c r="P108" t="s">
        <v>1659</v>
      </c>
      <c r="Q108" t="s">
        <v>1660</v>
      </c>
      <c r="R108" t="s">
        <v>1442</v>
      </c>
      <c r="S108" t="s">
        <v>93</v>
      </c>
      <c r="T108" t="s">
        <v>1255</v>
      </c>
      <c r="U108" t="s">
        <v>89</v>
      </c>
      <c r="V108" t="s">
        <v>89</v>
      </c>
      <c r="W108" t="s">
        <v>1439</v>
      </c>
      <c r="X108" t="s">
        <v>1661</v>
      </c>
      <c r="Y108" t="s">
        <v>1662</v>
      </c>
      <c r="Z108" t="s">
        <v>1446</v>
      </c>
      <c r="AA108" t="s">
        <v>93</v>
      </c>
      <c r="AB108" t="s">
        <v>1247</v>
      </c>
      <c r="AC108" t="s">
        <v>1663</v>
      </c>
      <c r="AF108">
        <f>Tabela3[[#This Row],[kan_params]]*1</f>
        <v>1459</v>
      </c>
      <c r="AG108">
        <f>1*Tabela3[[#This Row],[kan_test_acc]]</f>
        <v>0.60526317358016901</v>
      </c>
      <c r="AH108">
        <f>1*Tabela3[[#This Row],[mlp_test_acc]]</f>
        <v>0.97368421052631504</v>
      </c>
      <c r="AI108">
        <f>1*Tabela3[[#This Row],[mlp2_test_acc]]</f>
        <v>1</v>
      </c>
    </row>
    <row r="109" spans="1:35" x14ac:dyDescent="0.25">
      <c r="A109" t="s">
        <v>44</v>
      </c>
      <c r="B109" t="s">
        <v>814</v>
      </c>
      <c r="C109" t="s">
        <v>79</v>
      </c>
      <c r="D109" t="s">
        <v>898</v>
      </c>
      <c r="E109" t="s">
        <v>80</v>
      </c>
      <c r="F109" t="s">
        <v>56</v>
      </c>
      <c r="G109" t="s">
        <v>1664</v>
      </c>
      <c r="H109" t="s">
        <v>1665</v>
      </c>
      <c r="I109" t="s">
        <v>1666</v>
      </c>
      <c r="J109" t="s">
        <v>1667</v>
      </c>
      <c r="K109" t="s">
        <v>1598</v>
      </c>
      <c r="L109" t="s">
        <v>1658</v>
      </c>
      <c r="M109" t="s">
        <v>89</v>
      </c>
      <c r="N109" t="s">
        <v>89</v>
      </c>
      <c r="O109" t="s">
        <v>1439</v>
      </c>
      <c r="P109" t="s">
        <v>1668</v>
      </c>
      <c r="Q109" t="s">
        <v>1669</v>
      </c>
      <c r="R109" t="s">
        <v>1670</v>
      </c>
      <c r="S109" t="s">
        <v>93</v>
      </c>
      <c r="T109" t="s">
        <v>1671</v>
      </c>
      <c r="U109" t="s">
        <v>89</v>
      </c>
      <c r="V109" t="s">
        <v>89</v>
      </c>
      <c r="W109" t="s">
        <v>1439</v>
      </c>
      <c r="X109" t="s">
        <v>769</v>
      </c>
      <c r="Y109" t="s">
        <v>1672</v>
      </c>
      <c r="Z109" t="s">
        <v>1452</v>
      </c>
      <c r="AA109" t="s">
        <v>93</v>
      </c>
      <c r="AB109" t="s">
        <v>1453</v>
      </c>
      <c r="AC109" t="s">
        <v>1673</v>
      </c>
      <c r="AF109">
        <f>Tabela3[[#This Row],[kan_params]]*1</f>
        <v>2509</v>
      </c>
      <c r="AG109">
        <f>1*Tabela3[[#This Row],[kan_test_acc]]</f>
        <v>0.60526317358016901</v>
      </c>
      <c r="AH109">
        <f>1*Tabela3[[#This Row],[mlp_test_acc]]</f>
        <v>1</v>
      </c>
      <c r="AI109">
        <f>1*Tabela3[[#This Row],[mlp2_test_acc]]</f>
        <v>1</v>
      </c>
    </row>
    <row r="110" spans="1:35" x14ac:dyDescent="0.25">
      <c r="A110" t="s">
        <v>44</v>
      </c>
      <c r="B110" t="s">
        <v>897</v>
      </c>
      <c r="C110" t="s">
        <v>666</v>
      </c>
      <c r="D110" t="s">
        <v>898</v>
      </c>
      <c r="E110" t="s">
        <v>80</v>
      </c>
      <c r="F110" t="s">
        <v>53</v>
      </c>
      <c r="G110" t="s">
        <v>2050</v>
      </c>
      <c r="H110" t="s">
        <v>2051</v>
      </c>
      <c r="I110" t="s">
        <v>2052</v>
      </c>
      <c r="J110" t="s">
        <v>1769</v>
      </c>
      <c r="K110" t="s">
        <v>1598</v>
      </c>
      <c r="L110" t="s">
        <v>1610</v>
      </c>
      <c r="M110" t="s">
        <v>1438</v>
      </c>
      <c r="N110" t="s">
        <v>89</v>
      </c>
      <c r="O110" t="s">
        <v>1484</v>
      </c>
      <c r="P110" t="s">
        <v>89</v>
      </c>
      <c r="Q110" t="s">
        <v>2053</v>
      </c>
      <c r="R110" t="s">
        <v>1545</v>
      </c>
      <c r="S110" t="s">
        <v>93</v>
      </c>
      <c r="T110" t="s">
        <v>1311</v>
      </c>
      <c r="U110" t="s">
        <v>1438</v>
      </c>
      <c r="V110" t="s">
        <v>89</v>
      </c>
      <c r="W110" t="s">
        <v>1484</v>
      </c>
      <c r="X110" t="s">
        <v>89</v>
      </c>
      <c r="Y110" t="s">
        <v>2054</v>
      </c>
      <c r="Z110" t="s">
        <v>1548</v>
      </c>
      <c r="AA110" t="s">
        <v>93</v>
      </c>
      <c r="AB110" t="s">
        <v>1397</v>
      </c>
      <c r="AC110" t="s">
        <v>2055</v>
      </c>
      <c r="AF110">
        <f>Tabela3[[#This Row],[kan_params]]*1</f>
        <v>2223</v>
      </c>
      <c r="AG110">
        <f>1*Tabela3[[#This Row],[kan_test_acc]]</f>
        <v>0.57894736528396595</v>
      </c>
      <c r="AH110">
        <f>1*Tabela3[[#This Row],[mlp_test_acc]]</f>
        <v>0.97368421052631504</v>
      </c>
      <c r="AI110">
        <f>1*Tabela3[[#This Row],[mlp2_test_acc]]</f>
        <v>0.97368421052631504</v>
      </c>
    </row>
    <row r="111" spans="1:35" x14ac:dyDescent="0.25">
      <c r="A111" t="s">
        <v>44</v>
      </c>
      <c r="B111" t="s">
        <v>1297</v>
      </c>
      <c r="C111" t="s">
        <v>1026</v>
      </c>
      <c r="D111" t="s">
        <v>898</v>
      </c>
      <c r="E111" t="s">
        <v>80</v>
      </c>
      <c r="F111" t="s">
        <v>56</v>
      </c>
      <c r="G111" t="s">
        <v>2345</v>
      </c>
      <c r="H111" t="s">
        <v>2346</v>
      </c>
      <c r="I111" t="s">
        <v>2347</v>
      </c>
      <c r="J111" t="s">
        <v>1641</v>
      </c>
      <c r="K111" t="s">
        <v>1642</v>
      </c>
      <c r="L111" t="s">
        <v>1658</v>
      </c>
      <c r="M111" t="s">
        <v>2178</v>
      </c>
      <c r="N111" t="s">
        <v>89</v>
      </c>
      <c r="O111" t="s">
        <v>1439</v>
      </c>
      <c r="P111" t="s">
        <v>89</v>
      </c>
      <c r="Q111" t="s">
        <v>2348</v>
      </c>
      <c r="R111" t="s">
        <v>1944</v>
      </c>
      <c r="S111" t="s">
        <v>93</v>
      </c>
      <c r="T111" t="s">
        <v>1945</v>
      </c>
      <c r="U111" t="s">
        <v>2178</v>
      </c>
      <c r="V111" t="s">
        <v>89</v>
      </c>
      <c r="W111" t="s">
        <v>1439</v>
      </c>
      <c r="X111" t="s">
        <v>89</v>
      </c>
      <c r="Y111" t="s">
        <v>2349</v>
      </c>
      <c r="Z111" t="s">
        <v>1588</v>
      </c>
      <c r="AA111" t="s">
        <v>93</v>
      </c>
      <c r="AB111" t="s">
        <v>1301</v>
      </c>
      <c r="AC111" t="s">
        <v>2350</v>
      </c>
      <c r="AF111">
        <f>Tabela3[[#This Row],[kan_params]]*1</f>
        <v>3295</v>
      </c>
      <c r="AG111">
        <f>1*Tabela3[[#This Row],[kan_test_acc]]</f>
        <v>0.60526317358016901</v>
      </c>
      <c r="AH111">
        <f>1*Tabela3[[#This Row],[mlp_test_acc]]</f>
        <v>0.92105263157894701</v>
      </c>
      <c r="AI111">
        <f>1*Tabela3[[#This Row],[mlp2_test_acc]]</f>
        <v>0.92105263157894701</v>
      </c>
    </row>
    <row r="112" spans="1:35" x14ac:dyDescent="0.25">
      <c r="A112" t="s">
        <v>44</v>
      </c>
      <c r="B112" t="s">
        <v>2351</v>
      </c>
      <c r="C112" t="s">
        <v>1026</v>
      </c>
      <c r="D112" t="s">
        <v>666</v>
      </c>
      <c r="E112" t="s">
        <v>80</v>
      </c>
      <c r="F112" t="s">
        <v>46</v>
      </c>
      <c r="G112" t="s">
        <v>2358</v>
      </c>
      <c r="H112" t="s">
        <v>2359</v>
      </c>
      <c r="I112" t="s">
        <v>2360</v>
      </c>
      <c r="J112" t="s">
        <v>1667</v>
      </c>
      <c r="K112" t="s">
        <v>1554</v>
      </c>
      <c r="L112" t="s">
        <v>1658</v>
      </c>
      <c r="M112" t="s">
        <v>2178</v>
      </c>
      <c r="N112" t="s">
        <v>89</v>
      </c>
      <c r="O112" t="s">
        <v>1439</v>
      </c>
      <c r="P112" t="s">
        <v>89</v>
      </c>
      <c r="Q112" t="s">
        <v>2361</v>
      </c>
      <c r="R112" t="s">
        <v>2105</v>
      </c>
      <c r="S112" t="s">
        <v>93</v>
      </c>
      <c r="T112" t="s">
        <v>2089</v>
      </c>
      <c r="U112" t="s">
        <v>2178</v>
      </c>
      <c r="V112" t="s">
        <v>89</v>
      </c>
      <c r="W112" t="s">
        <v>1439</v>
      </c>
      <c r="X112" t="s">
        <v>89</v>
      </c>
      <c r="Y112" t="s">
        <v>2362</v>
      </c>
      <c r="Z112" t="s">
        <v>2107</v>
      </c>
      <c r="AA112" t="s">
        <v>93</v>
      </c>
      <c r="AB112" t="s">
        <v>2108</v>
      </c>
      <c r="AC112" t="s">
        <v>2363</v>
      </c>
      <c r="AF112">
        <f>Tabela3[[#This Row],[kan_params]]*1</f>
        <v>4418</v>
      </c>
      <c r="AG112">
        <f>1*Tabela3[[#This Row],[kan_test_acc]]</f>
        <v>0.60526317358016901</v>
      </c>
      <c r="AH112">
        <f>1*Tabela3[[#This Row],[mlp_test_acc]]</f>
        <v>0.92105263157894701</v>
      </c>
      <c r="AI112">
        <f>1*Tabela3[[#This Row],[mlp2_test_acc]]</f>
        <v>0.92105263157894701</v>
      </c>
    </row>
    <row r="113" spans="1:35" x14ac:dyDescent="0.25">
      <c r="A113" t="s">
        <v>44</v>
      </c>
      <c r="B113" t="s">
        <v>814</v>
      </c>
      <c r="C113" t="s">
        <v>79</v>
      </c>
      <c r="D113" t="s">
        <v>898</v>
      </c>
      <c r="E113" t="s">
        <v>80</v>
      </c>
      <c r="F113" t="s">
        <v>50</v>
      </c>
      <c r="G113" t="s">
        <v>1606</v>
      </c>
      <c r="H113" t="s">
        <v>1607</v>
      </c>
      <c r="I113" t="s">
        <v>1608</v>
      </c>
      <c r="J113" t="s">
        <v>1609</v>
      </c>
      <c r="K113" t="s">
        <v>1574</v>
      </c>
      <c r="L113" t="s">
        <v>1610</v>
      </c>
      <c r="M113" t="s">
        <v>1438</v>
      </c>
      <c r="N113" t="s">
        <v>89</v>
      </c>
      <c r="O113" t="s">
        <v>89</v>
      </c>
      <c r="P113" t="s">
        <v>1435</v>
      </c>
      <c r="Q113" t="s">
        <v>1611</v>
      </c>
      <c r="R113" t="s">
        <v>1529</v>
      </c>
      <c r="S113" t="s">
        <v>93</v>
      </c>
      <c r="T113" t="s">
        <v>1226</v>
      </c>
      <c r="U113" t="s">
        <v>1438</v>
      </c>
      <c r="V113" t="s">
        <v>89</v>
      </c>
      <c r="W113" t="s">
        <v>1612</v>
      </c>
      <c r="X113" t="s">
        <v>1613</v>
      </c>
      <c r="Y113" t="s">
        <v>1614</v>
      </c>
      <c r="Z113" t="s">
        <v>1512</v>
      </c>
      <c r="AA113" t="s">
        <v>93</v>
      </c>
      <c r="AB113" t="s">
        <v>1231</v>
      </c>
      <c r="AC113" t="s">
        <v>1615</v>
      </c>
      <c r="AF113">
        <f>Tabela3[[#This Row],[kan_params]]*1</f>
        <v>847</v>
      </c>
      <c r="AG113">
        <f>1*Tabela3[[#This Row],[kan_test_acc]]</f>
        <v>0.57894736528396595</v>
      </c>
      <c r="AH113">
        <f>1*Tabela3[[#This Row],[mlp_test_acc]]</f>
        <v>0.97368421052631504</v>
      </c>
      <c r="AI113">
        <f>1*Tabela3[[#This Row],[mlp2_test_acc]]</f>
        <v>0.97368421052631504</v>
      </c>
    </row>
    <row r="114" spans="1:35" x14ac:dyDescent="0.25">
      <c r="A114" t="s">
        <v>44</v>
      </c>
      <c r="B114" t="s">
        <v>897</v>
      </c>
      <c r="C114" t="s">
        <v>79</v>
      </c>
      <c r="D114" t="s">
        <v>666</v>
      </c>
      <c r="E114" t="s">
        <v>80</v>
      </c>
      <c r="F114" t="s">
        <v>50</v>
      </c>
      <c r="G114" t="s">
        <v>1719</v>
      </c>
      <c r="H114" t="s">
        <v>1720</v>
      </c>
      <c r="I114" t="s">
        <v>1721</v>
      </c>
      <c r="J114" t="s">
        <v>1722</v>
      </c>
      <c r="K114" t="s">
        <v>1574</v>
      </c>
      <c r="L114" t="s">
        <v>1610</v>
      </c>
      <c r="M114" t="s">
        <v>1438</v>
      </c>
      <c r="N114" t="s">
        <v>1679</v>
      </c>
      <c r="O114" t="s">
        <v>89</v>
      </c>
      <c r="P114" t="s">
        <v>1723</v>
      </c>
      <c r="Q114" t="s">
        <v>1724</v>
      </c>
      <c r="R114" t="s">
        <v>1512</v>
      </c>
      <c r="S114" t="s">
        <v>93</v>
      </c>
      <c r="T114" t="s">
        <v>1231</v>
      </c>
      <c r="U114" t="s">
        <v>1438</v>
      </c>
      <c r="V114" t="s">
        <v>1714</v>
      </c>
      <c r="W114" t="s">
        <v>89</v>
      </c>
      <c r="X114" t="s">
        <v>1725</v>
      </c>
      <c r="Y114" t="s">
        <v>1726</v>
      </c>
      <c r="Z114" t="s">
        <v>1515</v>
      </c>
      <c r="AA114" t="s">
        <v>93</v>
      </c>
      <c r="AB114" t="s">
        <v>1240</v>
      </c>
      <c r="AC114" t="s">
        <v>1727</v>
      </c>
      <c r="AF114">
        <f>Tabela3[[#This Row],[kan_params]]*1</f>
        <v>979</v>
      </c>
      <c r="AG114">
        <f>1*Tabela3[[#This Row],[kan_test_acc]]</f>
        <v>0.57894736528396595</v>
      </c>
      <c r="AH114">
        <f>1*Tabela3[[#This Row],[mlp_test_acc]]</f>
        <v>0.97368421052631504</v>
      </c>
      <c r="AI114">
        <f>1*Tabela3[[#This Row],[mlp2_test_acc]]</f>
        <v>0.97368421052631504</v>
      </c>
    </row>
    <row r="115" spans="1:35" x14ac:dyDescent="0.25">
      <c r="A115" t="s">
        <v>44</v>
      </c>
      <c r="B115" t="s">
        <v>897</v>
      </c>
      <c r="C115" t="s">
        <v>666</v>
      </c>
      <c r="D115" t="s">
        <v>898</v>
      </c>
      <c r="E115" t="s">
        <v>80</v>
      </c>
      <c r="F115" t="s">
        <v>47</v>
      </c>
      <c r="G115" t="s">
        <v>2009</v>
      </c>
      <c r="H115" t="s">
        <v>2010</v>
      </c>
      <c r="I115" t="s">
        <v>2011</v>
      </c>
      <c r="J115" t="s">
        <v>1553</v>
      </c>
      <c r="K115" t="s">
        <v>1574</v>
      </c>
      <c r="L115" t="s">
        <v>2012</v>
      </c>
      <c r="M115" t="s">
        <v>1438</v>
      </c>
      <c r="N115" t="s">
        <v>89</v>
      </c>
      <c r="O115" t="s">
        <v>1484</v>
      </c>
      <c r="P115" t="s">
        <v>89</v>
      </c>
      <c r="Q115" t="s">
        <v>2013</v>
      </c>
      <c r="R115" t="s">
        <v>1548</v>
      </c>
      <c r="S115" t="s">
        <v>93</v>
      </c>
      <c r="T115" t="s">
        <v>1397</v>
      </c>
      <c r="U115" t="s">
        <v>1438</v>
      </c>
      <c r="V115" t="s">
        <v>89</v>
      </c>
      <c r="W115" t="s">
        <v>1484</v>
      </c>
      <c r="X115" t="s">
        <v>89</v>
      </c>
      <c r="Y115" t="s">
        <v>2014</v>
      </c>
      <c r="Z115" t="s">
        <v>1670</v>
      </c>
      <c r="AA115" t="s">
        <v>93</v>
      </c>
      <c r="AB115" t="s">
        <v>1671</v>
      </c>
      <c r="AC115" t="s">
        <v>2015</v>
      </c>
      <c r="AF115">
        <f>Tabela3[[#This Row],[kan_params]]*1</f>
        <v>2287</v>
      </c>
      <c r="AG115">
        <f>1*Tabela3[[#This Row],[kan_test_acc]]</f>
        <v>0.63157892227172796</v>
      </c>
      <c r="AH115">
        <f>1*Tabela3[[#This Row],[mlp_test_acc]]</f>
        <v>0.97368421052631504</v>
      </c>
      <c r="AI115">
        <f>1*Tabela3[[#This Row],[mlp2_test_acc]]</f>
        <v>0.97368421052631504</v>
      </c>
    </row>
    <row r="116" spans="1:35" x14ac:dyDescent="0.25">
      <c r="A116" t="s">
        <v>44</v>
      </c>
      <c r="B116" t="s">
        <v>897</v>
      </c>
      <c r="C116" t="s">
        <v>666</v>
      </c>
      <c r="D116" t="s">
        <v>898</v>
      </c>
      <c r="E116" t="s">
        <v>80</v>
      </c>
      <c r="F116" t="s">
        <v>56</v>
      </c>
      <c r="G116" t="s">
        <v>2068</v>
      </c>
      <c r="H116" t="s">
        <v>2069</v>
      </c>
      <c r="I116" t="s">
        <v>2070</v>
      </c>
      <c r="J116" t="s">
        <v>2071</v>
      </c>
      <c r="K116" t="s">
        <v>1620</v>
      </c>
      <c r="L116" t="s">
        <v>2072</v>
      </c>
      <c r="M116" t="s">
        <v>1438</v>
      </c>
      <c r="N116" t="s">
        <v>89</v>
      </c>
      <c r="O116" t="s">
        <v>1484</v>
      </c>
      <c r="P116" t="s">
        <v>89</v>
      </c>
      <c r="Q116" t="s">
        <v>2073</v>
      </c>
      <c r="R116" t="s">
        <v>1456</v>
      </c>
      <c r="S116" t="s">
        <v>93</v>
      </c>
      <c r="T116" t="s">
        <v>1320</v>
      </c>
      <c r="U116" t="s">
        <v>1438</v>
      </c>
      <c r="V116" t="s">
        <v>89</v>
      </c>
      <c r="W116" t="s">
        <v>1484</v>
      </c>
      <c r="X116" t="s">
        <v>89</v>
      </c>
      <c r="Y116" t="s">
        <v>2074</v>
      </c>
      <c r="Z116" t="s">
        <v>1472</v>
      </c>
      <c r="AA116" t="s">
        <v>93</v>
      </c>
      <c r="AB116" t="s">
        <v>1473</v>
      </c>
      <c r="AC116" t="s">
        <v>2075</v>
      </c>
      <c r="AF116">
        <f>Tabela3[[#This Row],[kan_params]]*1</f>
        <v>2771</v>
      </c>
      <c r="AG116">
        <f>1*Tabela3[[#This Row],[kan_test_acc]]</f>
        <v>0.52631580829620295</v>
      </c>
      <c r="AH116">
        <f>1*Tabela3[[#This Row],[mlp_test_acc]]</f>
        <v>0.97368421052631504</v>
      </c>
      <c r="AI116">
        <f>1*Tabela3[[#This Row],[mlp2_test_acc]]</f>
        <v>0.97368421052631504</v>
      </c>
    </row>
    <row r="117" spans="1:35" x14ac:dyDescent="0.25">
      <c r="A117" t="s">
        <v>44</v>
      </c>
      <c r="B117" t="s">
        <v>2351</v>
      </c>
      <c r="C117" t="s">
        <v>1026</v>
      </c>
      <c r="D117" t="s">
        <v>666</v>
      </c>
      <c r="E117" t="s">
        <v>80</v>
      </c>
      <c r="F117" t="s">
        <v>54</v>
      </c>
      <c r="G117" t="s">
        <v>2410</v>
      </c>
      <c r="H117" t="s">
        <v>2411</v>
      </c>
      <c r="I117" t="s">
        <v>2412</v>
      </c>
      <c r="J117" t="s">
        <v>2087</v>
      </c>
      <c r="K117" t="s">
        <v>1554</v>
      </c>
      <c r="L117" t="s">
        <v>1610</v>
      </c>
      <c r="M117" t="s">
        <v>1463</v>
      </c>
      <c r="N117" t="s">
        <v>89</v>
      </c>
      <c r="O117" t="s">
        <v>1484</v>
      </c>
      <c r="P117" t="s">
        <v>89</v>
      </c>
      <c r="Q117" t="s">
        <v>2413</v>
      </c>
      <c r="R117" t="s">
        <v>1446</v>
      </c>
      <c r="S117" t="s">
        <v>93</v>
      </c>
      <c r="T117" t="s">
        <v>1247</v>
      </c>
      <c r="U117" t="s">
        <v>1463</v>
      </c>
      <c r="V117" t="s">
        <v>89</v>
      </c>
      <c r="W117" t="s">
        <v>1484</v>
      </c>
      <c r="X117" t="s">
        <v>89</v>
      </c>
      <c r="Y117" t="s">
        <v>2414</v>
      </c>
      <c r="Z117" t="s">
        <v>1522</v>
      </c>
      <c r="AA117" t="s">
        <v>93</v>
      </c>
      <c r="AB117" t="s">
        <v>1412</v>
      </c>
      <c r="AC117" t="s">
        <v>2415</v>
      </c>
      <c r="AF117">
        <f>Tabela3[[#This Row],[kan_params]]*1</f>
        <v>1579</v>
      </c>
      <c r="AG117">
        <f>1*Tabela3[[#This Row],[kan_test_acc]]</f>
        <v>0.57894736528396595</v>
      </c>
      <c r="AH117">
        <f>1*Tabela3[[#This Row],[mlp_test_acc]]</f>
        <v>0.94736842105263097</v>
      </c>
      <c r="AI117">
        <f>1*Tabela3[[#This Row],[mlp2_test_acc]]</f>
        <v>0.94736842105263097</v>
      </c>
    </row>
    <row r="118" spans="1:35" x14ac:dyDescent="0.25">
      <c r="A118" t="s">
        <v>44</v>
      </c>
      <c r="B118" t="s">
        <v>897</v>
      </c>
      <c r="C118" t="s">
        <v>79</v>
      </c>
      <c r="D118" t="s">
        <v>666</v>
      </c>
      <c r="E118" t="s">
        <v>80</v>
      </c>
      <c r="F118" t="s">
        <v>55</v>
      </c>
      <c r="G118" t="s">
        <v>1758</v>
      </c>
      <c r="H118" t="s">
        <v>1759</v>
      </c>
      <c r="I118" t="s">
        <v>1760</v>
      </c>
      <c r="J118" t="s">
        <v>1761</v>
      </c>
      <c r="K118" t="s">
        <v>1620</v>
      </c>
      <c r="L118" t="s">
        <v>1762</v>
      </c>
      <c r="M118" t="s">
        <v>89</v>
      </c>
      <c r="N118" t="s">
        <v>1679</v>
      </c>
      <c r="O118" t="s">
        <v>89</v>
      </c>
      <c r="P118" t="s">
        <v>98</v>
      </c>
      <c r="Q118" t="s">
        <v>1763</v>
      </c>
      <c r="R118" t="s">
        <v>1522</v>
      </c>
      <c r="S118" t="s">
        <v>93</v>
      </c>
      <c r="T118" t="s">
        <v>1412</v>
      </c>
      <c r="U118" t="s">
        <v>89</v>
      </c>
      <c r="V118" t="s">
        <v>1679</v>
      </c>
      <c r="W118" t="s">
        <v>89</v>
      </c>
      <c r="X118" t="s">
        <v>98</v>
      </c>
      <c r="Y118" t="s">
        <v>1764</v>
      </c>
      <c r="Z118" t="s">
        <v>1462</v>
      </c>
      <c r="AA118" t="s">
        <v>93</v>
      </c>
      <c r="AB118" t="s">
        <v>1303</v>
      </c>
      <c r="AC118" t="s">
        <v>1765</v>
      </c>
      <c r="AF118">
        <f>Tabela3[[#This Row],[kan_params]]*1</f>
        <v>1687</v>
      </c>
      <c r="AG118">
        <f>1*Tabela3[[#This Row],[kan_test_acc]]</f>
        <v>0.55263155698776201</v>
      </c>
      <c r="AH118">
        <f>1*Tabela3[[#This Row],[mlp_test_acc]]</f>
        <v>1</v>
      </c>
      <c r="AI118">
        <f>1*Tabela3[[#This Row],[mlp2_test_acc]]</f>
        <v>1</v>
      </c>
    </row>
    <row r="119" spans="1:35" x14ac:dyDescent="0.25">
      <c r="A119" t="s">
        <v>44</v>
      </c>
      <c r="B119" t="s">
        <v>959</v>
      </c>
      <c r="C119" t="s">
        <v>666</v>
      </c>
      <c r="D119" t="s">
        <v>666</v>
      </c>
      <c r="E119" t="s">
        <v>80</v>
      </c>
      <c r="F119" t="s">
        <v>53</v>
      </c>
      <c r="G119" t="s">
        <v>2137</v>
      </c>
      <c r="H119" t="s">
        <v>2138</v>
      </c>
      <c r="I119" t="s">
        <v>2139</v>
      </c>
      <c r="J119" t="s">
        <v>1997</v>
      </c>
      <c r="K119" t="s">
        <v>1598</v>
      </c>
      <c r="L119" t="s">
        <v>1762</v>
      </c>
      <c r="M119" t="s">
        <v>89</v>
      </c>
      <c r="N119" t="s">
        <v>89</v>
      </c>
      <c r="O119" t="s">
        <v>1484</v>
      </c>
      <c r="P119" t="s">
        <v>2140</v>
      </c>
      <c r="Q119" t="s">
        <v>2141</v>
      </c>
      <c r="R119" t="s">
        <v>1452</v>
      </c>
      <c r="S119" t="s">
        <v>93</v>
      </c>
      <c r="T119" t="s">
        <v>1453</v>
      </c>
      <c r="U119" t="s">
        <v>89</v>
      </c>
      <c r="V119" t="s">
        <v>89</v>
      </c>
      <c r="W119" t="s">
        <v>1484</v>
      </c>
      <c r="X119" t="s">
        <v>626</v>
      </c>
      <c r="Y119" t="s">
        <v>2142</v>
      </c>
      <c r="Z119" t="s">
        <v>1456</v>
      </c>
      <c r="AA119" t="s">
        <v>93</v>
      </c>
      <c r="AB119" t="s">
        <v>1320</v>
      </c>
      <c r="AC119" t="s">
        <v>2143</v>
      </c>
      <c r="AF119">
        <f>Tabela3[[#This Row],[kan_params]]*1</f>
        <v>2538</v>
      </c>
      <c r="AG119">
        <f>1*Tabela3[[#This Row],[kan_test_acc]]</f>
        <v>0.55263155698776201</v>
      </c>
      <c r="AH119">
        <f>1*Tabela3[[#This Row],[mlp_test_acc]]</f>
        <v>1</v>
      </c>
      <c r="AI119">
        <f>1*Tabela3[[#This Row],[mlp2_test_acc]]</f>
        <v>1</v>
      </c>
    </row>
    <row r="120" spans="1:35" x14ac:dyDescent="0.25">
      <c r="A120" t="s">
        <v>44</v>
      </c>
      <c r="B120" t="s">
        <v>1297</v>
      </c>
      <c r="C120" t="s">
        <v>1026</v>
      </c>
      <c r="D120" t="s">
        <v>898</v>
      </c>
      <c r="E120" t="s">
        <v>80</v>
      </c>
      <c r="F120" t="s">
        <v>46</v>
      </c>
      <c r="G120" t="s">
        <v>2280</v>
      </c>
      <c r="H120" t="s">
        <v>2281</v>
      </c>
      <c r="I120" t="s">
        <v>2282</v>
      </c>
      <c r="J120" t="s">
        <v>1584</v>
      </c>
      <c r="K120" t="s">
        <v>1642</v>
      </c>
      <c r="L120" t="s">
        <v>1762</v>
      </c>
      <c r="M120" t="s">
        <v>2178</v>
      </c>
      <c r="N120" t="s">
        <v>89</v>
      </c>
      <c r="O120" t="s">
        <v>1439</v>
      </c>
      <c r="P120" t="s">
        <v>89</v>
      </c>
      <c r="Q120" t="s">
        <v>2283</v>
      </c>
      <c r="R120" t="s">
        <v>2020</v>
      </c>
      <c r="S120" t="s">
        <v>93</v>
      </c>
      <c r="T120" t="s">
        <v>2021</v>
      </c>
      <c r="U120" t="s">
        <v>2178</v>
      </c>
      <c r="V120" t="s">
        <v>89</v>
      </c>
      <c r="W120" t="s">
        <v>1439</v>
      </c>
      <c r="X120" t="s">
        <v>89</v>
      </c>
      <c r="Y120" t="s">
        <v>2284</v>
      </c>
      <c r="Z120" t="s">
        <v>1701</v>
      </c>
      <c r="AA120" t="s">
        <v>93</v>
      </c>
      <c r="AB120" t="s">
        <v>1702</v>
      </c>
      <c r="AC120" t="s">
        <v>2285</v>
      </c>
      <c r="AF120">
        <f>Tabela3[[#This Row],[kan_params]]*1</f>
        <v>3947</v>
      </c>
      <c r="AG120">
        <f>1*Tabela3[[#This Row],[kan_test_acc]]</f>
        <v>0.55263155698776201</v>
      </c>
      <c r="AH120">
        <f>1*Tabela3[[#This Row],[mlp_test_acc]]</f>
        <v>0.92105263157894701</v>
      </c>
      <c r="AI120">
        <f>1*Tabela3[[#This Row],[mlp2_test_acc]]</f>
        <v>0.92105263157894701</v>
      </c>
    </row>
    <row r="121" spans="1:35" x14ac:dyDescent="0.25">
      <c r="A121" t="s">
        <v>44</v>
      </c>
      <c r="B121" t="s">
        <v>2351</v>
      </c>
      <c r="C121" t="s">
        <v>1026</v>
      </c>
      <c r="D121" t="s">
        <v>666</v>
      </c>
      <c r="E121" t="s">
        <v>80</v>
      </c>
      <c r="F121" t="s">
        <v>51</v>
      </c>
      <c r="G121" t="s">
        <v>2392</v>
      </c>
      <c r="H121" t="s">
        <v>2393</v>
      </c>
      <c r="I121" t="s">
        <v>2394</v>
      </c>
      <c r="J121" t="s">
        <v>2388</v>
      </c>
      <c r="K121" t="s">
        <v>1554</v>
      </c>
      <c r="L121" t="s">
        <v>1762</v>
      </c>
      <c r="M121" t="s">
        <v>1463</v>
      </c>
      <c r="N121" t="s">
        <v>89</v>
      </c>
      <c r="O121" t="s">
        <v>1484</v>
      </c>
      <c r="P121" t="s">
        <v>89</v>
      </c>
      <c r="Q121" t="s">
        <v>2395</v>
      </c>
      <c r="R121" t="s">
        <v>1545</v>
      </c>
      <c r="S121" t="s">
        <v>93</v>
      </c>
      <c r="T121" t="s">
        <v>1311</v>
      </c>
      <c r="U121" t="s">
        <v>1463</v>
      </c>
      <c r="V121" t="s">
        <v>89</v>
      </c>
      <c r="W121" t="s">
        <v>1439</v>
      </c>
      <c r="X121" t="s">
        <v>89</v>
      </c>
      <c r="Y121" t="s">
        <v>2396</v>
      </c>
      <c r="Z121" t="s">
        <v>1548</v>
      </c>
      <c r="AA121" t="s">
        <v>93</v>
      </c>
      <c r="AB121" t="s">
        <v>1397</v>
      </c>
      <c r="AC121" t="s">
        <v>2397</v>
      </c>
      <c r="AF121">
        <f>Tabela3[[#This Row],[kan_params]]*1</f>
        <v>2228</v>
      </c>
      <c r="AG121">
        <f>1*Tabela3[[#This Row],[kan_test_acc]]</f>
        <v>0.55263155698776201</v>
      </c>
      <c r="AH121">
        <f>1*Tabela3[[#This Row],[mlp_test_acc]]</f>
        <v>0.94736842105263097</v>
      </c>
      <c r="AI121">
        <f>1*Tabela3[[#This Row],[mlp2_test_acc]]</f>
        <v>0.94736842105263097</v>
      </c>
    </row>
    <row r="122" spans="1:35" x14ac:dyDescent="0.25">
      <c r="A122" t="s">
        <v>44</v>
      </c>
      <c r="B122" t="s">
        <v>2351</v>
      </c>
      <c r="C122" t="s">
        <v>1026</v>
      </c>
      <c r="D122" t="s">
        <v>666</v>
      </c>
      <c r="E122" t="s">
        <v>80</v>
      </c>
      <c r="F122" t="s">
        <v>55</v>
      </c>
      <c r="G122" t="s">
        <v>2416</v>
      </c>
      <c r="H122" t="s">
        <v>2417</v>
      </c>
      <c r="I122" t="s">
        <v>2418</v>
      </c>
      <c r="J122" t="s">
        <v>2419</v>
      </c>
      <c r="K122" t="s">
        <v>1620</v>
      </c>
      <c r="L122" t="s">
        <v>1762</v>
      </c>
      <c r="M122" t="s">
        <v>1463</v>
      </c>
      <c r="N122" t="s">
        <v>89</v>
      </c>
      <c r="O122" t="s">
        <v>1484</v>
      </c>
      <c r="P122" t="s">
        <v>89</v>
      </c>
      <c r="Q122" t="s">
        <v>2420</v>
      </c>
      <c r="R122" t="s">
        <v>1545</v>
      </c>
      <c r="S122" t="s">
        <v>93</v>
      </c>
      <c r="T122" t="s">
        <v>1311</v>
      </c>
      <c r="U122" t="s">
        <v>1463</v>
      </c>
      <c r="V122" t="s">
        <v>89</v>
      </c>
      <c r="W122" t="s">
        <v>1439</v>
      </c>
      <c r="X122" t="s">
        <v>89</v>
      </c>
      <c r="Y122" t="s">
        <v>2421</v>
      </c>
      <c r="Z122" t="s">
        <v>1548</v>
      </c>
      <c r="AA122" t="s">
        <v>93</v>
      </c>
      <c r="AB122" t="s">
        <v>1397</v>
      </c>
      <c r="AC122" t="s">
        <v>2422</v>
      </c>
      <c r="AF122">
        <f>Tabela3[[#This Row],[kan_params]]*1</f>
        <v>2143</v>
      </c>
      <c r="AG122">
        <f>1*Tabela3[[#This Row],[kan_test_acc]]</f>
        <v>0.55263155698776201</v>
      </c>
      <c r="AH122">
        <f>1*Tabela3[[#This Row],[mlp_test_acc]]</f>
        <v>0.94736842105263097</v>
      </c>
      <c r="AI122">
        <f>1*Tabela3[[#This Row],[mlp2_test_acc]]</f>
        <v>0.94736842105263097</v>
      </c>
    </row>
    <row r="123" spans="1:35" x14ac:dyDescent="0.25">
      <c r="A123" t="s">
        <v>44</v>
      </c>
      <c r="B123" t="s">
        <v>897</v>
      </c>
      <c r="C123" t="s">
        <v>666</v>
      </c>
      <c r="D123" t="s">
        <v>898</v>
      </c>
      <c r="E123" t="s">
        <v>80</v>
      </c>
      <c r="F123" t="s">
        <v>46</v>
      </c>
      <c r="G123" t="s">
        <v>2002</v>
      </c>
      <c r="H123" t="s">
        <v>2003</v>
      </c>
      <c r="I123" t="s">
        <v>2004</v>
      </c>
      <c r="J123" t="s">
        <v>2005</v>
      </c>
      <c r="K123" t="s">
        <v>1678</v>
      </c>
      <c r="L123" t="s">
        <v>1658</v>
      </c>
      <c r="M123" t="s">
        <v>1438</v>
      </c>
      <c r="N123" t="s">
        <v>89</v>
      </c>
      <c r="O123" t="s">
        <v>1484</v>
      </c>
      <c r="P123" t="s">
        <v>89</v>
      </c>
      <c r="Q123" t="s">
        <v>2006</v>
      </c>
      <c r="R123" t="s">
        <v>1944</v>
      </c>
      <c r="S123" t="s">
        <v>93</v>
      </c>
      <c r="T123" t="s">
        <v>1945</v>
      </c>
      <c r="U123" t="s">
        <v>1438</v>
      </c>
      <c r="V123" t="s">
        <v>89</v>
      </c>
      <c r="W123" t="s">
        <v>1439</v>
      </c>
      <c r="X123" t="s">
        <v>89</v>
      </c>
      <c r="Y123" t="s">
        <v>2007</v>
      </c>
      <c r="Z123" t="s">
        <v>1588</v>
      </c>
      <c r="AA123" t="s">
        <v>93</v>
      </c>
      <c r="AB123" t="s">
        <v>1301</v>
      </c>
      <c r="AC123" t="s">
        <v>2008</v>
      </c>
      <c r="AF123">
        <f>Tabela3[[#This Row],[kan_params]]*1</f>
        <v>3319</v>
      </c>
      <c r="AG123">
        <f>1*Tabela3[[#This Row],[kan_test_acc]]</f>
        <v>0.60526317358016901</v>
      </c>
      <c r="AH123">
        <f>1*Tabela3[[#This Row],[mlp_test_acc]]</f>
        <v>0.97368421052631504</v>
      </c>
      <c r="AI123">
        <f>1*Tabela3[[#This Row],[mlp2_test_acc]]</f>
        <v>0.97368421052631504</v>
      </c>
    </row>
    <row r="124" spans="1:35" x14ac:dyDescent="0.25">
      <c r="A124" t="s">
        <v>44</v>
      </c>
      <c r="B124" t="s">
        <v>959</v>
      </c>
      <c r="C124" t="s">
        <v>666</v>
      </c>
      <c r="D124" t="s">
        <v>666</v>
      </c>
      <c r="E124" t="s">
        <v>80</v>
      </c>
      <c r="F124" t="s">
        <v>51</v>
      </c>
      <c r="G124" t="s">
        <v>2124</v>
      </c>
      <c r="H124" t="s">
        <v>2125</v>
      </c>
      <c r="I124" t="s">
        <v>2126</v>
      </c>
      <c r="J124" t="s">
        <v>1609</v>
      </c>
      <c r="K124" t="s">
        <v>1598</v>
      </c>
      <c r="L124" t="s">
        <v>2072</v>
      </c>
      <c r="M124" t="s">
        <v>89</v>
      </c>
      <c r="N124" t="s">
        <v>89</v>
      </c>
      <c r="O124" t="s">
        <v>1484</v>
      </c>
      <c r="P124" t="s">
        <v>1320</v>
      </c>
      <c r="Q124" t="s">
        <v>2127</v>
      </c>
      <c r="R124" t="s">
        <v>1466</v>
      </c>
      <c r="S124" t="s">
        <v>93</v>
      </c>
      <c r="T124" t="s">
        <v>1222</v>
      </c>
      <c r="U124" t="s">
        <v>89</v>
      </c>
      <c r="V124" t="s">
        <v>89</v>
      </c>
      <c r="W124" t="s">
        <v>1484</v>
      </c>
      <c r="X124" t="s">
        <v>2128</v>
      </c>
      <c r="Y124" t="s">
        <v>2129</v>
      </c>
      <c r="Z124" t="s">
        <v>1577</v>
      </c>
      <c r="AA124" t="s">
        <v>93</v>
      </c>
      <c r="AB124" t="s">
        <v>1578</v>
      </c>
      <c r="AC124" t="s">
        <v>2130</v>
      </c>
      <c r="AF124">
        <f>Tabela3[[#This Row],[kan_params]]*1</f>
        <v>1912</v>
      </c>
      <c r="AG124">
        <f>1*Tabela3[[#This Row],[kan_test_acc]]</f>
        <v>0.52631580829620295</v>
      </c>
      <c r="AH124">
        <f>1*Tabela3[[#This Row],[mlp_test_acc]]</f>
        <v>1</v>
      </c>
      <c r="AI124">
        <f>1*Tabela3[[#This Row],[mlp2_test_acc]]</f>
        <v>1</v>
      </c>
    </row>
    <row r="125" spans="1:35" x14ac:dyDescent="0.25">
      <c r="A125" t="s">
        <v>44</v>
      </c>
      <c r="B125" t="s">
        <v>2351</v>
      </c>
      <c r="C125" t="s">
        <v>1026</v>
      </c>
      <c r="D125" t="s">
        <v>666</v>
      </c>
      <c r="E125" t="s">
        <v>80</v>
      </c>
      <c r="F125" t="s">
        <v>52</v>
      </c>
      <c r="G125" t="s">
        <v>2398</v>
      </c>
      <c r="H125" t="s">
        <v>2399</v>
      </c>
      <c r="I125" t="s">
        <v>2400</v>
      </c>
      <c r="J125" t="s">
        <v>1761</v>
      </c>
      <c r="K125" t="s">
        <v>1554</v>
      </c>
      <c r="L125" t="s">
        <v>2072</v>
      </c>
      <c r="M125" t="s">
        <v>1463</v>
      </c>
      <c r="N125" t="s">
        <v>89</v>
      </c>
      <c r="O125" t="s">
        <v>1484</v>
      </c>
      <c r="P125" t="s">
        <v>89</v>
      </c>
      <c r="Q125" t="s">
        <v>2401</v>
      </c>
      <c r="R125" t="s">
        <v>1522</v>
      </c>
      <c r="S125" t="s">
        <v>93</v>
      </c>
      <c r="T125" t="s">
        <v>1412</v>
      </c>
      <c r="U125" t="s">
        <v>1463</v>
      </c>
      <c r="V125" t="s">
        <v>89</v>
      </c>
      <c r="W125" t="s">
        <v>1439</v>
      </c>
      <c r="X125" t="s">
        <v>89</v>
      </c>
      <c r="Y125" t="s">
        <v>2402</v>
      </c>
      <c r="Z125" t="s">
        <v>1462</v>
      </c>
      <c r="AA125" t="s">
        <v>93</v>
      </c>
      <c r="AB125" t="s">
        <v>1303</v>
      </c>
      <c r="AC125" t="s">
        <v>2403</v>
      </c>
      <c r="AF125">
        <f>Tabela3[[#This Row],[kan_params]]*1</f>
        <v>1693</v>
      </c>
      <c r="AG125">
        <f>1*Tabela3[[#This Row],[kan_test_acc]]</f>
        <v>0.52631580829620295</v>
      </c>
      <c r="AH125">
        <f>1*Tabela3[[#This Row],[mlp_test_acc]]</f>
        <v>0.94736842105263097</v>
      </c>
      <c r="AI125">
        <f>1*Tabela3[[#This Row],[mlp2_test_acc]]</f>
        <v>0.94736842105263097</v>
      </c>
    </row>
    <row r="126" spans="1:35" x14ac:dyDescent="0.25">
      <c r="A126" t="s">
        <v>44</v>
      </c>
      <c r="B126" t="s">
        <v>814</v>
      </c>
      <c r="C126" t="s">
        <v>79</v>
      </c>
      <c r="D126" t="s">
        <v>898</v>
      </c>
      <c r="E126" t="s">
        <v>80</v>
      </c>
      <c r="F126" t="s">
        <v>47</v>
      </c>
      <c r="G126" t="s">
        <v>1570</v>
      </c>
      <c r="H126" t="s">
        <v>1571</v>
      </c>
      <c r="I126" t="s">
        <v>1572</v>
      </c>
      <c r="J126" t="s">
        <v>1573</v>
      </c>
      <c r="K126" t="s">
        <v>1574</v>
      </c>
      <c r="L126" t="s">
        <v>1575</v>
      </c>
      <c r="M126" t="s">
        <v>89</v>
      </c>
      <c r="N126" t="s">
        <v>89</v>
      </c>
      <c r="O126" t="s">
        <v>89</v>
      </c>
      <c r="P126" t="s">
        <v>278</v>
      </c>
      <c r="Q126" t="s">
        <v>1576</v>
      </c>
      <c r="R126" t="s">
        <v>1577</v>
      </c>
      <c r="S126" t="s">
        <v>93</v>
      </c>
      <c r="T126" t="s">
        <v>1578</v>
      </c>
      <c r="U126" t="s">
        <v>89</v>
      </c>
      <c r="V126" t="s">
        <v>89</v>
      </c>
      <c r="W126" t="s">
        <v>89</v>
      </c>
      <c r="X126" t="s">
        <v>278</v>
      </c>
      <c r="Y126" t="s">
        <v>1579</v>
      </c>
      <c r="Z126" t="s">
        <v>1545</v>
      </c>
      <c r="AA126" t="s">
        <v>93</v>
      </c>
      <c r="AB126" t="s">
        <v>1311</v>
      </c>
      <c r="AC126" t="s">
        <v>1580</v>
      </c>
      <c r="AF126">
        <f>Tabela3[[#This Row],[kan_params]]*1</f>
        <v>2071</v>
      </c>
      <c r="AG126">
        <f>1*Tabela3[[#This Row],[kan_test_acc]]</f>
        <v>0.5</v>
      </c>
      <c r="AH126">
        <f>1*Tabela3[[#This Row],[mlp_test_acc]]</f>
        <v>1</v>
      </c>
      <c r="AI126">
        <f>1*Tabela3[[#This Row],[mlp2_test_acc]]</f>
        <v>1</v>
      </c>
    </row>
    <row r="127" spans="1:35" x14ac:dyDescent="0.25">
      <c r="A127" t="s">
        <v>44</v>
      </c>
      <c r="B127" t="s">
        <v>897</v>
      </c>
      <c r="C127" t="s">
        <v>666</v>
      </c>
      <c r="D127" t="s">
        <v>898</v>
      </c>
      <c r="E127" t="s">
        <v>80</v>
      </c>
      <c r="F127" t="s">
        <v>48</v>
      </c>
      <c r="G127" t="s">
        <v>2016</v>
      </c>
      <c r="H127" t="s">
        <v>2017</v>
      </c>
      <c r="I127" t="s">
        <v>2018</v>
      </c>
      <c r="J127" t="s">
        <v>1710</v>
      </c>
      <c r="K127" t="s">
        <v>89</v>
      </c>
      <c r="L127" t="s">
        <v>1896</v>
      </c>
      <c r="M127" t="s">
        <v>1438</v>
      </c>
      <c r="N127" t="s">
        <v>89</v>
      </c>
      <c r="O127" t="s">
        <v>1439</v>
      </c>
      <c r="P127" t="s">
        <v>89</v>
      </c>
      <c r="Q127" t="s">
        <v>2019</v>
      </c>
      <c r="R127" t="s">
        <v>2020</v>
      </c>
      <c r="S127" t="s">
        <v>93</v>
      </c>
      <c r="T127" t="s">
        <v>2021</v>
      </c>
      <c r="U127" t="s">
        <v>1438</v>
      </c>
      <c r="V127" t="s">
        <v>89</v>
      </c>
      <c r="W127" t="s">
        <v>1484</v>
      </c>
      <c r="X127" t="s">
        <v>89</v>
      </c>
      <c r="Y127" t="s">
        <v>2022</v>
      </c>
      <c r="Z127" t="s">
        <v>1701</v>
      </c>
      <c r="AA127" t="s">
        <v>93</v>
      </c>
      <c r="AB127" t="s">
        <v>1702</v>
      </c>
      <c r="AC127" t="s">
        <v>2023</v>
      </c>
      <c r="AF127">
        <f>Tabela3[[#This Row],[kan_params]]*1</f>
        <v>3867</v>
      </c>
      <c r="AG127">
        <f>1*Tabela3[[#This Row],[kan_test_acc]]</f>
        <v>0.81578946113586404</v>
      </c>
      <c r="AH127">
        <f>1*Tabela3[[#This Row],[mlp_test_acc]]</f>
        <v>0.97368421052631504</v>
      </c>
      <c r="AI127">
        <f>1*Tabela3[[#This Row],[mlp2_test_acc]]</f>
        <v>0.97368421052631504</v>
      </c>
    </row>
    <row r="128" spans="1:35" x14ac:dyDescent="0.25">
      <c r="A128" t="s">
        <v>44</v>
      </c>
      <c r="B128" t="s">
        <v>1297</v>
      </c>
      <c r="C128" t="s">
        <v>1026</v>
      </c>
      <c r="D128" t="s">
        <v>898</v>
      </c>
      <c r="E128" t="s">
        <v>80</v>
      </c>
      <c r="F128" t="s">
        <v>45</v>
      </c>
      <c r="G128" t="s">
        <v>2274</v>
      </c>
      <c r="H128" t="s">
        <v>2275</v>
      </c>
      <c r="I128" t="s">
        <v>2276</v>
      </c>
      <c r="J128" t="s">
        <v>1997</v>
      </c>
      <c r="K128" t="s">
        <v>1620</v>
      </c>
      <c r="L128" t="s">
        <v>1575</v>
      </c>
      <c r="M128" t="s">
        <v>2178</v>
      </c>
      <c r="N128" t="s">
        <v>89</v>
      </c>
      <c r="O128" t="s">
        <v>1439</v>
      </c>
      <c r="P128" t="s">
        <v>89</v>
      </c>
      <c r="Q128" t="s">
        <v>2277</v>
      </c>
      <c r="R128" t="s">
        <v>1548</v>
      </c>
      <c r="S128" t="s">
        <v>93</v>
      </c>
      <c r="T128" t="s">
        <v>1397</v>
      </c>
      <c r="U128" t="s">
        <v>1463</v>
      </c>
      <c r="V128" t="s">
        <v>89</v>
      </c>
      <c r="W128" t="s">
        <v>1439</v>
      </c>
      <c r="X128" t="s">
        <v>89</v>
      </c>
      <c r="Y128" t="s">
        <v>2278</v>
      </c>
      <c r="Z128" t="s">
        <v>1670</v>
      </c>
      <c r="AA128" t="s">
        <v>93</v>
      </c>
      <c r="AB128" t="s">
        <v>1671</v>
      </c>
      <c r="AC128" t="s">
        <v>2279</v>
      </c>
      <c r="AF128">
        <f>Tabela3[[#This Row],[kan_params]]*1</f>
        <v>2317</v>
      </c>
      <c r="AG128">
        <f>1*Tabela3[[#This Row],[kan_test_acc]]</f>
        <v>0.5</v>
      </c>
      <c r="AH128">
        <f>1*Tabela3[[#This Row],[mlp_test_acc]]</f>
        <v>0.92105263157894701</v>
      </c>
      <c r="AI128">
        <f>1*Tabela3[[#This Row],[mlp2_test_acc]]</f>
        <v>0.94736842105263097</v>
      </c>
    </row>
    <row r="129" spans="1:35" x14ac:dyDescent="0.25">
      <c r="A129" t="s">
        <v>44</v>
      </c>
      <c r="B129" t="s">
        <v>1297</v>
      </c>
      <c r="C129" t="s">
        <v>1026</v>
      </c>
      <c r="D129" t="s">
        <v>898</v>
      </c>
      <c r="E129" t="s">
        <v>80</v>
      </c>
      <c r="F129" t="s">
        <v>51</v>
      </c>
      <c r="G129" t="s">
        <v>2313</v>
      </c>
      <c r="H129" t="s">
        <v>2314</v>
      </c>
      <c r="I129" t="s">
        <v>2315</v>
      </c>
      <c r="J129" t="s">
        <v>1619</v>
      </c>
      <c r="K129" t="s">
        <v>1554</v>
      </c>
      <c r="L129" t="s">
        <v>1575</v>
      </c>
      <c r="M129" t="s">
        <v>1463</v>
      </c>
      <c r="N129" t="s">
        <v>89</v>
      </c>
      <c r="O129" t="s">
        <v>1439</v>
      </c>
      <c r="P129" t="s">
        <v>89</v>
      </c>
      <c r="Q129" t="s">
        <v>2316</v>
      </c>
      <c r="R129" t="s">
        <v>1577</v>
      </c>
      <c r="S129" t="s">
        <v>93</v>
      </c>
      <c r="T129" t="s">
        <v>1578</v>
      </c>
      <c r="U129" t="s">
        <v>1463</v>
      </c>
      <c r="V129" t="s">
        <v>89</v>
      </c>
      <c r="W129" t="s">
        <v>1484</v>
      </c>
      <c r="X129" t="s">
        <v>89</v>
      </c>
      <c r="Y129" t="s">
        <v>2317</v>
      </c>
      <c r="Z129" t="s">
        <v>1545</v>
      </c>
      <c r="AA129" t="s">
        <v>93</v>
      </c>
      <c r="AB129" t="s">
        <v>1311</v>
      </c>
      <c r="AC129" t="s">
        <v>2318</v>
      </c>
      <c r="AF129">
        <f>Tabela3[[#This Row],[kan_params]]*1</f>
        <v>1991</v>
      </c>
      <c r="AG129">
        <f>1*Tabela3[[#This Row],[kan_test_acc]]</f>
        <v>0.5</v>
      </c>
      <c r="AH129">
        <f>1*Tabela3[[#This Row],[mlp_test_acc]]</f>
        <v>0.94736842105263097</v>
      </c>
      <c r="AI129">
        <f>1*Tabela3[[#This Row],[mlp2_test_acc]]</f>
        <v>0.94736842105263097</v>
      </c>
    </row>
    <row r="130" spans="1:35" x14ac:dyDescent="0.25">
      <c r="A130" t="s">
        <v>44</v>
      </c>
      <c r="B130" t="s">
        <v>2351</v>
      </c>
      <c r="C130" t="s">
        <v>1026</v>
      </c>
      <c r="D130" t="s">
        <v>666</v>
      </c>
      <c r="E130" t="s">
        <v>80</v>
      </c>
      <c r="F130" t="s">
        <v>56</v>
      </c>
      <c r="G130" t="s">
        <v>2423</v>
      </c>
      <c r="H130" t="s">
        <v>2424</v>
      </c>
      <c r="I130" t="s">
        <v>2425</v>
      </c>
      <c r="J130" t="s">
        <v>2005</v>
      </c>
      <c r="K130" t="s">
        <v>1554</v>
      </c>
      <c r="L130" t="s">
        <v>1575</v>
      </c>
      <c r="M130" t="s">
        <v>1463</v>
      </c>
      <c r="N130" t="s">
        <v>89</v>
      </c>
      <c r="O130" t="s">
        <v>1439</v>
      </c>
      <c r="P130" t="s">
        <v>89</v>
      </c>
      <c r="Q130" t="s">
        <v>2426</v>
      </c>
      <c r="R130" t="s">
        <v>1591</v>
      </c>
      <c r="S130" t="s">
        <v>93</v>
      </c>
      <c r="T130" t="s">
        <v>1592</v>
      </c>
      <c r="U130" t="s">
        <v>2178</v>
      </c>
      <c r="V130" t="s">
        <v>89</v>
      </c>
      <c r="W130" t="s">
        <v>1439</v>
      </c>
      <c r="X130" t="s">
        <v>89</v>
      </c>
      <c r="Y130" t="s">
        <v>2427</v>
      </c>
      <c r="Z130" t="s">
        <v>2020</v>
      </c>
      <c r="AA130" t="s">
        <v>93</v>
      </c>
      <c r="AB130" t="s">
        <v>2021</v>
      </c>
      <c r="AC130" t="s">
        <v>2428</v>
      </c>
      <c r="AF130">
        <f>Tabela3[[#This Row],[kan_params]]*1</f>
        <v>3688</v>
      </c>
      <c r="AG130">
        <f>1*Tabela3[[#This Row],[kan_test_acc]]</f>
        <v>0.5</v>
      </c>
      <c r="AH130">
        <f>1*Tabela3[[#This Row],[mlp_test_acc]]</f>
        <v>0.94736842105263097</v>
      </c>
      <c r="AI130">
        <f>1*Tabela3[[#This Row],[mlp2_test_acc]]</f>
        <v>0.92105263157894701</v>
      </c>
    </row>
    <row r="131" spans="1:35" x14ac:dyDescent="0.25">
      <c r="A131" t="s">
        <v>44</v>
      </c>
      <c r="B131" t="s">
        <v>814</v>
      </c>
      <c r="C131" t="s">
        <v>79</v>
      </c>
      <c r="D131" t="s">
        <v>898</v>
      </c>
      <c r="E131" t="s">
        <v>80</v>
      </c>
      <c r="F131" t="s">
        <v>48</v>
      </c>
      <c r="G131" t="s">
        <v>1581</v>
      </c>
      <c r="H131" t="s">
        <v>1582</v>
      </c>
      <c r="I131" t="s">
        <v>1583</v>
      </c>
      <c r="J131" t="s">
        <v>1584</v>
      </c>
      <c r="K131" t="s">
        <v>1574</v>
      </c>
      <c r="L131" t="s">
        <v>1585</v>
      </c>
      <c r="M131" t="s">
        <v>89</v>
      </c>
      <c r="N131" t="s">
        <v>89</v>
      </c>
      <c r="O131" t="s">
        <v>89</v>
      </c>
      <c r="P131" t="s">
        <v>1586</v>
      </c>
      <c r="Q131" t="s">
        <v>1587</v>
      </c>
      <c r="R131" t="s">
        <v>1588</v>
      </c>
      <c r="S131" t="s">
        <v>93</v>
      </c>
      <c r="T131" t="s">
        <v>1301</v>
      </c>
      <c r="U131" t="s">
        <v>89</v>
      </c>
      <c r="V131" t="s">
        <v>89</v>
      </c>
      <c r="W131" t="s">
        <v>89</v>
      </c>
      <c r="X131" t="s">
        <v>1589</v>
      </c>
      <c r="Y131" t="s">
        <v>1590</v>
      </c>
      <c r="Z131" t="s">
        <v>1591</v>
      </c>
      <c r="AA131" t="s">
        <v>93</v>
      </c>
      <c r="AB131" t="s">
        <v>1592</v>
      </c>
      <c r="AC131" t="s">
        <v>1593</v>
      </c>
      <c r="AF131">
        <f>Tabela3[[#This Row],[kan_params]]*1</f>
        <v>3501</v>
      </c>
      <c r="AG131">
        <f>1*Tabela3[[#This Row],[kan_test_acc]]</f>
        <v>0.473684221506118</v>
      </c>
      <c r="AH131">
        <f>1*Tabela3[[#This Row],[mlp_test_acc]]</f>
        <v>1</v>
      </c>
      <c r="AI131">
        <f>1*Tabela3[[#This Row],[mlp2_test_acc]]</f>
        <v>1</v>
      </c>
    </row>
    <row r="132" spans="1:35" x14ac:dyDescent="0.25">
      <c r="A132" t="s">
        <v>44</v>
      </c>
      <c r="B132" t="s">
        <v>897</v>
      </c>
      <c r="C132" t="s">
        <v>79</v>
      </c>
      <c r="D132" t="s">
        <v>666</v>
      </c>
      <c r="E132" t="s">
        <v>80</v>
      </c>
      <c r="F132" t="s">
        <v>52</v>
      </c>
      <c r="G132" t="s">
        <v>1737</v>
      </c>
      <c r="H132" t="s">
        <v>1738</v>
      </c>
      <c r="I132" t="s">
        <v>1739</v>
      </c>
      <c r="J132" t="s">
        <v>1740</v>
      </c>
      <c r="K132" t="s">
        <v>1620</v>
      </c>
      <c r="L132" t="s">
        <v>1585</v>
      </c>
      <c r="M132" t="s">
        <v>89</v>
      </c>
      <c r="N132" t="s">
        <v>1679</v>
      </c>
      <c r="O132" t="s">
        <v>89</v>
      </c>
      <c r="P132" t="s">
        <v>98</v>
      </c>
      <c r="Q132" t="s">
        <v>1741</v>
      </c>
      <c r="R132" t="s">
        <v>1507</v>
      </c>
      <c r="S132" t="s">
        <v>93</v>
      </c>
      <c r="T132" t="s">
        <v>1337</v>
      </c>
      <c r="U132" t="s">
        <v>89</v>
      </c>
      <c r="V132" t="s">
        <v>1679</v>
      </c>
      <c r="W132" t="s">
        <v>89</v>
      </c>
      <c r="X132" t="s">
        <v>98</v>
      </c>
      <c r="Y132" t="s">
        <v>1742</v>
      </c>
      <c r="Z132" t="s">
        <v>1442</v>
      </c>
      <c r="AA132" t="s">
        <v>93</v>
      </c>
      <c r="AB132" t="s">
        <v>1255</v>
      </c>
      <c r="AC132" t="s">
        <v>1743</v>
      </c>
      <c r="AF132">
        <f>Tabela3[[#This Row],[kan_params]]*1</f>
        <v>1333</v>
      </c>
      <c r="AG132">
        <f>1*Tabela3[[#This Row],[kan_test_acc]]</f>
        <v>0.473684221506118</v>
      </c>
      <c r="AH132">
        <f>1*Tabela3[[#This Row],[mlp_test_acc]]</f>
        <v>1</v>
      </c>
      <c r="AI132">
        <f>1*Tabela3[[#This Row],[mlp2_test_acc]]</f>
        <v>1</v>
      </c>
    </row>
    <row r="133" spans="1:35" x14ac:dyDescent="0.25">
      <c r="A133" t="s">
        <v>44</v>
      </c>
      <c r="B133" t="s">
        <v>897</v>
      </c>
      <c r="C133" t="s">
        <v>666</v>
      </c>
      <c r="D133" t="s">
        <v>898</v>
      </c>
      <c r="E133" t="s">
        <v>80</v>
      </c>
      <c r="F133" t="s">
        <v>49</v>
      </c>
      <c r="G133" t="s">
        <v>2024</v>
      </c>
      <c r="H133" t="s">
        <v>2025</v>
      </c>
      <c r="I133" t="s">
        <v>2026</v>
      </c>
      <c r="J133" t="s">
        <v>2027</v>
      </c>
      <c r="K133" t="s">
        <v>89</v>
      </c>
      <c r="L133" t="s">
        <v>1491</v>
      </c>
      <c r="M133" t="s">
        <v>1438</v>
      </c>
      <c r="N133" t="s">
        <v>89</v>
      </c>
      <c r="O133" t="s">
        <v>1439</v>
      </c>
      <c r="P133" t="s">
        <v>89</v>
      </c>
      <c r="Q133" t="s">
        <v>2028</v>
      </c>
      <c r="R133" t="s">
        <v>1604</v>
      </c>
      <c r="S133" t="s">
        <v>93</v>
      </c>
      <c r="T133" t="s">
        <v>657</v>
      </c>
      <c r="U133" t="s">
        <v>1438</v>
      </c>
      <c r="V133" t="s">
        <v>89</v>
      </c>
      <c r="W133" t="s">
        <v>1484</v>
      </c>
      <c r="X133" t="s">
        <v>89</v>
      </c>
      <c r="Y133" t="s">
        <v>2029</v>
      </c>
      <c r="Z133" t="s">
        <v>1717</v>
      </c>
      <c r="AA133" t="s">
        <v>93</v>
      </c>
      <c r="AB133" t="s">
        <v>621</v>
      </c>
      <c r="AC133" t="s">
        <v>2030</v>
      </c>
      <c r="AF133">
        <f>Tabela3[[#This Row],[kan_params]]*1</f>
        <v>447</v>
      </c>
      <c r="AG133">
        <f>1*Tabela3[[#This Row],[kan_test_acc]]</f>
        <v>0.94736844301223699</v>
      </c>
      <c r="AH133">
        <f>1*Tabela3[[#This Row],[mlp_test_acc]]</f>
        <v>0.97368421052631504</v>
      </c>
      <c r="AI133">
        <f>1*Tabela3[[#This Row],[mlp2_test_acc]]</f>
        <v>0.97368421052631504</v>
      </c>
    </row>
    <row r="134" spans="1:35" x14ac:dyDescent="0.25">
      <c r="A134" t="s">
        <v>44</v>
      </c>
      <c r="B134" t="s">
        <v>1297</v>
      </c>
      <c r="C134" t="s">
        <v>1026</v>
      </c>
      <c r="D134" t="s">
        <v>898</v>
      </c>
      <c r="E134" t="s">
        <v>80</v>
      </c>
      <c r="F134" t="s">
        <v>50</v>
      </c>
      <c r="G134" t="s">
        <v>2307</v>
      </c>
      <c r="H134" t="s">
        <v>2308</v>
      </c>
      <c r="I134" t="s">
        <v>1016</v>
      </c>
      <c r="J134" t="s">
        <v>2309</v>
      </c>
      <c r="K134" t="s">
        <v>1642</v>
      </c>
      <c r="L134" t="s">
        <v>1585</v>
      </c>
      <c r="M134" t="s">
        <v>1463</v>
      </c>
      <c r="N134" t="s">
        <v>89</v>
      </c>
      <c r="O134" t="s">
        <v>1484</v>
      </c>
      <c r="P134" t="s">
        <v>89</v>
      </c>
      <c r="Q134" t="s">
        <v>2310</v>
      </c>
      <c r="R134" t="s">
        <v>1634</v>
      </c>
      <c r="S134" t="s">
        <v>93</v>
      </c>
      <c r="T134" t="s">
        <v>1235</v>
      </c>
      <c r="U134" t="s">
        <v>1463</v>
      </c>
      <c r="V134" t="s">
        <v>89</v>
      </c>
      <c r="W134" t="s">
        <v>1484</v>
      </c>
      <c r="X134" t="s">
        <v>89</v>
      </c>
      <c r="Y134" t="s">
        <v>2311</v>
      </c>
      <c r="Z134" t="s">
        <v>1504</v>
      </c>
      <c r="AA134" t="s">
        <v>93</v>
      </c>
      <c r="AB134" t="s">
        <v>1400</v>
      </c>
      <c r="AC134" t="s">
        <v>2312</v>
      </c>
      <c r="AF134">
        <f>Tabela3[[#This Row],[kan_params]]*1</f>
        <v>1111</v>
      </c>
      <c r="AG134">
        <f>1*Tabela3[[#This Row],[kan_test_acc]]</f>
        <v>0.473684221506118</v>
      </c>
      <c r="AH134">
        <f>1*Tabela3[[#This Row],[mlp_test_acc]]</f>
        <v>0.94736842105263097</v>
      </c>
      <c r="AI134">
        <f>1*Tabela3[[#This Row],[mlp2_test_acc]]</f>
        <v>0.94736842105263097</v>
      </c>
    </row>
    <row r="135" spans="1:35" x14ac:dyDescent="0.25">
      <c r="A135" t="s">
        <v>44</v>
      </c>
      <c r="B135" t="s">
        <v>2351</v>
      </c>
      <c r="C135" t="s">
        <v>1026</v>
      </c>
      <c r="D135" t="s">
        <v>666</v>
      </c>
      <c r="E135" t="s">
        <v>80</v>
      </c>
      <c r="F135" t="s">
        <v>50</v>
      </c>
      <c r="G135" t="s">
        <v>1750</v>
      </c>
      <c r="H135" t="s">
        <v>2386</v>
      </c>
      <c r="I135" t="s">
        <v>2387</v>
      </c>
      <c r="J135" t="s">
        <v>2388</v>
      </c>
      <c r="K135" t="s">
        <v>1620</v>
      </c>
      <c r="L135" t="s">
        <v>1585</v>
      </c>
      <c r="M135" t="s">
        <v>1463</v>
      </c>
      <c r="N135" t="s">
        <v>89</v>
      </c>
      <c r="O135" t="s">
        <v>1484</v>
      </c>
      <c r="P135" t="s">
        <v>89</v>
      </c>
      <c r="Q135" t="s">
        <v>2389</v>
      </c>
      <c r="R135" t="s">
        <v>1504</v>
      </c>
      <c r="S135" t="s">
        <v>93</v>
      </c>
      <c r="T135" t="s">
        <v>1400</v>
      </c>
      <c r="U135" t="s">
        <v>1463</v>
      </c>
      <c r="V135" t="s">
        <v>89</v>
      </c>
      <c r="W135" t="s">
        <v>1484</v>
      </c>
      <c r="X135" t="s">
        <v>89</v>
      </c>
      <c r="Y135" t="s">
        <v>2390</v>
      </c>
      <c r="Z135" t="s">
        <v>1507</v>
      </c>
      <c r="AA135" t="s">
        <v>93</v>
      </c>
      <c r="AB135" t="s">
        <v>1337</v>
      </c>
      <c r="AC135" t="s">
        <v>2391</v>
      </c>
      <c r="AF135">
        <f>Tabela3[[#This Row],[kan_params]]*1</f>
        <v>1243</v>
      </c>
      <c r="AG135">
        <f>1*Tabela3[[#This Row],[kan_test_acc]]</f>
        <v>0.473684221506118</v>
      </c>
      <c r="AH135">
        <f>1*Tabela3[[#This Row],[mlp_test_acc]]</f>
        <v>0.94736842105263097</v>
      </c>
      <c r="AI135">
        <f>1*Tabela3[[#This Row],[mlp2_test_acc]]</f>
        <v>0.94736842105263097</v>
      </c>
    </row>
    <row r="136" spans="1:35" x14ac:dyDescent="0.25">
      <c r="A136" t="s">
        <v>44</v>
      </c>
      <c r="B136" t="s">
        <v>814</v>
      </c>
      <c r="C136" t="s">
        <v>79</v>
      </c>
      <c r="D136" t="s">
        <v>898</v>
      </c>
      <c r="E136" t="s">
        <v>80</v>
      </c>
      <c r="F136" t="s">
        <v>51</v>
      </c>
      <c r="G136" t="s">
        <v>1616</v>
      </c>
      <c r="H136" t="s">
        <v>1617</v>
      </c>
      <c r="I136" t="s">
        <v>1618</v>
      </c>
      <c r="J136" t="s">
        <v>1619</v>
      </c>
      <c r="K136" t="s">
        <v>1620</v>
      </c>
      <c r="L136" t="s">
        <v>1621</v>
      </c>
      <c r="M136" t="s">
        <v>1438</v>
      </c>
      <c r="N136" t="s">
        <v>89</v>
      </c>
      <c r="O136" t="s">
        <v>1439</v>
      </c>
      <c r="P136" t="s">
        <v>1622</v>
      </c>
      <c r="Q136" t="s">
        <v>1623</v>
      </c>
      <c r="R136" t="s">
        <v>1446</v>
      </c>
      <c r="S136" t="s">
        <v>93</v>
      </c>
      <c r="T136" t="s">
        <v>1247</v>
      </c>
      <c r="U136" t="s">
        <v>1438</v>
      </c>
      <c r="V136" t="s">
        <v>89</v>
      </c>
      <c r="W136" t="s">
        <v>1439</v>
      </c>
      <c r="X136" t="s">
        <v>1624</v>
      </c>
      <c r="Y136" t="s">
        <v>1625</v>
      </c>
      <c r="Z136" t="s">
        <v>1522</v>
      </c>
      <c r="AA136" t="s">
        <v>93</v>
      </c>
      <c r="AB136" t="s">
        <v>1412</v>
      </c>
      <c r="AC136" t="s">
        <v>1626</v>
      </c>
      <c r="AF136">
        <f>Tabela3[[#This Row],[kan_params]]*1</f>
        <v>1517</v>
      </c>
      <c r="AG136">
        <f>1*Tabela3[[#This Row],[kan_test_acc]]</f>
        <v>0.44736841320991499</v>
      </c>
      <c r="AH136">
        <f>1*Tabela3[[#This Row],[mlp_test_acc]]</f>
        <v>0.97368421052631504</v>
      </c>
      <c r="AI136">
        <f>1*Tabela3[[#This Row],[mlp2_test_acc]]</f>
        <v>0.97368421052631504</v>
      </c>
    </row>
    <row r="137" spans="1:35" x14ac:dyDescent="0.25">
      <c r="A137" t="s">
        <v>44</v>
      </c>
      <c r="B137" t="s">
        <v>897</v>
      </c>
      <c r="C137" t="s">
        <v>79</v>
      </c>
      <c r="D137" t="s">
        <v>666</v>
      </c>
      <c r="E137" t="s">
        <v>80</v>
      </c>
      <c r="F137" t="s">
        <v>46</v>
      </c>
      <c r="G137" t="s">
        <v>1683</v>
      </c>
      <c r="H137" t="s">
        <v>1684</v>
      </c>
      <c r="I137" t="s">
        <v>1685</v>
      </c>
      <c r="J137" t="s">
        <v>1686</v>
      </c>
      <c r="K137" t="s">
        <v>1642</v>
      </c>
      <c r="L137" t="s">
        <v>1621</v>
      </c>
      <c r="M137" t="s">
        <v>89</v>
      </c>
      <c r="N137" t="s">
        <v>1679</v>
      </c>
      <c r="O137" t="s">
        <v>89</v>
      </c>
      <c r="P137" t="s">
        <v>98</v>
      </c>
      <c r="Q137" t="s">
        <v>1687</v>
      </c>
      <c r="R137" t="s">
        <v>1588</v>
      </c>
      <c r="S137" t="s">
        <v>93</v>
      </c>
      <c r="T137" t="s">
        <v>1301</v>
      </c>
      <c r="U137" t="s">
        <v>89</v>
      </c>
      <c r="V137" t="s">
        <v>1679</v>
      </c>
      <c r="W137" t="s">
        <v>89</v>
      </c>
      <c r="X137" t="s">
        <v>98</v>
      </c>
      <c r="Y137" t="s">
        <v>1688</v>
      </c>
      <c r="Z137" t="s">
        <v>1591</v>
      </c>
      <c r="AA137" t="s">
        <v>93</v>
      </c>
      <c r="AB137" t="s">
        <v>1592</v>
      </c>
      <c r="AC137" t="s">
        <v>1689</v>
      </c>
      <c r="AF137">
        <f>Tabela3[[#This Row],[kan_params]]*1</f>
        <v>3476</v>
      </c>
      <c r="AG137">
        <f>1*Tabela3[[#This Row],[kan_test_acc]]</f>
        <v>0.44736841320991499</v>
      </c>
      <c r="AH137">
        <f>1*Tabela3[[#This Row],[mlp_test_acc]]</f>
        <v>1</v>
      </c>
      <c r="AI137">
        <f>1*Tabela3[[#This Row],[mlp2_test_acc]]</f>
        <v>1</v>
      </c>
    </row>
    <row r="138" spans="1:35" x14ac:dyDescent="0.25">
      <c r="A138" t="s">
        <v>44</v>
      </c>
      <c r="B138" t="s">
        <v>2351</v>
      </c>
      <c r="C138" t="s">
        <v>1026</v>
      </c>
      <c r="D138" t="s">
        <v>666</v>
      </c>
      <c r="E138" t="s">
        <v>80</v>
      </c>
      <c r="F138" t="s">
        <v>53</v>
      </c>
      <c r="G138" t="s">
        <v>2404</v>
      </c>
      <c r="H138" t="s">
        <v>2405</v>
      </c>
      <c r="I138" t="s">
        <v>2406</v>
      </c>
      <c r="J138" t="s">
        <v>1584</v>
      </c>
      <c r="K138" t="s">
        <v>1620</v>
      </c>
      <c r="L138" t="s">
        <v>1621</v>
      </c>
      <c r="M138" t="s">
        <v>2178</v>
      </c>
      <c r="N138" t="s">
        <v>89</v>
      </c>
      <c r="O138" t="s">
        <v>1439</v>
      </c>
      <c r="P138" t="s">
        <v>89</v>
      </c>
      <c r="Q138" t="s">
        <v>2407</v>
      </c>
      <c r="R138" t="s">
        <v>1477</v>
      </c>
      <c r="S138" t="s">
        <v>93</v>
      </c>
      <c r="T138" t="s">
        <v>1309</v>
      </c>
      <c r="U138" t="s">
        <v>2178</v>
      </c>
      <c r="V138" t="s">
        <v>89</v>
      </c>
      <c r="W138" t="s">
        <v>1439</v>
      </c>
      <c r="X138" t="s">
        <v>89</v>
      </c>
      <c r="Y138" t="s">
        <v>2408</v>
      </c>
      <c r="Z138" t="s">
        <v>1567</v>
      </c>
      <c r="AA138" t="s">
        <v>93</v>
      </c>
      <c r="AB138" t="s">
        <v>1568</v>
      </c>
      <c r="AC138" t="s">
        <v>2409</v>
      </c>
      <c r="AF138">
        <f>Tabela3[[#This Row],[kan_params]]*1</f>
        <v>2958</v>
      </c>
      <c r="AG138">
        <f>1*Tabela3[[#This Row],[kan_test_acc]]</f>
        <v>0.44736841320991499</v>
      </c>
      <c r="AH138">
        <f>1*Tabela3[[#This Row],[mlp_test_acc]]</f>
        <v>0.92105263157894701</v>
      </c>
      <c r="AI138">
        <f>1*Tabela3[[#This Row],[mlp2_test_acc]]</f>
        <v>0.92105263157894701</v>
      </c>
    </row>
    <row r="139" spans="1:35" x14ac:dyDescent="0.25">
      <c r="A139" t="s">
        <v>44</v>
      </c>
      <c r="B139" t="s">
        <v>1297</v>
      </c>
      <c r="C139" t="s">
        <v>1026</v>
      </c>
      <c r="D139" t="s">
        <v>898</v>
      </c>
      <c r="E139" t="s">
        <v>80</v>
      </c>
      <c r="F139" t="s">
        <v>47</v>
      </c>
      <c r="G139" t="s">
        <v>2286</v>
      </c>
      <c r="H139" t="s">
        <v>2287</v>
      </c>
      <c r="I139" t="s">
        <v>2288</v>
      </c>
      <c r="J139" t="s">
        <v>2005</v>
      </c>
      <c r="K139" t="s">
        <v>1554</v>
      </c>
      <c r="L139" t="s">
        <v>2289</v>
      </c>
      <c r="M139" t="s">
        <v>2178</v>
      </c>
      <c r="N139" t="s">
        <v>89</v>
      </c>
      <c r="O139" t="s">
        <v>1439</v>
      </c>
      <c r="P139" t="s">
        <v>89</v>
      </c>
      <c r="Q139" t="s">
        <v>2290</v>
      </c>
      <c r="R139" t="s">
        <v>1456</v>
      </c>
      <c r="S139" t="s">
        <v>93</v>
      </c>
      <c r="T139" t="s">
        <v>1320</v>
      </c>
      <c r="U139" t="s">
        <v>1463</v>
      </c>
      <c r="V139" t="s">
        <v>89</v>
      </c>
      <c r="W139" t="s">
        <v>1439</v>
      </c>
      <c r="X139" t="s">
        <v>89</v>
      </c>
      <c r="Y139" t="s">
        <v>2291</v>
      </c>
      <c r="Z139" t="s">
        <v>1472</v>
      </c>
      <c r="AA139" t="s">
        <v>93</v>
      </c>
      <c r="AB139" t="s">
        <v>1473</v>
      </c>
      <c r="AC139" t="s">
        <v>2292</v>
      </c>
      <c r="AF139">
        <f>Tabela3[[#This Row],[kan_params]]*1</f>
        <v>2719</v>
      </c>
      <c r="AG139">
        <f>1*Tabela3[[#This Row],[kan_test_acc]]</f>
        <v>0.42105263471603299</v>
      </c>
      <c r="AH139">
        <f>1*Tabela3[[#This Row],[mlp_test_acc]]</f>
        <v>0.92105263157894701</v>
      </c>
      <c r="AI139">
        <f>1*Tabela3[[#This Row],[mlp2_test_acc]]</f>
        <v>0.94736842105263097</v>
      </c>
    </row>
    <row r="140" spans="1:35" x14ac:dyDescent="0.25">
      <c r="A140" t="s">
        <v>44</v>
      </c>
      <c r="B140" t="s">
        <v>1297</v>
      </c>
      <c r="C140" t="s">
        <v>1026</v>
      </c>
      <c r="D140" t="s">
        <v>898</v>
      </c>
      <c r="E140" t="s">
        <v>80</v>
      </c>
      <c r="F140" t="s">
        <v>52</v>
      </c>
      <c r="G140" t="s">
        <v>2319</v>
      </c>
      <c r="H140" t="s">
        <v>2320</v>
      </c>
      <c r="I140" t="s">
        <v>2321</v>
      </c>
      <c r="J140" t="s">
        <v>2322</v>
      </c>
      <c r="K140" t="s">
        <v>1554</v>
      </c>
      <c r="L140" t="s">
        <v>2289</v>
      </c>
      <c r="M140" t="s">
        <v>1463</v>
      </c>
      <c r="N140" t="s">
        <v>89</v>
      </c>
      <c r="O140" t="s">
        <v>1484</v>
      </c>
      <c r="P140" t="s">
        <v>89</v>
      </c>
      <c r="Q140" t="s">
        <v>2323</v>
      </c>
      <c r="R140" t="s">
        <v>1446</v>
      </c>
      <c r="S140" t="s">
        <v>93</v>
      </c>
      <c r="T140" t="s">
        <v>1247</v>
      </c>
      <c r="U140" t="s">
        <v>1463</v>
      </c>
      <c r="V140" t="s">
        <v>89</v>
      </c>
      <c r="W140" t="s">
        <v>1439</v>
      </c>
      <c r="X140" t="s">
        <v>89</v>
      </c>
      <c r="Y140" t="s">
        <v>2324</v>
      </c>
      <c r="Z140" t="s">
        <v>1522</v>
      </c>
      <c r="AA140" t="s">
        <v>93</v>
      </c>
      <c r="AB140" t="s">
        <v>1412</v>
      </c>
      <c r="AC140" t="s">
        <v>2325</v>
      </c>
      <c r="AF140">
        <f>Tabela3[[#This Row],[kan_params]]*1</f>
        <v>1513</v>
      </c>
      <c r="AG140">
        <f>1*Tabela3[[#This Row],[kan_test_acc]]</f>
        <v>0.42105263471603299</v>
      </c>
      <c r="AH140">
        <f>1*Tabela3[[#This Row],[mlp_test_acc]]</f>
        <v>0.94736842105263097</v>
      </c>
      <c r="AI140">
        <f>1*Tabela3[[#This Row],[mlp2_test_acc]]</f>
        <v>0.94736842105263097</v>
      </c>
    </row>
    <row r="141" spans="1:35" x14ac:dyDescent="0.25">
      <c r="A141" t="s">
        <v>44</v>
      </c>
      <c r="B141" t="s">
        <v>1297</v>
      </c>
      <c r="C141" t="s">
        <v>1026</v>
      </c>
      <c r="D141" t="s">
        <v>898</v>
      </c>
      <c r="E141" t="s">
        <v>80</v>
      </c>
      <c r="F141" t="s">
        <v>53</v>
      </c>
      <c r="G141" t="s">
        <v>2326</v>
      </c>
      <c r="H141" t="s">
        <v>2327</v>
      </c>
      <c r="I141" t="s">
        <v>2328</v>
      </c>
      <c r="J141" t="s">
        <v>2005</v>
      </c>
      <c r="K141" t="s">
        <v>1642</v>
      </c>
      <c r="L141" t="s">
        <v>2289</v>
      </c>
      <c r="M141" t="s">
        <v>2178</v>
      </c>
      <c r="N141" t="s">
        <v>89</v>
      </c>
      <c r="O141" t="s">
        <v>1439</v>
      </c>
      <c r="P141" t="s">
        <v>89</v>
      </c>
      <c r="Q141" t="s">
        <v>2329</v>
      </c>
      <c r="R141" t="s">
        <v>1452</v>
      </c>
      <c r="S141" t="s">
        <v>93</v>
      </c>
      <c r="T141" t="s">
        <v>1453</v>
      </c>
      <c r="U141" t="s">
        <v>2178</v>
      </c>
      <c r="V141" t="s">
        <v>89</v>
      </c>
      <c r="W141" t="s">
        <v>1439</v>
      </c>
      <c r="X141" t="s">
        <v>89</v>
      </c>
      <c r="Y141" t="s">
        <v>2330</v>
      </c>
      <c r="Z141" t="s">
        <v>1456</v>
      </c>
      <c r="AA141" t="s">
        <v>93</v>
      </c>
      <c r="AB141" t="s">
        <v>1320</v>
      </c>
      <c r="AC141" t="s">
        <v>2331</v>
      </c>
      <c r="AF141">
        <f>Tabela3[[#This Row],[kan_params]]*1</f>
        <v>2643</v>
      </c>
      <c r="AG141">
        <f>1*Tabela3[[#This Row],[kan_test_acc]]</f>
        <v>0.42105263471603299</v>
      </c>
      <c r="AH141">
        <f>1*Tabela3[[#This Row],[mlp_test_acc]]</f>
        <v>0.92105263157894701</v>
      </c>
      <c r="AI141">
        <f>1*Tabela3[[#This Row],[mlp2_test_acc]]</f>
        <v>0.92105263157894701</v>
      </c>
    </row>
    <row r="142" spans="1:35" x14ac:dyDescent="0.25">
      <c r="A142" t="s">
        <v>44</v>
      </c>
      <c r="B142" t="s">
        <v>2351</v>
      </c>
      <c r="C142" t="s">
        <v>1026</v>
      </c>
      <c r="D142" t="s">
        <v>666</v>
      </c>
      <c r="E142" t="s">
        <v>80</v>
      </c>
      <c r="F142" t="s">
        <v>47</v>
      </c>
      <c r="G142" t="s">
        <v>2364</v>
      </c>
      <c r="H142" t="s">
        <v>2365</v>
      </c>
      <c r="I142" t="s">
        <v>2366</v>
      </c>
      <c r="J142" t="s">
        <v>2005</v>
      </c>
      <c r="K142" t="s">
        <v>1620</v>
      </c>
      <c r="L142" t="s">
        <v>2367</v>
      </c>
      <c r="M142" t="s">
        <v>1463</v>
      </c>
      <c r="N142" t="s">
        <v>89</v>
      </c>
      <c r="O142" t="s">
        <v>89</v>
      </c>
      <c r="P142" t="s">
        <v>98</v>
      </c>
      <c r="Q142" t="s">
        <v>2368</v>
      </c>
      <c r="R142" t="s">
        <v>1477</v>
      </c>
      <c r="S142" t="s">
        <v>93</v>
      </c>
      <c r="T142" t="s">
        <v>1309</v>
      </c>
      <c r="U142" t="s">
        <v>1463</v>
      </c>
      <c r="V142" t="s">
        <v>89</v>
      </c>
      <c r="W142" t="s">
        <v>89</v>
      </c>
      <c r="X142" t="s">
        <v>98</v>
      </c>
      <c r="Y142" t="s">
        <v>2369</v>
      </c>
      <c r="Z142" t="s">
        <v>1567</v>
      </c>
      <c r="AA142" t="s">
        <v>93</v>
      </c>
      <c r="AB142" t="s">
        <v>1568</v>
      </c>
      <c r="AC142" t="s">
        <v>2370</v>
      </c>
      <c r="AF142">
        <f>Tabela3[[#This Row],[kan_params]]*1</f>
        <v>3043</v>
      </c>
      <c r="AG142">
        <f>1*Tabela3[[#This Row],[kan_test_acc]]</f>
        <v>0.39473685622215199</v>
      </c>
      <c r="AH142">
        <f>1*Tabela3[[#This Row],[mlp_test_acc]]</f>
        <v>0.94736842105263097</v>
      </c>
      <c r="AI142">
        <f>1*Tabela3[[#This Row],[mlp2_test_acc]]</f>
        <v>0.94736842105263097</v>
      </c>
    </row>
    <row r="143" spans="1:35" x14ac:dyDescent="0.25">
      <c r="A143" t="s">
        <v>44</v>
      </c>
      <c r="B143" t="s">
        <v>897</v>
      </c>
      <c r="C143" t="s">
        <v>666</v>
      </c>
      <c r="D143" t="s">
        <v>898</v>
      </c>
      <c r="E143" t="s">
        <v>80</v>
      </c>
      <c r="F143" t="s">
        <v>50</v>
      </c>
      <c r="G143" t="s">
        <v>2031</v>
      </c>
      <c r="H143" t="s">
        <v>2032</v>
      </c>
      <c r="I143" t="s">
        <v>2033</v>
      </c>
      <c r="J143" t="s">
        <v>1769</v>
      </c>
      <c r="K143" t="s">
        <v>1574</v>
      </c>
      <c r="L143" t="s">
        <v>1599</v>
      </c>
      <c r="M143" t="s">
        <v>1438</v>
      </c>
      <c r="N143" t="s">
        <v>89</v>
      </c>
      <c r="O143" t="s">
        <v>1484</v>
      </c>
      <c r="P143" t="s">
        <v>89</v>
      </c>
      <c r="Q143" t="s">
        <v>2034</v>
      </c>
      <c r="R143" t="s">
        <v>1512</v>
      </c>
      <c r="S143" t="s">
        <v>93</v>
      </c>
      <c r="T143" t="s">
        <v>1231</v>
      </c>
      <c r="U143" t="s">
        <v>1438</v>
      </c>
      <c r="V143" t="s">
        <v>89</v>
      </c>
      <c r="W143" t="s">
        <v>1484</v>
      </c>
      <c r="X143" t="s">
        <v>89</v>
      </c>
      <c r="Y143" t="s">
        <v>2035</v>
      </c>
      <c r="Z143" t="s">
        <v>1515</v>
      </c>
      <c r="AA143" t="s">
        <v>93</v>
      </c>
      <c r="AB143" t="s">
        <v>1240</v>
      </c>
      <c r="AC143" t="s">
        <v>2036</v>
      </c>
      <c r="AF143">
        <f>Tabela3[[#This Row],[kan_params]]*1</f>
        <v>935</v>
      </c>
      <c r="AG143">
        <f>1*Tabela3[[#This Row],[kan_test_acc]]</f>
        <v>0.71052628755569402</v>
      </c>
      <c r="AH143">
        <f>1*Tabela3[[#This Row],[mlp_test_acc]]</f>
        <v>0.97368421052631504</v>
      </c>
      <c r="AI143">
        <f>1*Tabela3[[#This Row],[mlp2_test_acc]]</f>
        <v>0.97368421052631504</v>
      </c>
    </row>
    <row r="144" spans="1:35" x14ac:dyDescent="0.25">
      <c r="A144" t="s">
        <v>44</v>
      </c>
      <c r="B144" t="s">
        <v>2351</v>
      </c>
      <c r="C144" t="s">
        <v>1026</v>
      </c>
      <c r="D144" t="s">
        <v>666</v>
      </c>
      <c r="E144" t="s">
        <v>80</v>
      </c>
      <c r="F144" t="s">
        <v>45</v>
      </c>
      <c r="G144" t="s">
        <v>2352</v>
      </c>
      <c r="H144" t="s">
        <v>2353</v>
      </c>
      <c r="I144" t="s">
        <v>2354</v>
      </c>
      <c r="J144" t="s">
        <v>1997</v>
      </c>
      <c r="K144" t="s">
        <v>1678</v>
      </c>
      <c r="L144" t="s">
        <v>1998</v>
      </c>
      <c r="M144" t="s">
        <v>1463</v>
      </c>
      <c r="N144" t="s">
        <v>89</v>
      </c>
      <c r="O144" t="s">
        <v>1439</v>
      </c>
      <c r="P144" t="s">
        <v>89</v>
      </c>
      <c r="Q144" t="s">
        <v>2355</v>
      </c>
      <c r="R144" t="s">
        <v>1452</v>
      </c>
      <c r="S144" t="s">
        <v>93</v>
      </c>
      <c r="T144" t="s">
        <v>1453</v>
      </c>
      <c r="U144" t="s">
        <v>1463</v>
      </c>
      <c r="V144" t="s">
        <v>89</v>
      </c>
      <c r="W144" t="s">
        <v>1439</v>
      </c>
      <c r="X144" t="s">
        <v>89</v>
      </c>
      <c r="Y144" t="s">
        <v>2356</v>
      </c>
      <c r="Z144" t="s">
        <v>1456</v>
      </c>
      <c r="AA144" t="s">
        <v>93</v>
      </c>
      <c r="AB144" t="s">
        <v>1320</v>
      </c>
      <c r="AC144" t="s">
        <v>2357</v>
      </c>
      <c r="AF144">
        <f>Tabela3[[#This Row],[kan_params]]*1</f>
        <v>2593</v>
      </c>
      <c r="AG144">
        <f>1*Tabela3[[#This Row],[kan_test_acc]]</f>
        <v>0.36842104792594899</v>
      </c>
      <c r="AH144">
        <f>1*Tabela3[[#This Row],[mlp_test_acc]]</f>
        <v>0.94736842105263097</v>
      </c>
      <c r="AI144">
        <f>1*Tabela3[[#This Row],[mlp2_test_acc]]</f>
        <v>0.94736842105263097</v>
      </c>
    </row>
    <row r="145" spans="1:35" x14ac:dyDescent="0.25">
      <c r="A145" t="s">
        <v>44</v>
      </c>
      <c r="B145" t="s">
        <v>959</v>
      </c>
      <c r="C145" t="s">
        <v>666</v>
      </c>
      <c r="D145" t="s">
        <v>666</v>
      </c>
      <c r="E145" t="s">
        <v>80</v>
      </c>
      <c r="F145" t="s">
        <v>47</v>
      </c>
      <c r="G145" t="s">
        <v>2092</v>
      </c>
      <c r="H145" t="s">
        <v>2093</v>
      </c>
      <c r="I145" t="s">
        <v>2094</v>
      </c>
      <c r="J145" t="s">
        <v>2095</v>
      </c>
      <c r="K145" t="s">
        <v>1642</v>
      </c>
      <c r="L145" t="s">
        <v>2096</v>
      </c>
      <c r="M145" t="s">
        <v>89</v>
      </c>
      <c r="N145" t="s">
        <v>89</v>
      </c>
      <c r="O145" t="s">
        <v>1484</v>
      </c>
      <c r="P145" t="s">
        <v>1400</v>
      </c>
      <c r="Q145" t="s">
        <v>2097</v>
      </c>
      <c r="R145" t="s">
        <v>1452</v>
      </c>
      <c r="S145" t="s">
        <v>93</v>
      </c>
      <c r="T145" t="s">
        <v>1453</v>
      </c>
      <c r="U145" t="s">
        <v>89</v>
      </c>
      <c r="V145" t="s">
        <v>89</v>
      </c>
      <c r="W145" t="s">
        <v>1484</v>
      </c>
      <c r="X145" t="s">
        <v>2098</v>
      </c>
      <c r="Y145" t="s">
        <v>2099</v>
      </c>
      <c r="Z145" t="s">
        <v>1456</v>
      </c>
      <c r="AA145" t="s">
        <v>93</v>
      </c>
      <c r="AB145" t="s">
        <v>1320</v>
      </c>
      <c r="AC145" t="s">
        <v>2100</v>
      </c>
      <c r="AF145">
        <f>Tabela3[[#This Row],[kan_params]]*1</f>
        <v>2611</v>
      </c>
      <c r="AG145">
        <f>1*Tabela3[[#This Row],[kan_test_acc]]</f>
        <v>0.34210526943206698</v>
      </c>
      <c r="AH145">
        <f>1*Tabela3[[#This Row],[mlp_test_acc]]</f>
        <v>1</v>
      </c>
      <c r="AI145">
        <f>1*Tabela3[[#This Row],[mlp2_test_acc]]</f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4CA4-F1D3-4BBA-AD59-22D6400EABC5}">
  <dimension ref="A1:AI229"/>
  <sheetViews>
    <sheetView workbookViewId="0">
      <selection activeCell="C11" sqref="C11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bestFit="1" customWidth="1"/>
    <col min="7" max="7" width="13.7109375" customWidth="1"/>
    <col min="8" max="8" width="21.5703125" customWidth="1"/>
    <col min="9" max="9" width="12.140625" customWidth="1"/>
    <col min="10" max="10" width="19.85546875" bestFit="1" customWidth="1"/>
    <col min="11" max="11" width="18.85546875" bestFit="1" customWidth="1"/>
    <col min="12" max="12" width="19.85546875" bestFit="1" customWidth="1"/>
    <col min="13" max="15" width="18.85546875" bestFit="1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3" width="19.85546875" bestFit="1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20.85546875" bestFit="1" customWidth="1"/>
  </cols>
  <sheetData>
    <row r="1" spans="1:3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3" t="s">
        <v>77</v>
      </c>
      <c r="AF1" t="s">
        <v>4091</v>
      </c>
      <c r="AG1" t="s">
        <v>4092</v>
      </c>
      <c r="AH1" t="s">
        <v>4093</v>
      </c>
      <c r="AI1" t="s">
        <v>4094</v>
      </c>
    </row>
    <row r="2" spans="1:35" x14ac:dyDescent="0.25">
      <c r="A2" t="s">
        <v>57</v>
      </c>
      <c r="B2" t="s">
        <v>273</v>
      </c>
      <c r="C2" t="s">
        <v>79</v>
      </c>
      <c r="D2" t="s">
        <v>274</v>
      </c>
      <c r="E2" t="s">
        <v>80</v>
      </c>
      <c r="F2" t="s">
        <v>58</v>
      </c>
      <c r="G2" t="s">
        <v>2983</v>
      </c>
      <c r="H2" t="s">
        <v>2984</v>
      </c>
      <c r="I2" t="s">
        <v>759</v>
      </c>
      <c r="J2" t="s">
        <v>89</v>
      </c>
      <c r="K2" t="s">
        <v>2431</v>
      </c>
      <c r="L2" t="s">
        <v>89</v>
      </c>
      <c r="M2" t="s">
        <v>2433</v>
      </c>
      <c r="N2" t="s">
        <v>2443</v>
      </c>
      <c r="O2" t="s">
        <v>89</v>
      </c>
      <c r="P2" t="s">
        <v>2985</v>
      </c>
      <c r="Q2" t="s">
        <v>2986</v>
      </c>
      <c r="R2" t="s">
        <v>2567</v>
      </c>
      <c r="S2" t="s">
        <v>93</v>
      </c>
      <c r="T2" t="s">
        <v>2108</v>
      </c>
      <c r="U2" t="s">
        <v>2498</v>
      </c>
      <c r="V2" t="s">
        <v>2607</v>
      </c>
      <c r="W2" t="s">
        <v>89</v>
      </c>
      <c r="X2" t="s">
        <v>2987</v>
      </c>
      <c r="Y2" t="s">
        <v>2988</v>
      </c>
      <c r="Z2" t="s">
        <v>2844</v>
      </c>
      <c r="AA2" t="s">
        <v>93</v>
      </c>
      <c r="AB2" t="s">
        <v>2299</v>
      </c>
      <c r="AC2" t="s">
        <v>2989</v>
      </c>
      <c r="AF2">
        <f>1*Tabela2[[#This Row],[kan_params]]</f>
        <v>4930</v>
      </c>
      <c r="AG2">
        <f>1*Tabela2[[#This Row],[kan_test_acc]]</f>
        <v>1</v>
      </c>
      <c r="AH2">
        <f>1*Tabela2[[#This Row],[mlp_test_acc]]</f>
        <v>0.95555555555555505</v>
      </c>
      <c r="AI2">
        <f>1*Tabela2[[#This Row],[mlp2_test_acc]]</f>
        <v>0.97777777777777697</v>
      </c>
    </row>
    <row r="3" spans="1:35" x14ac:dyDescent="0.25">
      <c r="A3" t="s">
        <v>57</v>
      </c>
      <c r="B3" t="s">
        <v>273</v>
      </c>
      <c r="C3" t="s">
        <v>79</v>
      </c>
      <c r="D3" t="s">
        <v>274</v>
      </c>
      <c r="E3" t="s">
        <v>80</v>
      </c>
      <c r="F3" t="s">
        <v>59</v>
      </c>
      <c r="G3" t="s">
        <v>2990</v>
      </c>
      <c r="H3" t="s">
        <v>2991</v>
      </c>
      <c r="I3" t="s">
        <v>799</v>
      </c>
      <c r="J3" t="s">
        <v>89</v>
      </c>
      <c r="K3" t="s">
        <v>2431</v>
      </c>
      <c r="L3" t="s">
        <v>89</v>
      </c>
      <c r="M3" t="s">
        <v>2498</v>
      </c>
      <c r="N3" t="s">
        <v>2443</v>
      </c>
      <c r="O3" t="s">
        <v>89</v>
      </c>
      <c r="P3" t="s">
        <v>2992</v>
      </c>
      <c r="Q3" t="s">
        <v>2993</v>
      </c>
      <c r="R3" t="s">
        <v>2435</v>
      </c>
      <c r="S3" t="s">
        <v>93</v>
      </c>
      <c r="T3" t="s">
        <v>1950</v>
      </c>
      <c r="U3" t="s">
        <v>2433</v>
      </c>
      <c r="V3" t="s">
        <v>2443</v>
      </c>
      <c r="W3" t="s">
        <v>89</v>
      </c>
      <c r="X3" t="s">
        <v>2994</v>
      </c>
      <c r="Y3" t="s">
        <v>2995</v>
      </c>
      <c r="Z3" t="s">
        <v>2438</v>
      </c>
      <c r="AA3" t="s">
        <v>93</v>
      </c>
      <c r="AB3" t="s">
        <v>160</v>
      </c>
      <c r="AC3" t="s">
        <v>2996</v>
      </c>
      <c r="AF3">
        <f>1*Tabela2[[#This Row],[kan_params]]</f>
        <v>5975</v>
      </c>
      <c r="AG3">
        <f>1*Tabela2[[#This Row],[kan_test_acc]]</f>
        <v>1</v>
      </c>
      <c r="AH3">
        <f>1*Tabela2[[#This Row],[mlp_test_acc]]</f>
        <v>0.97777777777777697</v>
      </c>
      <c r="AI3">
        <f>1*Tabela2[[#This Row],[mlp2_test_acc]]</f>
        <v>0.95555555555555505</v>
      </c>
    </row>
    <row r="4" spans="1:35" x14ac:dyDescent="0.25">
      <c r="A4" t="s">
        <v>57</v>
      </c>
      <c r="B4" t="s">
        <v>273</v>
      </c>
      <c r="C4" t="s">
        <v>79</v>
      </c>
      <c r="D4" t="s">
        <v>274</v>
      </c>
      <c r="E4" t="s">
        <v>80</v>
      </c>
      <c r="F4" t="s">
        <v>61</v>
      </c>
      <c r="G4" t="s">
        <v>3004</v>
      </c>
      <c r="H4" t="s">
        <v>3005</v>
      </c>
      <c r="I4" t="s">
        <v>1543</v>
      </c>
      <c r="J4" t="s">
        <v>89</v>
      </c>
      <c r="K4" t="s">
        <v>2431</v>
      </c>
      <c r="L4" t="s">
        <v>89</v>
      </c>
      <c r="M4" t="s">
        <v>2433</v>
      </c>
      <c r="N4" t="s">
        <v>3006</v>
      </c>
      <c r="O4" t="s">
        <v>89</v>
      </c>
      <c r="P4" t="s">
        <v>3007</v>
      </c>
      <c r="Q4" t="s">
        <v>3008</v>
      </c>
      <c r="R4" t="s">
        <v>2809</v>
      </c>
      <c r="S4" t="s">
        <v>93</v>
      </c>
      <c r="T4" t="s">
        <v>1453</v>
      </c>
      <c r="U4" t="s">
        <v>2433</v>
      </c>
      <c r="V4" t="s">
        <v>2443</v>
      </c>
      <c r="W4" t="s">
        <v>89</v>
      </c>
      <c r="X4" t="s">
        <v>3009</v>
      </c>
      <c r="Y4" t="s">
        <v>3010</v>
      </c>
      <c r="Z4" t="s">
        <v>3011</v>
      </c>
      <c r="AA4" t="s">
        <v>93</v>
      </c>
      <c r="AB4" t="s">
        <v>1320</v>
      </c>
      <c r="AC4" t="s">
        <v>3012</v>
      </c>
      <c r="AF4">
        <f>1*Tabela2[[#This Row],[kan_params]]</f>
        <v>2929</v>
      </c>
      <c r="AG4">
        <f>1*Tabela2[[#This Row],[kan_test_acc]]</f>
        <v>1</v>
      </c>
      <c r="AH4">
        <f>1*Tabela2[[#This Row],[mlp_test_acc]]</f>
        <v>0.95555555555555505</v>
      </c>
      <c r="AI4">
        <f>1*Tabela2[[#This Row],[mlp2_test_acc]]</f>
        <v>0.95555555555555505</v>
      </c>
    </row>
    <row r="5" spans="1:35" x14ac:dyDescent="0.25">
      <c r="A5" t="s">
        <v>57</v>
      </c>
      <c r="B5" t="s">
        <v>273</v>
      </c>
      <c r="C5" t="s">
        <v>79</v>
      </c>
      <c r="D5" t="s">
        <v>274</v>
      </c>
      <c r="E5" t="s">
        <v>80</v>
      </c>
      <c r="F5" t="s">
        <v>62</v>
      </c>
      <c r="G5" t="s">
        <v>3013</v>
      </c>
      <c r="H5" t="s">
        <v>3014</v>
      </c>
      <c r="I5" t="s">
        <v>305</v>
      </c>
      <c r="J5" t="s">
        <v>89</v>
      </c>
      <c r="K5" t="s">
        <v>2431</v>
      </c>
      <c r="L5" t="s">
        <v>89</v>
      </c>
      <c r="M5" t="s">
        <v>2433</v>
      </c>
      <c r="N5" t="s">
        <v>2607</v>
      </c>
      <c r="O5" t="s">
        <v>89</v>
      </c>
      <c r="P5" t="s">
        <v>3015</v>
      </c>
      <c r="Q5" t="s">
        <v>3016</v>
      </c>
      <c r="R5" t="s">
        <v>3017</v>
      </c>
      <c r="S5" t="s">
        <v>93</v>
      </c>
      <c r="T5" t="s">
        <v>2376</v>
      </c>
      <c r="U5" t="s">
        <v>2433</v>
      </c>
      <c r="V5" t="s">
        <v>2607</v>
      </c>
      <c r="W5" t="s">
        <v>89</v>
      </c>
      <c r="X5" t="s">
        <v>3018</v>
      </c>
      <c r="Y5" t="s">
        <v>3019</v>
      </c>
      <c r="Z5" t="s">
        <v>2714</v>
      </c>
      <c r="AA5" t="s">
        <v>93</v>
      </c>
      <c r="AB5" t="s">
        <v>2379</v>
      </c>
      <c r="AC5" t="s">
        <v>3020</v>
      </c>
      <c r="AF5">
        <f>1*Tabela2[[#This Row],[kan_params]]</f>
        <v>5608</v>
      </c>
      <c r="AG5">
        <f>1*Tabela2[[#This Row],[kan_test_acc]]</f>
        <v>1</v>
      </c>
      <c r="AH5">
        <f>1*Tabela2[[#This Row],[mlp_test_acc]]</f>
        <v>0.95555555555555505</v>
      </c>
      <c r="AI5">
        <f>1*Tabela2[[#This Row],[mlp2_test_acc]]</f>
        <v>0.95555555555555505</v>
      </c>
    </row>
    <row r="6" spans="1:35" x14ac:dyDescent="0.25">
      <c r="A6" t="s">
        <v>57</v>
      </c>
      <c r="B6" t="s">
        <v>273</v>
      </c>
      <c r="C6" t="s">
        <v>79</v>
      </c>
      <c r="D6" t="s">
        <v>274</v>
      </c>
      <c r="E6" t="s">
        <v>80</v>
      </c>
      <c r="F6" t="s">
        <v>63</v>
      </c>
      <c r="G6" t="s">
        <v>3021</v>
      </c>
      <c r="H6" t="s">
        <v>3022</v>
      </c>
      <c r="I6" t="s">
        <v>1659</v>
      </c>
      <c r="J6" t="s">
        <v>89</v>
      </c>
      <c r="K6" t="s">
        <v>2431</v>
      </c>
      <c r="L6" t="s">
        <v>89</v>
      </c>
      <c r="M6" t="s">
        <v>2433</v>
      </c>
      <c r="N6" t="s">
        <v>2607</v>
      </c>
      <c r="O6" t="s">
        <v>89</v>
      </c>
      <c r="P6" t="s">
        <v>3023</v>
      </c>
      <c r="Q6" t="s">
        <v>3024</v>
      </c>
      <c r="R6" t="s">
        <v>2936</v>
      </c>
      <c r="S6" t="s">
        <v>93</v>
      </c>
      <c r="T6" t="s">
        <v>2937</v>
      </c>
      <c r="U6" t="s">
        <v>2433</v>
      </c>
      <c r="V6" t="s">
        <v>2443</v>
      </c>
      <c r="W6" t="s">
        <v>89</v>
      </c>
      <c r="X6" t="s">
        <v>3025</v>
      </c>
      <c r="Y6" t="s">
        <v>3026</v>
      </c>
      <c r="Z6" t="s">
        <v>2475</v>
      </c>
      <c r="AA6" t="s">
        <v>93</v>
      </c>
      <c r="AB6" t="s">
        <v>2476</v>
      </c>
      <c r="AC6" t="s">
        <v>3027</v>
      </c>
      <c r="AF6">
        <f>1*Tabela2[[#This Row],[kan_params]]</f>
        <v>6783</v>
      </c>
      <c r="AG6">
        <f>1*Tabela2[[#This Row],[kan_test_acc]]</f>
        <v>1</v>
      </c>
      <c r="AH6">
        <f>1*Tabela2[[#This Row],[mlp_test_acc]]</f>
        <v>0.95555555555555505</v>
      </c>
      <c r="AI6">
        <f>1*Tabela2[[#This Row],[mlp2_test_acc]]</f>
        <v>0.95555555555555505</v>
      </c>
    </row>
    <row r="7" spans="1:35" x14ac:dyDescent="0.25">
      <c r="A7" t="s">
        <v>57</v>
      </c>
      <c r="B7" t="s">
        <v>273</v>
      </c>
      <c r="C7" t="s">
        <v>79</v>
      </c>
      <c r="D7" t="s">
        <v>274</v>
      </c>
      <c r="E7" t="s">
        <v>80</v>
      </c>
      <c r="F7" t="s">
        <v>64</v>
      </c>
      <c r="G7" t="s">
        <v>3028</v>
      </c>
      <c r="H7" t="s">
        <v>3029</v>
      </c>
      <c r="I7" t="s">
        <v>3030</v>
      </c>
      <c r="J7" t="s">
        <v>89</v>
      </c>
      <c r="K7" t="s">
        <v>2431</v>
      </c>
      <c r="L7" t="s">
        <v>89</v>
      </c>
      <c r="M7" t="s">
        <v>2433</v>
      </c>
      <c r="N7" t="s">
        <v>2607</v>
      </c>
      <c r="O7" t="s">
        <v>89</v>
      </c>
      <c r="P7" t="s">
        <v>3031</v>
      </c>
      <c r="Q7" t="s">
        <v>3032</v>
      </c>
      <c r="R7" t="s">
        <v>2511</v>
      </c>
      <c r="S7" t="s">
        <v>93</v>
      </c>
      <c r="T7" t="s">
        <v>2081</v>
      </c>
      <c r="U7" t="s">
        <v>2433</v>
      </c>
      <c r="V7" t="s">
        <v>2607</v>
      </c>
      <c r="W7" t="s">
        <v>89</v>
      </c>
      <c r="X7" t="s">
        <v>3033</v>
      </c>
      <c r="Y7" t="s">
        <v>3034</v>
      </c>
      <c r="Z7" t="s">
        <v>2486</v>
      </c>
      <c r="AA7" t="s">
        <v>93</v>
      </c>
      <c r="AB7" t="s">
        <v>281</v>
      </c>
      <c r="AC7" t="s">
        <v>3035</v>
      </c>
      <c r="AF7">
        <f>1*Tabela2[[#This Row],[kan_params]]</f>
        <v>7958</v>
      </c>
      <c r="AG7">
        <f>1*Tabela2[[#This Row],[kan_test_acc]]</f>
        <v>1</v>
      </c>
      <c r="AH7">
        <f>1*Tabela2[[#This Row],[mlp_test_acc]]</f>
        <v>0.95555555555555505</v>
      </c>
      <c r="AI7">
        <f>1*Tabela2[[#This Row],[mlp2_test_acc]]</f>
        <v>0.95555555555555505</v>
      </c>
    </row>
    <row r="8" spans="1:35" x14ac:dyDescent="0.25">
      <c r="A8" t="s">
        <v>57</v>
      </c>
      <c r="B8" t="s">
        <v>273</v>
      </c>
      <c r="C8" t="s">
        <v>79</v>
      </c>
      <c r="D8" t="s">
        <v>274</v>
      </c>
      <c r="E8" t="s">
        <v>80</v>
      </c>
      <c r="F8" t="s">
        <v>66</v>
      </c>
      <c r="G8" t="s">
        <v>3045</v>
      </c>
      <c r="H8" t="s">
        <v>3046</v>
      </c>
      <c r="I8" t="s">
        <v>3047</v>
      </c>
      <c r="J8" t="s">
        <v>89</v>
      </c>
      <c r="K8" t="s">
        <v>89</v>
      </c>
      <c r="L8" t="s">
        <v>89</v>
      </c>
      <c r="M8" t="s">
        <v>2433</v>
      </c>
      <c r="N8" t="s">
        <v>2443</v>
      </c>
      <c r="O8" t="s">
        <v>89</v>
      </c>
      <c r="P8" t="s">
        <v>3048</v>
      </c>
      <c r="Q8" t="s">
        <v>3049</v>
      </c>
      <c r="R8" t="s">
        <v>2448</v>
      </c>
      <c r="S8" t="s">
        <v>93</v>
      </c>
      <c r="T8" t="s">
        <v>2173</v>
      </c>
      <c r="U8" t="s">
        <v>2433</v>
      </c>
      <c r="V8" t="s">
        <v>2607</v>
      </c>
      <c r="W8" t="s">
        <v>89</v>
      </c>
      <c r="X8" t="s">
        <v>3050</v>
      </c>
      <c r="Y8" t="s">
        <v>3051</v>
      </c>
      <c r="Z8" t="s">
        <v>2511</v>
      </c>
      <c r="AA8" t="s">
        <v>93</v>
      </c>
      <c r="AB8" t="s">
        <v>2081</v>
      </c>
      <c r="AC8" t="s">
        <v>3052</v>
      </c>
      <c r="AF8">
        <f>1*Tabela2[[#This Row],[kan_params]]</f>
        <v>7591</v>
      </c>
      <c r="AG8">
        <f>1*Tabela2[[#This Row],[kan_test_acc]]</f>
        <v>1</v>
      </c>
      <c r="AH8">
        <f>1*Tabela2[[#This Row],[mlp_test_acc]]</f>
        <v>0.95555555555555505</v>
      </c>
      <c r="AI8">
        <f>1*Tabela2[[#This Row],[mlp2_test_acc]]</f>
        <v>0.95555555555555505</v>
      </c>
    </row>
    <row r="9" spans="1:35" x14ac:dyDescent="0.25">
      <c r="A9" t="s">
        <v>57</v>
      </c>
      <c r="B9" t="s">
        <v>273</v>
      </c>
      <c r="C9" t="s">
        <v>79</v>
      </c>
      <c r="D9" t="s">
        <v>274</v>
      </c>
      <c r="E9" t="s">
        <v>80</v>
      </c>
      <c r="F9" t="s">
        <v>67</v>
      </c>
      <c r="G9" t="s">
        <v>3053</v>
      </c>
      <c r="H9" t="s">
        <v>3054</v>
      </c>
      <c r="I9" t="s">
        <v>3055</v>
      </c>
      <c r="J9" t="s">
        <v>89</v>
      </c>
      <c r="K9" t="s">
        <v>2431</v>
      </c>
      <c r="L9" t="s">
        <v>89</v>
      </c>
      <c r="M9" t="s">
        <v>2433</v>
      </c>
      <c r="N9" t="s">
        <v>2443</v>
      </c>
      <c r="O9" t="s">
        <v>89</v>
      </c>
      <c r="P9" t="s">
        <v>3056</v>
      </c>
      <c r="Q9" t="s">
        <v>3057</v>
      </c>
      <c r="R9" t="s">
        <v>2459</v>
      </c>
      <c r="S9" t="s">
        <v>93</v>
      </c>
      <c r="T9" t="s">
        <v>2460</v>
      </c>
      <c r="U9" t="s">
        <v>2433</v>
      </c>
      <c r="V9" t="s">
        <v>2443</v>
      </c>
      <c r="W9" t="s">
        <v>89</v>
      </c>
      <c r="X9" t="s">
        <v>3058</v>
      </c>
      <c r="Y9" t="s">
        <v>3059</v>
      </c>
      <c r="Z9" t="s">
        <v>2519</v>
      </c>
      <c r="AA9" t="s">
        <v>93</v>
      </c>
      <c r="AB9" t="s">
        <v>2187</v>
      </c>
      <c r="AC9" t="s">
        <v>3060</v>
      </c>
      <c r="AF9">
        <f>1*Tabela2[[#This Row],[kan_params]]</f>
        <v>8896</v>
      </c>
      <c r="AG9">
        <f>1*Tabela2[[#This Row],[kan_test_acc]]</f>
        <v>1</v>
      </c>
      <c r="AH9">
        <f>1*Tabela2[[#This Row],[mlp_test_acc]]</f>
        <v>0.95555555555555505</v>
      </c>
      <c r="AI9">
        <f>1*Tabela2[[#This Row],[mlp2_test_acc]]</f>
        <v>0.95555555555555505</v>
      </c>
    </row>
    <row r="10" spans="1:35" x14ac:dyDescent="0.25">
      <c r="A10" t="s">
        <v>57</v>
      </c>
      <c r="B10" t="s">
        <v>273</v>
      </c>
      <c r="C10" t="s">
        <v>79</v>
      </c>
      <c r="D10" t="s">
        <v>274</v>
      </c>
      <c r="E10" t="s">
        <v>80</v>
      </c>
      <c r="F10" t="s">
        <v>68</v>
      </c>
      <c r="G10" t="s">
        <v>3061</v>
      </c>
      <c r="H10" t="s">
        <v>3062</v>
      </c>
      <c r="I10" t="s">
        <v>3063</v>
      </c>
      <c r="J10" t="s">
        <v>89</v>
      </c>
      <c r="K10" t="s">
        <v>89</v>
      </c>
      <c r="L10" t="s">
        <v>89</v>
      </c>
      <c r="M10" t="s">
        <v>2433</v>
      </c>
      <c r="N10" t="s">
        <v>2443</v>
      </c>
      <c r="O10" t="s">
        <v>89</v>
      </c>
      <c r="P10" t="s">
        <v>3064</v>
      </c>
      <c r="Q10" t="s">
        <v>3065</v>
      </c>
      <c r="R10" t="s">
        <v>2475</v>
      </c>
      <c r="S10" t="s">
        <v>93</v>
      </c>
      <c r="T10" t="s">
        <v>2476</v>
      </c>
      <c r="U10" t="s">
        <v>2433</v>
      </c>
      <c r="V10" t="s">
        <v>2607</v>
      </c>
      <c r="W10" t="s">
        <v>89</v>
      </c>
      <c r="X10" t="s">
        <v>3066</v>
      </c>
      <c r="Y10" t="s">
        <v>3067</v>
      </c>
      <c r="Z10" t="s">
        <v>2479</v>
      </c>
      <c r="AA10" t="s">
        <v>93</v>
      </c>
      <c r="AB10" t="s">
        <v>2198</v>
      </c>
      <c r="AC10" t="s">
        <v>3068</v>
      </c>
      <c r="AF10">
        <f>1*Tabela2[[#This Row],[kan_params]]</f>
        <v>6964</v>
      </c>
      <c r="AG10">
        <f>1*Tabela2[[#This Row],[kan_test_acc]]</f>
        <v>1</v>
      </c>
      <c r="AH10">
        <f>1*Tabela2[[#This Row],[mlp_test_acc]]</f>
        <v>0.95555555555555505</v>
      </c>
      <c r="AI10">
        <f>1*Tabela2[[#This Row],[mlp2_test_acc]]</f>
        <v>0.95555555555555505</v>
      </c>
    </row>
    <row r="11" spans="1:35" x14ac:dyDescent="0.25">
      <c r="A11" t="s">
        <v>57</v>
      </c>
      <c r="B11" t="s">
        <v>273</v>
      </c>
      <c r="C11" t="s">
        <v>79</v>
      </c>
      <c r="D11" t="s">
        <v>274</v>
      </c>
      <c r="E11" t="s">
        <v>80</v>
      </c>
      <c r="F11" t="s">
        <v>69</v>
      </c>
      <c r="G11" t="s">
        <v>3069</v>
      </c>
      <c r="H11" t="s">
        <v>3070</v>
      </c>
      <c r="I11" t="s">
        <v>3071</v>
      </c>
      <c r="J11" t="s">
        <v>89</v>
      </c>
      <c r="K11" t="s">
        <v>2431</v>
      </c>
      <c r="L11" t="s">
        <v>89</v>
      </c>
      <c r="M11" t="s">
        <v>2433</v>
      </c>
      <c r="N11" t="s">
        <v>2443</v>
      </c>
      <c r="O11" t="s">
        <v>89</v>
      </c>
      <c r="P11" t="s">
        <v>3072</v>
      </c>
      <c r="Q11" t="s">
        <v>3073</v>
      </c>
      <c r="R11" t="s">
        <v>2489</v>
      </c>
      <c r="S11" t="s">
        <v>93</v>
      </c>
      <c r="T11" t="s">
        <v>285</v>
      </c>
      <c r="U11" t="s">
        <v>2433</v>
      </c>
      <c r="V11" t="s">
        <v>2607</v>
      </c>
      <c r="W11" t="s">
        <v>89</v>
      </c>
      <c r="X11" t="s">
        <v>3074</v>
      </c>
      <c r="Y11" t="s">
        <v>3075</v>
      </c>
      <c r="Z11" t="s">
        <v>2456</v>
      </c>
      <c r="AA11" t="s">
        <v>93</v>
      </c>
      <c r="AB11" t="s">
        <v>2257</v>
      </c>
      <c r="AC11" t="s">
        <v>3076</v>
      </c>
      <c r="AF11">
        <f>1*Tabela2[[#This Row],[kan_params]]</f>
        <v>8399</v>
      </c>
      <c r="AG11">
        <f>1*Tabela2[[#This Row],[kan_test_acc]]</f>
        <v>1</v>
      </c>
      <c r="AH11">
        <f>1*Tabela2[[#This Row],[mlp_test_acc]]</f>
        <v>0.95555555555555505</v>
      </c>
      <c r="AI11">
        <f>1*Tabela2[[#This Row],[mlp2_test_acc]]</f>
        <v>0.95555555555555505</v>
      </c>
    </row>
    <row r="12" spans="1:35" x14ac:dyDescent="0.25">
      <c r="A12" t="s">
        <v>57</v>
      </c>
      <c r="B12" t="s">
        <v>273</v>
      </c>
      <c r="C12" t="s">
        <v>79</v>
      </c>
      <c r="D12" t="s">
        <v>274</v>
      </c>
      <c r="E12" t="s">
        <v>80</v>
      </c>
      <c r="F12" t="s">
        <v>72</v>
      </c>
      <c r="G12" t="s">
        <v>3093</v>
      </c>
      <c r="H12" t="s">
        <v>3094</v>
      </c>
      <c r="I12" t="s">
        <v>3095</v>
      </c>
      <c r="J12" t="s">
        <v>89</v>
      </c>
      <c r="K12" t="s">
        <v>89</v>
      </c>
      <c r="L12" t="s">
        <v>89</v>
      </c>
      <c r="M12" t="s">
        <v>2433</v>
      </c>
      <c r="N12" t="s">
        <v>2607</v>
      </c>
      <c r="O12" t="s">
        <v>89</v>
      </c>
      <c r="P12" t="s">
        <v>3096</v>
      </c>
      <c r="Q12" t="s">
        <v>3097</v>
      </c>
      <c r="R12" t="s">
        <v>2448</v>
      </c>
      <c r="S12" t="s">
        <v>93</v>
      </c>
      <c r="T12" t="s">
        <v>2173</v>
      </c>
      <c r="U12" t="s">
        <v>2436</v>
      </c>
      <c r="V12" t="s">
        <v>2607</v>
      </c>
      <c r="W12" t="s">
        <v>89</v>
      </c>
      <c r="X12" t="s">
        <v>3098</v>
      </c>
      <c r="Y12" t="s">
        <v>3099</v>
      </c>
      <c r="Z12" t="s">
        <v>2511</v>
      </c>
      <c r="AA12" t="s">
        <v>93</v>
      </c>
      <c r="AB12" t="s">
        <v>2081</v>
      </c>
      <c r="AC12" t="s">
        <v>3100</v>
      </c>
      <c r="AF12">
        <f>1*Tabela2[[#This Row],[kan_params]]</f>
        <v>7642</v>
      </c>
      <c r="AG12">
        <f>1*Tabela2[[#This Row],[kan_test_acc]]</f>
        <v>1</v>
      </c>
      <c r="AH12">
        <f>1*Tabela2[[#This Row],[mlp_test_acc]]</f>
        <v>0.95555555555555505</v>
      </c>
      <c r="AI12">
        <f>1*Tabela2[[#This Row],[mlp2_test_acc]]</f>
        <v>0.93333333333333302</v>
      </c>
    </row>
    <row r="13" spans="1:35" x14ac:dyDescent="0.25">
      <c r="A13" t="s">
        <v>57</v>
      </c>
      <c r="B13" t="s">
        <v>78</v>
      </c>
      <c r="C13" t="s">
        <v>666</v>
      </c>
      <c r="D13" t="s">
        <v>274</v>
      </c>
      <c r="E13" t="s">
        <v>80</v>
      </c>
      <c r="F13" t="s">
        <v>72</v>
      </c>
      <c r="G13" t="s">
        <v>3226</v>
      </c>
      <c r="H13" t="s">
        <v>3227</v>
      </c>
      <c r="I13" t="s">
        <v>3116</v>
      </c>
      <c r="J13" t="s">
        <v>89</v>
      </c>
      <c r="K13" t="s">
        <v>2431</v>
      </c>
      <c r="L13" t="s">
        <v>89</v>
      </c>
      <c r="M13" t="s">
        <v>2433</v>
      </c>
      <c r="N13" t="s">
        <v>2443</v>
      </c>
      <c r="O13" t="s">
        <v>89</v>
      </c>
      <c r="P13" t="s">
        <v>3214</v>
      </c>
      <c r="Q13" t="s">
        <v>3228</v>
      </c>
      <c r="R13" t="s">
        <v>2456</v>
      </c>
      <c r="S13" t="s">
        <v>93</v>
      </c>
      <c r="T13" t="s">
        <v>2257</v>
      </c>
      <c r="U13" t="s">
        <v>3133</v>
      </c>
      <c r="V13" t="s">
        <v>3143</v>
      </c>
      <c r="W13" t="s">
        <v>3229</v>
      </c>
      <c r="X13" t="s">
        <v>160</v>
      </c>
      <c r="Y13" t="s">
        <v>3230</v>
      </c>
      <c r="Z13" t="s">
        <v>2459</v>
      </c>
      <c r="AA13" t="s">
        <v>93</v>
      </c>
      <c r="AB13" t="s">
        <v>2460</v>
      </c>
      <c r="AC13" t="s">
        <v>3231</v>
      </c>
      <c r="AF13">
        <f>1*Tabela2[[#This Row],[kan_params]]</f>
        <v>8812</v>
      </c>
      <c r="AG13">
        <f>1*Tabela2[[#This Row],[kan_test_acc]]</f>
        <v>1</v>
      </c>
      <c r="AH13">
        <f>1*Tabela2[[#This Row],[mlp_test_acc]]</f>
        <v>0.95555555555555505</v>
      </c>
      <c r="AI13">
        <f>1*Tabela2[[#This Row],[mlp2_test_acc]]</f>
        <v>0.28888888888888797</v>
      </c>
    </row>
    <row r="14" spans="1:35" x14ac:dyDescent="0.25">
      <c r="A14" t="s">
        <v>57</v>
      </c>
      <c r="B14" t="s">
        <v>78</v>
      </c>
      <c r="C14" t="s">
        <v>666</v>
      </c>
      <c r="D14" t="s">
        <v>274</v>
      </c>
      <c r="E14" t="s">
        <v>80</v>
      </c>
      <c r="F14" t="s">
        <v>73</v>
      </c>
      <c r="G14" t="s">
        <v>3232</v>
      </c>
      <c r="H14" t="s">
        <v>3233</v>
      </c>
      <c r="I14" t="s">
        <v>305</v>
      </c>
      <c r="J14" t="s">
        <v>89</v>
      </c>
      <c r="K14" t="s">
        <v>89</v>
      </c>
      <c r="L14" t="s">
        <v>89</v>
      </c>
      <c r="M14" t="s">
        <v>2433</v>
      </c>
      <c r="N14" t="s">
        <v>2443</v>
      </c>
      <c r="O14" t="s">
        <v>89</v>
      </c>
      <c r="P14" t="s">
        <v>3148</v>
      </c>
      <c r="Q14" t="s">
        <v>3234</v>
      </c>
      <c r="R14" t="s">
        <v>2551</v>
      </c>
      <c r="S14" t="s">
        <v>93</v>
      </c>
      <c r="T14" t="s">
        <v>1860</v>
      </c>
      <c r="U14" t="s">
        <v>3133</v>
      </c>
      <c r="V14" t="s">
        <v>3235</v>
      </c>
      <c r="W14" t="s">
        <v>3229</v>
      </c>
      <c r="X14" t="s">
        <v>160</v>
      </c>
      <c r="Y14" t="s">
        <v>3236</v>
      </c>
      <c r="Z14" t="s">
        <v>2531</v>
      </c>
      <c r="AA14" t="s">
        <v>93</v>
      </c>
      <c r="AB14" t="s">
        <v>2098</v>
      </c>
      <c r="AC14" t="s">
        <v>3237</v>
      </c>
      <c r="AF14">
        <f>1*Tabela2[[#This Row],[kan_params]]</f>
        <v>10617</v>
      </c>
      <c r="AG14">
        <f>1*Tabela2[[#This Row],[kan_test_acc]]</f>
        <v>1</v>
      </c>
      <c r="AH14">
        <f>1*Tabela2[[#This Row],[mlp_test_acc]]</f>
        <v>0.95555555555555505</v>
      </c>
      <c r="AI14">
        <f>1*Tabela2[[#This Row],[mlp2_test_acc]]</f>
        <v>0.28888888888888797</v>
      </c>
    </row>
    <row r="15" spans="1:35" x14ac:dyDescent="0.25">
      <c r="A15" t="s">
        <v>57</v>
      </c>
      <c r="B15" t="s">
        <v>814</v>
      </c>
      <c r="C15" t="s">
        <v>666</v>
      </c>
      <c r="D15" t="s">
        <v>79</v>
      </c>
      <c r="E15" t="s">
        <v>80</v>
      </c>
      <c r="F15" t="s">
        <v>58</v>
      </c>
      <c r="G15" t="s">
        <v>3257</v>
      </c>
      <c r="H15" t="s">
        <v>3258</v>
      </c>
      <c r="I15" t="s">
        <v>140</v>
      </c>
      <c r="J15" t="s">
        <v>3259</v>
      </c>
      <c r="K15" t="s">
        <v>89</v>
      </c>
      <c r="L15" t="s">
        <v>89</v>
      </c>
      <c r="M15" t="s">
        <v>2433</v>
      </c>
      <c r="N15" t="s">
        <v>2443</v>
      </c>
      <c r="O15" t="s">
        <v>89</v>
      </c>
      <c r="P15" t="s">
        <v>3260</v>
      </c>
      <c r="Q15" t="s">
        <v>3261</v>
      </c>
      <c r="R15" t="s">
        <v>2936</v>
      </c>
      <c r="S15" t="s">
        <v>93</v>
      </c>
      <c r="T15" t="s">
        <v>2937</v>
      </c>
      <c r="U15" t="s">
        <v>3133</v>
      </c>
      <c r="V15" t="s">
        <v>3262</v>
      </c>
      <c r="W15" t="s">
        <v>3229</v>
      </c>
      <c r="X15" t="s">
        <v>160</v>
      </c>
      <c r="Y15" t="s">
        <v>3263</v>
      </c>
      <c r="Z15" t="s">
        <v>2475</v>
      </c>
      <c r="AA15" t="s">
        <v>93</v>
      </c>
      <c r="AB15" t="s">
        <v>2476</v>
      </c>
      <c r="AC15" t="s">
        <v>3264</v>
      </c>
      <c r="AF15">
        <f>1*Tabela2[[#This Row],[kan_params]]</f>
        <v>6815</v>
      </c>
      <c r="AG15">
        <f>1*Tabela2[[#This Row],[kan_test_acc]]</f>
        <v>1</v>
      </c>
      <c r="AH15">
        <f>1*Tabela2[[#This Row],[mlp_test_acc]]</f>
        <v>0.95555555555555505</v>
      </c>
      <c r="AI15">
        <f>1*Tabela2[[#This Row],[mlp2_test_acc]]</f>
        <v>0.28888888888888797</v>
      </c>
    </row>
    <row r="16" spans="1:35" x14ac:dyDescent="0.25">
      <c r="A16" t="s">
        <v>57</v>
      </c>
      <c r="B16" t="s">
        <v>814</v>
      </c>
      <c r="C16" t="s">
        <v>666</v>
      </c>
      <c r="D16" t="s">
        <v>79</v>
      </c>
      <c r="E16" t="s">
        <v>80</v>
      </c>
      <c r="F16" t="s">
        <v>59</v>
      </c>
      <c r="G16" t="s">
        <v>3265</v>
      </c>
      <c r="H16" t="s">
        <v>3266</v>
      </c>
      <c r="I16" t="s">
        <v>1113</v>
      </c>
      <c r="J16" t="s">
        <v>89</v>
      </c>
      <c r="K16" t="s">
        <v>89</v>
      </c>
      <c r="L16" t="s">
        <v>89</v>
      </c>
      <c r="M16" t="s">
        <v>89</v>
      </c>
      <c r="N16" t="s">
        <v>2443</v>
      </c>
      <c r="O16" t="s">
        <v>89</v>
      </c>
      <c r="P16" t="s">
        <v>3267</v>
      </c>
      <c r="Q16" t="s">
        <v>3268</v>
      </c>
      <c r="R16" t="s">
        <v>2486</v>
      </c>
      <c r="S16" t="s">
        <v>93</v>
      </c>
      <c r="T16" t="s">
        <v>281</v>
      </c>
      <c r="U16" t="s">
        <v>3133</v>
      </c>
      <c r="V16" t="s">
        <v>3241</v>
      </c>
      <c r="W16" t="s">
        <v>3229</v>
      </c>
      <c r="X16" t="s">
        <v>160</v>
      </c>
      <c r="Y16" t="s">
        <v>3269</v>
      </c>
      <c r="Z16" t="s">
        <v>2489</v>
      </c>
      <c r="AA16" t="s">
        <v>93</v>
      </c>
      <c r="AB16" t="s">
        <v>285</v>
      </c>
      <c r="AC16" t="s">
        <v>3270</v>
      </c>
      <c r="AF16">
        <f>1*Tabela2[[#This Row],[kan_params]]</f>
        <v>8260</v>
      </c>
      <c r="AG16">
        <f>1*Tabela2[[#This Row],[kan_test_acc]]</f>
        <v>1</v>
      </c>
      <c r="AH16">
        <f>1*Tabela2[[#This Row],[mlp_test_acc]]</f>
        <v>1</v>
      </c>
      <c r="AI16">
        <f>1*Tabela2[[#This Row],[mlp2_test_acc]]</f>
        <v>0.28888888888888797</v>
      </c>
    </row>
    <row r="17" spans="1:35" x14ac:dyDescent="0.25">
      <c r="A17" t="s">
        <v>57</v>
      </c>
      <c r="B17" t="s">
        <v>814</v>
      </c>
      <c r="C17" t="s">
        <v>666</v>
      </c>
      <c r="D17" t="s">
        <v>79</v>
      </c>
      <c r="E17" t="s">
        <v>80</v>
      </c>
      <c r="F17" t="s">
        <v>61</v>
      </c>
      <c r="G17" t="s">
        <v>3276</v>
      </c>
      <c r="H17" t="s">
        <v>3277</v>
      </c>
      <c r="I17" t="s">
        <v>812</v>
      </c>
      <c r="J17" t="s">
        <v>89</v>
      </c>
      <c r="K17" t="s">
        <v>89</v>
      </c>
      <c r="L17" t="s">
        <v>89</v>
      </c>
      <c r="M17" t="s">
        <v>2433</v>
      </c>
      <c r="N17" t="s">
        <v>2443</v>
      </c>
      <c r="O17" t="s">
        <v>89</v>
      </c>
      <c r="P17" t="s">
        <v>3278</v>
      </c>
      <c r="Q17" t="s">
        <v>3279</v>
      </c>
      <c r="R17" t="s">
        <v>3089</v>
      </c>
      <c r="S17" t="s">
        <v>93</v>
      </c>
      <c r="T17" t="s">
        <v>1592</v>
      </c>
      <c r="U17" t="s">
        <v>3133</v>
      </c>
      <c r="V17" t="s">
        <v>3254</v>
      </c>
      <c r="W17" t="s">
        <v>3229</v>
      </c>
      <c r="X17" t="s">
        <v>160</v>
      </c>
      <c r="Y17" t="s">
        <v>3280</v>
      </c>
      <c r="Z17" t="s">
        <v>2652</v>
      </c>
      <c r="AA17" t="s">
        <v>93</v>
      </c>
      <c r="AB17" t="s">
        <v>2021</v>
      </c>
      <c r="AC17" t="s">
        <v>3281</v>
      </c>
      <c r="AF17">
        <f>1*Tabela2[[#This Row],[kan_params]]</f>
        <v>4049</v>
      </c>
      <c r="AG17">
        <f>1*Tabela2[[#This Row],[kan_test_acc]]</f>
        <v>1</v>
      </c>
      <c r="AH17">
        <f>1*Tabela2[[#This Row],[mlp_test_acc]]</f>
        <v>0.95555555555555505</v>
      </c>
      <c r="AI17">
        <f>1*Tabela2[[#This Row],[mlp2_test_acc]]</f>
        <v>0.28888888888888797</v>
      </c>
    </row>
    <row r="18" spans="1:35" x14ac:dyDescent="0.25">
      <c r="A18" t="s">
        <v>57</v>
      </c>
      <c r="B18" t="s">
        <v>814</v>
      </c>
      <c r="C18" t="s">
        <v>666</v>
      </c>
      <c r="D18" t="s">
        <v>79</v>
      </c>
      <c r="E18" t="s">
        <v>80</v>
      </c>
      <c r="F18" t="s">
        <v>62</v>
      </c>
      <c r="G18" t="s">
        <v>3282</v>
      </c>
      <c r="H18" t="s">
        <v>3283</v>
      </c>
      <c r="I18" t="s">
        <v>775</v>
      </c>
      <c r="J18" t="s">
        <v>3185</v>
      </c>
      <c r="K18" t="s">
        <v>89</v>
      </c>
      <c r="L18" t="s">
        <v>89</v>
      </c>
      <c r="M18" t="s">
        <v>2433</v>
      </c>
      <c r="N18" t="s">
        <v>2443</v>
      </c>
      <c r="O18" t="s">
        <v>89</v>
      </c>
      <c r="P18" t="s">
        <v>3160</v>
      </c>
      <c r="Q18" t="s">
        <v>3284</v>
      </c>
      <c r="R18" t="s">
        <v>2448</v>
      </c>
      <c r="S18" t="s">
        <v>93</v>
      </c>
      <c r="T18" t="s">
        <v>2173</v>
      </c>
      <c r="U18" t="s">
        <v>3133</v>
      </c>
      <c r="V18" t="s">
        <v>3241</v>
      </c>
      <c r="W18" t="s">
        <v>3229</v>
      </c>
      <c r="X18" t="s">
        <v>160</v>
      </c>
      <c r="Y18" t="s">
        <v>3285</v>
      </c>
      <c r="Z18" t="s">
        <v>2511</v>
      </c>
      <c r="AA18" t="s">
        <v>93</v>
      </c>
      <c r="AB18" t="s">
        <v>2081</v>
      </c>
      <c r="AC18" t="s">
        <v>3286</v>
      </c>
      <c r="AF18">
        <f>1*Tabela2[[#This Row],[kan_params]]</f>
        <v>7753</v>
      </c>
      <c r="AG18">
        <f>1*Tabela2[[#This Row],[kan_test_acc]]</f>
        <v>1</v>
      </c>
      <c r="AH18">
        <f>1*Tabela2[[#This Row],[mlp_test_acc]]</f>
        <v>0.95555555555555505</v>
      </c>
      <c r="AI18">
        <f>1*Tabela2[[#This Row],[mlp2_test_acc]]</f>
        <v>0.28888888888888797</v>
      </c>
    </row>
    <row r="19" spans="1:35" x14ac:dyDescent="0.25">
      <c r="A19" t="s">
        <v>57</v>
      </c>
      <c r="B19" t="s">
        <v>814</v>
      </c>
      <c r="C19" t="s">
        <v>666</v>
      </c>
      <c r="D19" t="s">
        <v>79</v>
      </c>
      <c r="E19" t="s">
        <v>80</v>
      </c>
      <c r="F19" t="s">
        <v>64</v>
      </c>
      <c r="G19" t="s">
        <v>3293</v>
      </c>
      <c r="H19" t="s">
        <v>3294</v>
      </c>
      <c r="I19" t="s">
        <v>257</v>
      </c>
      <c r="J19" t="s">
        <v>89</v>
      </c>
      <c r="K19" t="s">
        <v>89</v>
      </c>
      <c r="L19" t="s">
        <v>89</v>
      </c>
      <c r="M19" t="s">
        <v>89</v>
      </c>
      <c r="N19" t="s">
        <v>2443</v>
      </c>
      <c r="O19" t="s">
        <v>89</v>
      </c>
      <c r="P19" t="s">
        <v>3295</v>
      </c>
      <c r="Q19" t="s">
        <v>3296</v>
      </c>
      <c r="R19" t="s">
        <v>2531</v>
      </c>
      <c r="S19" t="s">
        <v>93</v>
      </c>
      <c r="T19" t="s">
        <v>2098</v>
      </c>
      <c r="U19" t="s">
        <v>3133</v>
      </c>
      <c r="V19" t="s">
        <v>3290</v>
      </c>
      <c r="W19" t="s">
        <v>3229</v>
      </c>
      <c r="X19" t="s">
        <v>160</v>
      </c>
      <c r="Y19" t="s">
        <v>3297</v>
      </c>
      <c r="Z19" t="s">
        <v>2533</v>
      </c>
      <c r="AA19" t="s">
        <v>93</v>
      </c>
      <c r="AB19" t="s">
        <v>2534</v>
      </c>
      <c r="AC19" t="s">
        <v>3298</v>
      </c>
      <c r="AF19">
        <f>1*Tabela2[[#This Row],[kan_params]]</f>
        <v>11003</v>
      </c>
      <c r="AG19">
        <f>1*Tabela2[[#This Row],[kan_test_acc]]</f>
        <v>1</v>
      </c>
      <c r="AH19">
        <f>1*Tabela2[[#This Row],[mlp_test_acc]]</f>
        <v>1</v>
      </c>
      <c r="AI19">
        <f>1*Tabela2[[#This Row],[mlp2_test_acc]]</f>
        <v>0.28888888888888797</v>
      </c>
    </row>
    <row r="20" spans="1:35" x14ac:dyDescent="0.25">
      <c r="A20" t="s">
        <v>57</v>
      </c>
      <c r="B20" t="s">
        <v>814</v>
      </c>
      <c r="C20" t="s">
        <v>666</v>
      </c>
      <c r="D20" t="s">
        <v>79</v>
      </c>
      <c r="E20" t="s">
        <v>80</v>
      </c>
      <c r="F20" t="s">
        <v>71</v>
      </c>
      <c r="G20" t="s">
        <v>3334</v>
      </c>
      <c r="H20" t="s">
        <v>3335</v>
      </c>
      <c r="I20" t="s">
        <v>544</v>
      </c>
      <c r="J20" t="s">
        <v>89</v>
      </c>
      <c r="K20" t="s">
        <v>89</v>
      </c>
      <c r="L20" t="s">
        <v>89</v>
      </c>
      <c r="M20" t="s">
        <v>2433</v>
      </c>
      <c r="N20" t="s">
        <v>2443</v>
      </c>
      <c r="O20" t="s">
        <v>89</v>
      </c>
      <c r="P20" t="s">
        <v>3336</v>
      </c>
      <c r="Q20" t="s">
        <v>3337</v>
      </c>
      <c r="R20" t="s">
        <v>3338</v>
      </c>
      <c r="S20" t="s">
        <v>93</v>
      </c>
      <c r="T20" t="s">
        <v>3339</v>
      </c>
      <c r="U20" t="s">
        <v>3133</v>
      </c>
      <c r="V20" t="s">
        <v>3155</v>
      </c>
      <c r="W20" t="s">
        <v>3229</v>
      </c>
      <c r="X20" t="s">
        <v>160</v>
      </c>
      <c r="Y20" t="s">
        <v>3340</v>
      </c>
      <c r="Z20" t="s">
        <v>3017</v>
      </c>
      <c r="AA20" t="s">
        <v>93</v>
      </c>
      <c r="AB20" t="s">
        <v>2376</v>
      </c>
      <c r="AC20" t="s">
        <v>3341</v>
      </c>
      <c r="AF20">
        <f>1*Tabela2[[#This Row],[kan_params]]</f>
        <v>5494</v>
      </c>
      <c r="AG20">
        <f>1*Tabela2[[#This Row],[kan_test_acc]]</f>
        <v>1</v>
      </c>
      <c r="AH20">
        <f>1*Tabela2[[#This Row],[mlp_test_acc]]</f>
        <v>0.95555555555555505</v>
      </c>
      <c r="AI20">
        <f>1*Tabela2[[#This Row],[mlp2_test_acc]]</f>
        <v>0.28888888888888797</v>
      </c>
    </row>
    <row r="21" spans="1:35" x14ac:dyDescent="0.25">
      <c r="A21" t="s">
        <v>57</v>
      </c>
      <c r="B21" t="s">
        <v>814</v>
      </c>
      <c r="C21" t="s">
        <v>666</v>
      </c>
      <c r="D21" t="s">
        <v>79</v>
      </c>
      <c r="E21" t="s">
        <v>80</v>
      </c>
      <c r="F21" t="s">
        <v>72</v>
      </c>
      <c r="G21" t="s">
        <v>3342</v>
      </c>
      <c r="H21" t="s">
        <v>3343</v>
      </c>
      <c r="I21" t="s">
        <v>156</v>
      </c>
      <c r="J21" t="s">
        <v>3185</v>
      </c>
      <c r="K21" t="s">
        <v>89</v>
      </c>
      <c r="L21" t="s">
        <v>89</v>
      </c>
      <c r="M21" t="s">
        <v>2433</v>
      </c>
      <c r="N21" t="s">
        <v>2443</v>
      </c>
      <c r="O21" t="s">
        <v>89</v>
      </c>
      <c r="P21" t="s">
        <v>3295</v>
      </c>
      <c r="Q21" t="s">
        <v>3344</v>
      </c>
      <c r="R21" t="s">
        <v>2551</v>
      </c>
      <c r="S21" t="s">
        <v>93</v>
      </c>
      <c r="T21" t="s">
        <v>1860</v>
      </c>
      <c r="U21" t="s">
        <v>3133</v>
      </c>
      <c r="V21" t="s">
        <v>3345</v>
      </c>
      <c r="W21" t="s">
        <v>3229</v>
      </c>
      <c r="X21" t="s">
        <v>160</v>
      </c>
      <c r="Y21" t="s">
        <v>3346</v>
      </c>
      <c r="Z21" t="s">
        <v>2531</v>
      </c>
      <c r="AA21" t="s">
        <v>93</v>
      </c>
      <c r="AB21" t="s">
        <v>2098</v>
      </c>
      <c r="AC21" t="s">
        <v>3347</v>
      </c>
      <c r="AF21">
        <f>1*Tabela2[[#This Row],[kan_params]]</f>
        <v>10567</v>
      </c>
      <c r="AG21">
        <f>1*Tabela2[[#This Row],[kan_test_acc]]</f>
        <v>1</v>
      </c>
      <c r="AH21">
        <f>1*Tabela2[[#This Row],[mlp_test_acc]]</f>
        <v>0.95555555555555505</v>
      </c>
      <c r="AI21">
        <f>1*Tabela2[[#This Row],[mlp2_test_acc]]</f>
        <v>0.28888888888888797</v>
      </c>
    </row>
    <row r="22" spans="1:35" x14ac:dyDescent="0.25">
      <c r="A22" t="s">
        <v>57</v>
      </c>
      <c r="B22" t="s">
        <v>814</v>
      </c>
      <c r="C22" t="s">
        <v>666</v>
      </c>
      <c r="D22" t="s">
        <v>79</v>
      </c>
      <c r="E22" t="s">
        <v>80</v>
      </c>
      <c r="F22" t="s">
        <v>73</v>
      </c>
      <c r="G22" t="s">
        <v>3348</v>
      </c>
      <c r="H22" t="s">
        <v>3349</v>
      </c>
      <c r="I22" t="s">
        <v>3350</v>
      </c>
      <c r="J22" t="s">
        <v>89</v>
      </c>
      <c r="K22" t="s">
        <v>89</v>
      </c>
      <c r="L22" t="s">
        <v>89</v>
      </c>
      <c r="M22" t="s">
        <v>2433</v>
      </c>
      <c r="N22" t="s">
        <v>2443</v>
      </c>
      <c r="O22" t="s">
        <v>89</v>
      </c>
      <c r="P22" t="s">
        <v>3351</v>
      </c>
      <c r="Q22" t="s">
        <v>3352</v>
      </c>
      <c r="R22" t="s">
        <v>2719</v>
      </c>
      <c r="S22" t="s">
        <v>93</v>
      </c>
      <c r="T22" t="s">
        <v>113</v>
      </c>
      <c r="U22" t="s">
        <v>3133</v>
      </c>
      <c r="V22" t="s">
        <v>3345</v>
      </c>
      <c r="W22" t="s">
        <v>3229</v>
      </c>
      <c r="X22" t="s">
        <v>160</v>
      </c>
      <c r="Y22" t="s">
        <v>3353</v>
      </c>
      <c r="Z22" t="s">
        <v>2592</v>
      </c>
      <c r="AA22" t="s">
        <v>93</v>
      </c>
      <c r="AB22" t="s">
        <v>2593</v>
      </c>
      <c r="AC22" t="s">
        <v>3354</v>
      </c>
      <c r="AF22">
        <f>1*Tabela2[[#This Row],[kan_params]]</f>
        <v>12732</v>
      </c>
      <c r="AG22">
        <f>1*Tabela2[[#This Row],[kan_test_acc]]</f>
        <v>1</v>
      </c>
      <c r="AH22">
        <f>1*Tabela2[[#This Row],[mlp_test_acc]]</f>
        <v>0.95555555555555505</v>
      </c>
      <c r="AI22">
        <f>1*Tabela2[[#This Row],[mlp2_test_acc]]</f>
        <v>0.28888888888888797</v>
      </c>
    </row>
    <row r="23" spans="1:35" x14ac:dyDescent="0.25">
      <c r="A23" t="s">
        <v>57</v>
      </c>
      <c r="B23" t="s">
        <v>814</v>
      </c>
      <c r="C23" t="s">
        <v>666</v>
      </c>
      <c r="D23" t="s">
        <v>79</v>
      </c>
      <c r="E23" t="s">
        <v>80</v>
      </c>
      <c r="F23" t="s">
        <v>75</v>
      </c>
      <c r="G23" t="s">
        <v>3363</v>
      </c>
      <c r="H23" t="s">
        <v>3364</v>
      </c>
      <c r="I23" t="s">
        <v>3365</v>
      </c>
      <c r="J23" t="s">
        <v>89</v>
      </c>
      <c r="K23" t="s">
        <v>89</v>
      </c>
      <c r="L23" t="s">
        <v>89</v>
      </c>
      <c r="M23" t="s">
        <v>2433</v>
      </c>
      <c r="N23" t="s">
        <v>2443</v>
      </c>
      <c r="O23" t="s">
        <v>89</v>
      </c>
      <c r="P23" t="s">
        <v>3160</v>
      </c>
      <c r="Q23" t="s">
        <v>3366</v>
      </c>
      <c r="R23" t="s">
        <v>2475</v>
      </c>
      <c r="S23" t="s">
        <v>93</v>
      </c>
      <c r="T23" t="s">
        <v>2476</v>
      </c>
      <c r="U23" t="s">
        <v>3133</v>
      </c>
      <c r="V23" t="s">
        <v>3290</v>
      </c>
      <c r="W23" t="s">
        <v>3229</v>
      </c>
      <c r="X23" t="s">
        <v>160</v>
      </c>
      <c r="Y23" t="s">
        <v>3367</v>
      </c>
      <c r="Z23" t="s">
        <v>2479</v>
      </c>
      <c r="AA23" t="s">
        <v>93</v>
      </c>
      <c r="AB23" t="s">
        <v>2198</v>
      </c>
      <c r="AC23" t="s">
        <v>3368</v>
      </c>
      <c r="AF23">
        <f>1*Tabela2[[#This Row],[kan_params]]</f>
        <v>6939</v>
      </c>
      <c r="AG23">
        <f>1*Tabela2[[#This Row],[kan_test_acc]]</f>
        <v>1</v>
      </c>
      <c r="AH23">
        <f>1*Tabela2[[#This Row],[mlp_test_acc]]</f>
        <v>0.95555555555555505</v>
      </c>
      <c r="AI23">
        <f>1*Tabela2[[#This Row],[mlp2_test_acc]]</f>
        <v>0.28888888888888797</v>
      </c>
    </row>
    <row r="24" spans="1:35" x14ac:dyDescent="0.25">
      <c r="A24" t="s">
        <v>57</v>
      </c>
      <c r="B24" t="s">
        <v>897</v>
      </c>
      <c r="C24" t="s">
        <v>666</v>
      </c>
      <c r="D24" t="s">
        <v>898</v>
      </c>
      <c r="E24" t="s">
        <v>80</v>
      </c>
      <c r="F24" t="s">
        <v>61</v>
      </c>
      <c r="G24" t="s">
        <v>3398</v>
      </c>
      <c r="H24" t="s">
        <v>3399</v>
      </c>
      <c r="I24" t="s">
        <v>3400</v>
      </c>
      <c r="J24" t="s">
        <v>89</v>
      </c>
      <c r="K24" t="s">
        <v>89</v>
      </c>
      <c r="L24" t="s">
        <v>89</v>
      </c>
      <c r="M24" t="s">
        <v>2433</v>
      </c>
      <c r="N24" t="s">
        <v>2443</v>
      </c>
      <c r="O24" t="s">
        <v>89</v>
      </c>
      <c r="P24" t="s">
        <v>3401</v>
      </c>
      <c r="Q24" t="s">
        <v>3402</v>
      </c>
      <c r="R24" t="s">
        <v>2565</v>
      </c>
      <c r="S24" t="s">
        <v>93</v>
      </c>
      <c r="T24" t="s">
        <v>2089</v>
      </c>
      <c r="U24" t="s">
        <v>3133</v>
      </c>
      <c r="V24" t="s">
        <v>3345</v>
      </c>
      <c r="W24" t="s">
        <v>3229</v>
      </c>
      <c r="X24" t="s">
        <v>160</v>
      </c>
      <c r="Y24" t="s">
        <v>3403</v>
      </c>
      <c r="Z24" t="s">
        <v>2567</v>
      </c>
      <c r="AA24" t="s">
        <v>93</v>
      </c>
      <c r="AB24" t="s">
        <v>2108</v>
      </c>
      <c r="AC24" t="s">
        <v>3404</v>
      </c>
      <c r="AF24">
        <f>1*Tabela2[[#This Row],[kan_params]]</f>
        <v>4721</v>
      </c>
      <c r="AG24">
        <f>1*Tabela2[[#This Row],[kan_test_acc]]</f>
        <v>1</v>
      </c>
      <c r="AH24">
        <f>1*Tabela2[[#This Row],[mlp_test_acc]]</f>
        <v>0.95555555555555505</v>
      </c>
      <c r="AI24">
        <f>1*Tabela2[[#This Row],[mlp2_test_acc]]</f>
        <v>0.28888888888888797</v>
      </c>
    </row>
    <row r="25" spans="1:35" x14ac:dyDescent="0.25">
      <c r="A25" t="s">
        <v>57</v>
      </c>
      <c r="B25" t="s">
        <v>897</v>
      </c>
      <c r="C25" t="s">
        <v>1026</v>
      </c>
      <c r="D25" t="s">
        <v>274</v>
      </c>
      <c r="E25" t="s">
        <v>80</v>
      </c>
      <c r="F25" t="s">
        <v>69</v>
      </c>
      <c r="G25" t="s">
        <v>2732</v>
      </c>
      <c r="H25" t="s">
        <v>3703</v>
      </c>
      <c r="I25" t="s">
        <v>1411</v>
      </c>
      <c r="J25" t="s">
        <v>89</v>
      </c>
      <c r="K25" t="s">
        <v>2431</v>
      </c>
      <c r="L25" t="s">
        <v>89</v>
      </c>
      <c r="M25" t="s">
        <v>3006</v>
      </c>
      <c r="N25" t="s">
        <v>2607</v>
      </c>
      <c r="O25" t="s">
        <v>89</v>
      </c>
      <c r="P25" t="s">
        <v>3618</v>
      </c>
      <c r="Q25" t="s">
        <v>3704</v>
      </c>
      <c r="R25" t="s">
        <v>2557</v>
      </c>
      <c r="S25" t="s">
        <v>93</v>
      </c>
      <c r="T25" t="s">
        <v>374</v>
      </c>
      <c r="U25" t="s">
        <v>3488</v>
      </c>
      <c r="V25" t="s">
        <v>3006</v>
      </c>
      <c r="W25" t="s">
        <v>3604</v>
      </c>
      <c r="X25" t="s">
        <v>160</v>
      </c>
      <c r="Y25" t="s">
        <v>3705</v>
      </c>
      <c r="Z25" t="s">
        <v>2559</v>
      </c>
      <c r="AA25" t="s">
        <v>93</v>
      </c>
      <c r="AB25" t="s">
        <v>109</v>
      </c>
      <c r="AC25" t="s">
        <v>3706</v>
      </c>
      <c r="AF25">
        <f>1*Tabela2[[#This Row],[kan_params]]</f>
        <v>12257</v>
      </c>
      <c r="AG25">
        <f>1*Tabela2[[#This Row],[kan_test_acc]]</f>
        <v>1</v>
      </c>
      <c r="AH25">
        <f>1*Tabela2[[#This Row],[mlp_test_acc]]</f>
        <v>0.88888888888888795</v>
      </c>
      <c r="AI25">
        <f>1*Tabela2[[#This Row],[mlp2_test_acc]]</f>
        <v>0.82222222222222197</v>
      </c>
    </row>
    <row r="26" spans="1:35" x14ac:dyDescent="0.25">
      <c r="A26" t="s">
        <v>57</v>
      </c>
      <c r="B26" t="s">
        <v>897</v>
      </c>
      <c r="C26" t="s">
        <v>1026</v>
      </c>
      <c r="D26" t="s">
        <v>274</v>
      </c>
      <c r="E26" t="s">
        <v>80</v>
      </c>
      <c r="F26" t="s">
        <v>72</v>
      </c>
      <c r="G26" t="s">
        <v>2761</v>
      </c>
      <c r="H26" t="s">
        <v>3716</v>
      </c>
      <c r="I26" t="s">
        <v>1191</v>
      </c>
      <c r="J26" t="s">
        <v>89</v>
      </c>
      <c r="K26" t="s">
        <v>2431</v>
      </c>
      <c r="L26" t="s">
        <v>89</v>
      </c>
      <c r="M26" t="s">
        <v>3006</v>
      </c>
      <c r="N26" t="s">
        <v>2607</v>
      </c>
      <c r="O26" t="s">
        <v>89</v>
      </c>
      <c r="P26" t="s">
        <v>3618</v>
      </c>
      <c r="Q26" t="s">
        <v>3717</v>
      </c>
      <c r="R26" t="s">
        <v>2533</v>
      </c>
      <c r="S26" t="s">
        <v>93</v>
      </c>
      <c r="T26" t="s">
        <v>2534</v>
      </c>
      <c r="U26" t="s">
        <v>3006</v>
      </c>
      <c r="V26" t="s">
        <v>2607</v>
      </c>
      <c r="W26" t="s">
        <v>3395</v>
      </c>
      <c r="X26" t="s">
        <v>160</v>
      </c>
      <c r="Y26" t="s">
        <v>3718</v>
      </c>
      <c r="Z26" t="s">
        <v>2585</v>
      </c>
      <c r="AA26" t="s">
        <v>93</v>
      </c>
      <c r="AB26" t="s">
        <v>820</v>
      </c>
      <c r="AC26" t="s">
        <v>3719</v>
      </c>
      <c r="AF26">
        <f>1*Tabela2[[#This Row],[kan_params]]</f>
        <v>11152</v>
      </c>
      <c r="AG26">
        <f>1*Tabela2[[#This Row],[kan_test_acc]]</f>
        <v>1</v>
      </c>
      <c r="AH26">
        <f>1*Tabela2[[#This Row],[mlp_test_acc]]</f>
        <v>0.88888888888888795</v>
      </c>
      <c r="AI26">
        <f>1*Tabela2[[#This Row],[mlp2_test_acc]]</f>
        <v>0.88888888888888795</v>
      </c>
    </row>
    <row r="27" spans="1:35" x14ac:dyDescent="0.25">
      <c r="A27" t="s">
        <v>57</v>
      </c>
      <c r="B27" t="s">
        <v>897</v>
      </c>
      <c r="C27" t="s">
        <v>1026</v>
      </c>
      <c r="D27" t="s">
        <v>274</v>
      </c>
      <c r="E27" t="s">
        <v>80</v>
      </c>
      <c r="F27" t="s">
        <v>73</v>
      </c>
      <c r="G27" t="s">
        <v>2771</v>
      </c>
      <c r="H27" t="s">
        <v>3720</v>
      </c>
      <c r="I27" t="s">
        <v>1191</v>
      </c>
      <c r="J27" t="s">
        <v>89</v>
      </c>
      <c r="K27" t="s">
        <v>89</v>
      </c>
      <c r="L27" t="s">
        <v>89</v>
      </c>
      <c r="M27" t="s">
        <v>3006</v>
      </c>
      <c r="N27" t="s">
        <v>2607</v>
      </c>
      <c r="O27" t="s">
        <v>89</v>
      </c>
      <c r="P27" t="s">
        <v>3618</v>
      </c>
      <c r="Q27" t="s">
        <v>3721</v>
      </c>
      <c r="R27" t="s">
        <v>2596</v>
      </c>
      <c r="S27" t="s">
        <v>93</v>
      </c>
      <c r="T27" t="s">
        <v>2597</v>
      </c>
      <c r="U27" t="s">
        <v>3006</v>
      </c>
      <c r="V27" t="s">
        <v>2607</v>
      </c>
      <c r="W27" t="s">
        <v>3395</v>
      </c>
      <c r="X27" t="s">
        <v>160</v>
      </c>
      <c r="Y27" t="s">
        <v>3722</v>
      </c>
      <c r="Z27" t="s">
        <v>2778</v>
      </c>
      <c r="AA27" t="s">
        <v>93</v>
      </c>
      <c r="AB27" t="s">
        <v>2779</v>
      </c>
      <c r="AC27" t="s">
        <v>3723</v>
      </c>
      <c r="AF27">
        <f>1*Tabela2[[#This Row],[kan_params]]</f>
        <v>13437</v>
      </c>
      <c r="AG27">
        <f>1*Tabela2[[#This Row],[kan_test_acc]]</f>
        <v>1</v>
      </c>
      <c r="AH27">
        <f>1*Tabela2[[#This Row],[mlp_test_acc]]</f>
        <v>0.88888888888888795</v>
      </c>
      <c r="AI27">
        <f>1*Tabela2[[#This Row],[mlp2_test_acc]]</f>
        <v>0.88888888888888795</v>
      </c>
    </row>
    <row r="28" spans="1:35" x14ac:dyDescent="0.25">
      <c r="A28" t="s">
        <v>57</v>
      </c>
      <c r="B28" t="s">
        <v>78</v>
      </c>
      <c r="C28" t="s">
        <v>79</v>
      </c>
      <c r="D28" t="s">
        <v>79</v>
      </c>
      <c r="E28" t="s">
        <v>80</v>
      </c>
      <c r="F28" t="s">
        <v>58</v>
      </c>
      <c r="G28" t="s">
        <v>2429</v>
      </c>
      <c r="H28" t="s">
        <v>2430</v>
      </c>
      <c r="I28" t="s">
        <v>278</v>
      </c>
      <c r="J28" t="s">
        <v>89</v>
      </c>
      <c r="K28" t="s">
        <v>2431</v>
      </c>
      <c r="L28" t="s">
        <v>2432</v>
      </c>
      <c r="M28" t="s">
        <v>2433</v>
      </c>
      <c r="N28" t="s">
        <v>89</v>
      </c>
      <c r="O28" t="s">
        <v>89</v>
      </c>
      <c r="P28" t="s">
        <v>278</v>
      </c>
      <c r="Q28" t="s">
        <v>2434</v>
      </c>
      <c r="R28" t="s">
        <v>2435</v>
      </c>
      <c r="S28" t="s">
        <v>93</v>
      </c>
      <c r="T28" t="s">
        <v>1950</v>
      </c>
      <c r="U28" t="s">
        <v>2436</v>
      </c>
      <c r="V28" t="s">
        <v>89</v>
      </c>
      <c r="W28" t="s">
        <v>89</v>
      </c>
      <c r="X28" t="s">
        <v>278</v>
      </c>
      <c r="Y28" t="s">
        <v>2437</v>
      </c>
      <c r="Z28" t="s">
        <v>2438</v>
      </c>
      <c r="AA28" t="s">
        <v>93</v>
      </c>
      <c r="AB28" t="s">
        <v>160</v>
      </c>
      <c r="AC28" t="s">
        <v>2439</v>
      </c>
      <c r="AF28">
        <f>1*Tabela2[[#This Row],[kan_params]]</f>
        <v>6061</v>
      </c>
      <c r="AG28">
        <f>1*Tabela2[[#This Row],[kan_test_acc]]</f>
        <v>0.977777779102325</v>
      </c>
      <c r="AH28">
        <f>1*Tabela2[[#This Row],[mlp_test_acc]]</f>
        <v>0.95555555555555505</v>
      </c>
      <c r="AI28">
        <f>1*Tabela2[[#This Row],[mlp2_test_acc]]</f>
        <v>0.93333333333333302</v>
      </c>
    </row>
    <row r="29" spans="1:35" x14ac:dyDescent="0.25">
      <c r="A29" t="s">
        <v>57</v>
      </c>
      <c r="B29" t="s">
        <v>78</v>
      </c>
      <c r="C29" t="s">
        <v>79</v>
      </c>
      <c r="D29" t="s">
        <v>79</v>
      </c>
      <c r="E29" t="s">
        <v>80</v>
      </c>
      <c r="F29" t="s">
        <v>59</v>
      </c>
      <c r="G29" t="s">
        <v>2440</v>
      </c>
      <c r="H29" t="s">
        <v>2441</v>
      </c>
      <c r="I29" t="s">
        <v>2442</v>
      </c>
      <c r="J29" t="s">
        <v>89</v>
      </c>
      <c r="K29" t="s">
        <v>89</v>
      </c>
      <c r="L29" t="s">
        <v>2432</v>
      </c>
      <c r="M29" t="s">
        <v>2436</v>
      </c>
      <c r="N29" t="s">
        <v>2443</v>
      </c>
      <c r="O29" t="s">
        <v>89</v>
      </c>
      <c r="P29" t="s">
        <v>278</v>
      </c>
      <c r="Q29" t="s">
        <v>2444</v>
      </c>
      <c r="R29" t="s">
        <v>2445</v>
      </c>
      <c r="S29" t="s">
        <v>93</v>
      </c>
      <c r="T29" t="s">
        <v>2446</v>
      </c>
      <c r="U29" t="s">
        <v>2436</v>
      </c>
      <c r="V29" t="s">
        <v>2443</v>
      </c>
      <c r="W29" t="s">
        <v>89</v>
      </c>
      <c r="X29" t="s">
        <v>278</v>
      </c>
      <c r="Y29" t="s">
        <v>2447</v>
      </c>
      <c r="Z29" t="s">
        <v>2448</v>
      </c>
      <c r="AA29" t="s">
        <v>93</v>
      </c>
      <c r="AB29" t="s">
        <v>2173</v>
      </c>
      <c r="AC29" t="s">
        <v>2449</v>
      </c>
      <c r="AF29">
        <f>1*Tabela2[[#This Row],[kan_params]]</f>
        <v>7346</v>
      </c>
      <c r="AG29">
        <f>1*Tabela2[[#This Row],[kan_test_acc]]</f>
        <v>0.977777779102325</v>
      </c>
      <c r="AH29">
        <f>1*Tabela2[[#This Row],[mlp_test_acc]]</f>
        <v>0.93333333333333302</v>
      </c>
      <c r="AI29">
        <f>1*Tabela2[[#This Row],[mlp2_test_acc]]</f>
        <v>0.93333333333333302</v>
      </c>
    </row>
    <row r="30" spans="1:35" x14ac:dyDescent="0.25">
      <c r="A30" t="s">
        <v>57</v>
      </c>
      <c r="B30" t="s">
        <v>78</v>
      </c>
      <c r="C30" t="s">
        <v>79</v>
      </c>
      <c r="D30" t="s">
        <v>79</v>
      </c>
      <c r="E30" t="s">
        <v>80</v>
      </c>
      <c r="F30" t="s">
        <v>60</v>
      </c>
      <c r="G30" t="s">
        <v>2450</v>
      </c>
      <c r="H30" t="s">
        <v>2451</v>
      </c>
      <c r="I30" t="s">
        <v>2452</v>
      </c>
      <c r="J30" t="s">
        <v>89</v>
      </c>
      <c r="K30" t="s">
        <v>89</v>
      </c>
      <c r="L30" t="s">
        <v>2432</v>
      </c>
      <c r="M30" t="s">
        <v>89</v>
      </c>
      <c r="N30" t="s">
        <v>89</v>
      </c>
      <c r="O30" t="s">
        <v>2453</v>
      </c>
      <c r="P30" t="s">
        <v>2454</v>
      </c>
      <c r="Q30" t="s">
        <v>2455</v>
      </c>
      <c r="R30" t="s">
        <v>2456</v>
      </c>
      <c r="S30" t="s">
        <v>93</v>
      </c>
      <c r="T30" t="s">
        <v>2257</v>
      </c>
      <c r="U30" t="s">
        <v>89</v>
      </c>
      <c r="V30" t="s">
        <v>89</v>
      </c>
      <c r="W30" t="s">
        <v>2453</v>
      </c>
      <c r="X30" t="s">
        <v>2457</v>
      </c>
      <c r="Y30" t="s">
        <v>2458</v>
      </c>
      <c r="Z30" t="s">
        <v>2459</v>
      </c>
      <c r="AA30" t="s">
        <v>93</v>
      </c>
      <c r="AB30" t="s">
        <v>2460</v>
      </c>
      <c r="AC30" t="s">
        <v>2461</v>
      </c>
      <c r="AF30">
        <f>1*Tabela2[[#This Row],[kan_params]]</f>
        <v>8631</v>
      </c>
      <c r="AG30">
        <f>1*Tabela2[[#This Row],[kan_test_acc]]</f>
        <v>0.977777779102325</v>
      </c>
      <c r="AH30">
        <f>1*Tabela2[[#This Row],[mlp_test_acc]]</f>
        <v>1</v>
      </c>
      <c r="AI30">
        <f>1*Tabela2[[#This Row],[mlp2_test_acc]]</f>
        <v>1</v>
      </c>
    </row>
    <row r="31" spans="1:35" x14ac:dyDescent="0.25">
      <c r="A31" t="s">
        <v>57</v>
      </c>
      <c r="B31" t="s">
        <v>78</v>
      </c>
      <c r="C31" t="s">
        <v>79</v>
      </c>
      <c r="D31" t="s">
        <v>79</v>
      </c>
      <c r="E31" t="s">
        <v>80</v>
      </c>
      <c r="F31" t="s">
        <v>61</v>
      </c>
      <c r="G31" t="s">
        <v>2462</v>
      </c>
      <c r="H31" t="s">
        <v>2463</v>
      </c>
      <c r="I31" t="s">
        <v>278</v>
      </c>
      <c r="J31" t="s">
        <v>89</v>
      </c>
      <c r="K31" t="s">
        <v>89</v>
      </c>
      <c r="L31" t="s">
        <v>2432</v>
      </c>
      <c r="M31" t="s">
        <v>2436</v>
      </c>
      <c r="N31" t="s">
        <v>89</v>
      </c>
      <c r="O31" t="s">
        <v>89</v>
      </c>
      <c r="P31" t="s">
        <v>278</v>
      </c>
      <c r="Q31" t="s">
        <v>2464</v>
      </c>
      <c r="R31" t="s">
        <v>2465</v>
      </c>
      <c r="S31" t="s">
        <v>93</v>
      </c>
      <c r="T31" t="s">
        <v>1568</v>
      </c>
      <c r="U31" t="s">
        <v>2433</v>
      </c>
      <c r="V31" t="s">
        <v>89</v>
      </c>
      <c r="W31" t="s">
        <v>89</v>
      </c>
      <c r="X31" t="s">
        <v>278</v>
      </c>
      <c r="Y31" t="s">
        <v>2466</v>
      </c>
      <c r="Z31" t="s">
        <v>2467</v>
      </c>
      <c r="AA31" t="s">
        <v>93</v>
      </c>
      <c r="AB31" t="s">
        <v>1945</v>
      </c>
      <c r="AC31" t="s">
        <v>2468</v>
      </c>
      <c r="AF31">
        <f>1*Tabela2[[#This Row],[kan_params]]</f>
        <v>3601</v>
      </c>
      <c r="AG31">
        <f>1*Tabela2[[#This Row],[kan_test_acc]]</f>
        <v>0.977777779102325</v>
      </c>
      <c r="AH31">
        <f>1*Tabela2[[#This Row],[mlp_test_acc]]</f>
        <v>0.93333333333333302</v>
      </c>
      <c r="AI31">
        <f>1*Tabela2[[#This Row],[mlp2_test_acc]]</f>
        <v>0.95555555555555505</v>
      </c>
    </row>
    <row r="32" spans="1:35" x14ac:dyDescent="0.25">
      <c r="A32" t="s">
        <v>57</v>
      </c>
      <c r="B32" t="s">
        <v>78</v>
      </c>
      <c r="C32" t="s">
        <v>79</v>
      </c>
      <c r="D32" t="s">
        <v>79</v>
      </c>
      <c r="E32" t="s">
        <v>80</v>
      </c>
      <c r="F32" t="s">
        <v>63</v>
      </c>
      <c r="G32" t="s">
        <v>2481</v>
      </c>
      <c r="H32" t="s">
        <v>2482</v>
      </c>
      <c r="I32" t="s">
        <v>2483</v>
      </c>
      <c r="J32" t="s">
        <v>89</v>
      </c>
      <c r="K32" t="s">
        <v>89</v>
      </c>
      <c r="L32" t="s">
        <v>2432</v>
      </c>
      <c r="M32" t="s">
        <v>89</v>
      </c>
      <c r="N32" t="s">
        <v>89</v>
      </c>
      <c r="O32" t="s">
        <v>2453</v>
      </c>
      <c r="P32" t="s">
        <v>2484</v>
      </c>
      <c r="Q32" t="s">
        <v>2485</v>
      </c>
      <c r="R32" t="s">
        <v>2486</v>
      </c>
      <c r="S32" t="s">
        <v>93</v>
      </c>
      <c r="T32" t="s">
        <v>281</v>
      </c>
      <c r="U32" t="s">
        <v>89</v>
      </c>
      <c r="V32" t="s">
        <v>89</v>
      </c>
      <c r="W32" t="s">
        <v>2453</v>
      </c>
      <c r="X32" t="s">
        <v>2487</v>
      </c>
      <c r="Y32" t="s">
        <v>2488</v>
      </c>
      <c r="Z32" t="s">
        <v>2489</v>
      </c>
      <c r="AA32" t="s">
        <v>93</v>
      </c>
      <c r="AB32" t="s">
        <v>285</v>
      </c>
      <c r="AC32" t="s">
        <v>2490</v>
      </c>
      <c r="AF32">
        <f>1*Tabela2[[#This Row],[kan_params]]</f>
        <v>8340</v>
      </c>
      <c r="AG32">
        <f>1*Tabela2[[#This Row],[kan_test_acc]]</f>
        <v>0.977777779102325</v>
      </c>
      <c r="AH32">
        <f>1*Tabela2[[#This Row],[mlp_test_acc]]</f>
        <v>1</v>
      </c>
      <c r="AI32">
        <f>1*Tabela2[[#This Row],[mlp2_test_acc]]</f>
        <v>1</v>
      </c>
    </row>
    <row r="33" spans="1:35" x14ac:dyDescent="0.25">
      <c r="A33" t="s">
        <v>57</v>
      </c>
      <c r="B33" t="s">
        <v>78</v>
      </c>
      <c r="C33" t="s">
        <v>79</v>
      </c>
      <c r="D33" t="s">
        <v>79</v>
      </c>
      <c r="E33" t="s">
        <v>80</v>
      </c>
      <c r="F33" t="s">
        <v>64</v>
      </c>
      <c r="G33" t="s">
        <v>2491</v>
      </c>
      <c r="H33" t="s">
        <v>2492</v>
      </c>
      <c r="I33" t="s">
        <v>2493</v>
      </c>
      <c r="J33" t="s">
        <v>89</v>
      </c>
      <c r="K33" t="s">
        <v>89</v>
      </c>
      <c r="L33" t="s">
        <v>2432</v>
      </c>
      <c r="M33" t="s">
        <v>89</v>
      </c>
      <c r="N33" t="s">
        <v>89</v>
      </c>
      <c r="O33" t="s">
        <v>2453</v>
      </c>
      <c r="P33" t="s">
        <v>2494</v>
      </c>
      <c r="Q33" t="s">
        <v>2495</v>
      </c>
      <c r="R33" t="s">
        <v>2496</v>
      </c>
      <c r="S33" t="s">
        <v>93</v>
      </c>
      <c r="T33" t="s">
        <v>2497</v>
      </c>
      <c r="U33" t="s">
        <v>2498</v>
      </c>
      <c r="V33" t="s">
        <v>89</v>
      </c>
      <c r="W33" t="s">
        <v>2453</v>
      </c>
      <c r="X33" t="s">
        <v>2499</v>
      </c>
      <c r="Y33" t="s">
        <v>2500</v>
      </c>
      <c r="Z33" t="s">
        <v>2501</v>
      </c>
      <c r="AA33" t="s">
        <v>93</v>
      </c>
      <c r="AB33" t="s">
        <v>94</v>
      </c>
      <c r="AC33" t="s">
        <v>2502</v>
      </c>
      <c r="AF33">
        <f>1*Tabela2[[#This Row],[kan_params]]</f>
        <v>9785</v>
      </c>
      <c r="AG33">
        <f>1*Tabela2[[#This Row],[kan_test_acc]]</f>
        <v>0.977777779102325</v>
      </c>
      <c r="AH33">
        <f>1*Tabela2[[#This Row],[mlp_test_acc]]</f>
        <v>1</v>
      </c>
      <c r="AI33">
        <f>1*Tabela2[[#This Row],[mlp2_test_acc]]</f>
        <v>0.97777777777777697</v>
      </c>
    </row>
    <row r="34" spans="1:35" x14ac:dyDescent="0.25">
      <c r="A34" t="s">
        <v>57</v>
      </c>
      <c r="B34" t="s">
        <v>78</v>
      </c>
      <c r="C34" t="s">
        <v>79</v>
      </c>
      <c r="D34" t="s">
        <v>79</v>
      </c>
      <c r="E34" t="s">
        <v>80</v>
      </c>
      <c r="F34" t="s">
        <v>71</v>
      </c>
      <c r="G34" t="s">
        <v>2561</v>
      </c>
      <c r="H34" t="s">
        <v>2562</v>
      </c>
      <c r="I34" t="s">
        <v>2563</v>
      </c>
      <c r="J34" t="s">
        <v>89</v>
      </c>
      <c r="K34" t="s">
        <v>2431</v>
      </c>
      <c r="L34" t="s">
        <v>2432</v>
      </c>
      <c r="M34" t="s">
        <v>2436</v>
      </c>
      <c r="N34" t="s">
        <v>2443</v>
      </c>
      <c r="O34" t="s">
        <v>89</v>
      </c>
      <c r="P34" t="s">
        <v>278</v>
      </c>
      <c r="Q34" t="s">
        <v>2564</v>
      </c>
      <c r="R34" t="s">
        <v>2565</v>
      </c>
      <c r="S34" t="s">
        <v>93</v>
      </c>
      <c r="T34" t="s">
        <v>2089</v>
      </c>
      <c r="U34" t="s">
        <v>2436</v>
      </c>
      <c r="V34" t="s">
        <v>89</v>
      </c>
      <c r="W34" t="s">
        <v>89</v>
      </c>
      <c r="X34" t="s">
        <v>278</v>
      </c>
      <c r="Y34" t="s">
        <v>2566</v>
      </c>
      <c r="Z34" t="s">
        <v>2567</v>
      </c>
      <c r="AA34" t="s">
        <v>93</v>
      </c>
      <c r="AB34" t="s">
        <v>2108</v>
      </c>
      <c r="AC34" t="s">
        <v>2568</v>
      </c>
      <c r="AF34">
        <f>1*Tabela2[[#This Row],[kan_params]]</f>
        <v>4886</v>
      </c>
      <c r="AG34">
        <f>1*Tabela2[[#This Row],[kan_test_acc]]</f>
        <v>0.977777779102325</v>
      </c>
      <c r="AH34">
        <f>1*Tabela2[[#This Row],[mlp_test_acc]]</f>
        <v>0.93333333333333302</v>
      </c>
      <c r="AI34">
        <f>1*Tabela2[[#This Row],[mlp2_test_acc]]</f>
        <v>0.93333333333333302</v>
      </c>
    </row>
    <row r="35" spans="1:35" x14ac:dyDescent="0.25">
      <c r="A35" t="s">
        <v>57</v>
      </c>
      <c r="B35" t="s">
        <v>78</v>
      </c>
      <c r="C35" t="s">
        <v>79</v>
      </c>
      <c r="D35" t="s">
        <v>79</v>
      </c>
      <c r="E35" t="s">
        <v>80</v>
      </c>
      <c r="F35" t="s">
        <v>75</v>
      </c>
      <c r="G35" t="s">
        <v>2599</v>
      </c>
      <c r="H35" t="s">
        <v>2600</v>
      </c>
      <c r="I35" t="s">
        <v>1810</v>
      </c>
      <c r="J35" t="s">
        <v>89</v>
      </c>
      <c r="K35" t="s">
        <v>89</v>
      </c>
      <c r="L35" t="s">
        <v>2432</v>
      </c>
      <c r="M35" t="s">
        <v>2436</v>
      </c>
      <c r="N35" t="s">
        <v>2443</v>
      </c>
      <c r="O35" t="s">
        <v>89</v>
      </c>
      <c r="P35" t="s">
        <v>278</v>
      </c>
      <c r="Q35" t="s">
        <v>2601</v>
      </c>
      <c r="R35" t="s">
        <v>2435</v>
      </c>
      <c r="S35" t="s">
        <v>93</v>
      </c>
      <c r="T35" t="s">
        <v>1950</v>
      </c>
      <c r="U35" t="s">
        <v>2436</v>
      </c>
      <c r="V35" t="s">
        <v>2443</v>
      </c>
      <c r="W35" t="s">
        <v>89</v>
      </c>
      <c r="X35" t="s">
        <v>278</v>
      </c>
      <c r="Y35" t="s">
        <v>2602</v>
      </c>
      <c r="Z35" t="s">
        <v>2438</v>
      </c>
      <c r="AA35" t="s">
        <v>93</v>
      </c>
      <c r="AB35" t="s">
        <v>160</v>
      </c>
      <c r="AC35" t="s">
        <v>2603</v>
      </c>
      <c r="AF35">
        <f>1*Tabela2[[#This Row],[kan_params]]</f>
        <v>6171</v>
      </c>
      <c r="AG35">
        <f>1*Tabela2[[#This Row],[kan_test_acc]]</f>
        <v>0.977777779102325</v>
      </c>
      <c r="AH35">
        <f>1*Tabela2[[#This Row],[mlp_test_acc]]</f>
        <v>0.93333333333333302</v>
      </c>
      <c r="AI35">
        <f>1*Tabela2[[#This Row],[mlp2_test_acc]]</f>
        <v>0.93333333333333302</v>
      </c>
    </row>
    <row r="36" spans="1:35" x14ac:dyDescent="0.25">
      <c r="A36" t="s">
        <v>57</v>
      </c>
      <c r="B36" t="s">
        <v>78</v>
      </c>
      <c r="C36" t="s">
        <v>79</v>
      </c>
      <c r="D36" t="s">
        <v>79</v>
      </c>
      <c r="E36" t="s">
        <v>80</v>
      </c>
      <c r="F36" t="s">
        <v>76</v>
      </c>
      <c r="G36" t="s">
        <v>2604</v>
      </c>
      <c r="H36" t="s">
        <v>2605</v>
      </c>
      <c r="I36" t="s">
        <v>2606</v>
      </c>
      <c r="J36" t="s">
        <v>89</v>
      </c>
      <c r="K36" t="s">
        <v>2431</v>
      </c>
      <c r="L36" t="s">
        <v>2432</v>
      </c>
      <c r="M36" t="s">
        <v>2433</v>
      </c>
      <c r="N36" t="s">
        <v>2607</v>
      </c>
      <c r="O36" t="s">
        <v>89</v>
      </c>
      <c r="P36" t="s">
        <v>2608</v>
      </c>
      <c r="Q36" t="s">
        <v>2609</v>
      </c>
      <c r="R36" t="s">
        <v>2610</v>
      </c>
      <c r="S36" t="s">
        <v>93</v>
      </c>
      <c r="T36" t="s">
        <v>1578</v>
      </c>
      <c r="U36" t="s">
        <v>2498</v>
      </c>
      <c r="V36" t="s">
        <v>2443</v>
      </c>
      <c r="W36" t="s">
        <v>89</v>
      </c>
      <c r="X36" t="s">
        <v>2611</v>
      </c>
      <c r="Y36" t="s">
        <v>2612</v>
      </c>
      <c r="Z36" t="s">
        <v>2613</v>
      </c>
      <c r="AA36" t="s">
        <v>93</v>
      </c>
      <c r="AB36" t="s">
        <v>1311</v>
      </c>
      <c r="AC36" t="s">
        <v>2614</v>
      </c>
      <c r="AF36">
        <f>1*Tabela2[[#This Row],[kan_params]]</f>
        <v>2316</v>
      </c>
      <c r="AG36">
        <f>1*Tabela2[[#This Row],[kan_test_acc]]</f>
        <v>0.977777779102325</v>
      </c>
      <c r="AH36">
        <f>1*Tabela2[[#This Row],[mlp_test_acc]]</f>
        <v>0.95555555555555505</v>
      </c>
      <c r="AI36">
        <f>1*Tabela2[[#This Row],[mlp2_test_acc]]</f>
        <v>0.97777777777777697</v>
      </c>
    </row>
    <row r="37" spans="1:35" x14ac:dyDescent="0.25">
      <c r="A37" t="s">
        <v>57</v>
      </c>
      <c r="B37" t="s">
        <v>814</v>
      </c>
      <c r="C37" t="s">
        <v>79</v>
      </c>
      <c r="D37" t="s">
        <v>898</v>
      </c>
      <c r="E37" t="s">
        <v>80</v>
      </c>
      <c r="F37" t="s">
        <v>71</v>
      </c>
      <c r="G37" t="s">
        <v>2753</v>
      </c>
      <c r="H37" t="s">
        <v>2754</v>
      </c>
      <c r="I37" t="s">
        <v>2755</v>
      </c>
      <c r="J37" t="s">
        <v>2516</v>
      </c>
      <c r="K37" t="s">
        <v>89</v>
      </c>
      <c r="L37" t="s">
        <v>2432</v>
      </c>
      <c r="M37" t="s">
        <v>2433</v>
      </c>
      <c r="N37" t="s">
        <v>89</v>
      </c>
      <c r="O37" t="s">
        <v>89</v>
      </c>
      <c r="P37" t="s">
        <v>2756</v>
      </c>
      <c r="Q37" t="s">
        <v>2757</v>
      </c>
      <c r="R37" t="s">
        <v>2714</v>
      </c>
      <c r="S37" t="s">
        <v>93</v>
      </c>
      <c r="T37" t="s">
        <v>2379</v>
      </c>
      <c r="U37" t="s">
        <v>2433</v>
      </c>
      <c r="V37" t="s">
        <v>89</v>
      </c>
      <c r="W37" t="s">
        <v>89</v>
      </c>
      <c r="X37" t="s">
        <v>2758</v>
      </c>
      <c r="Y37" t="s">
        <v>2759</v>
      </c>
      <c r="Z37" t="s">
        <v>2435</v>
      </c>
      <c r="AA37" t="s">
        <v>93</v>
      </c>
      <c r="AB37" t="s">
        <v>1950</v>
      </c>
      <c r="AC37" t="s">
        <v>2760</v>
      </c>
      <c r="AF37">
        <f>1*Tabela2[[#This Row],[kan_params]]</f>
        <v>5798</v>
      </c>
      <c r="AG37">
        <f>1*Tabela2[[#This Row],[kan_test_acc]]</f>
        <v>0.977777779102325</v>
      </c>
      <c r="AH37">
        <f>1*Tabela2[[#This Row],[mlp_test_acc]]</f>
        <v>0.95555555555555505</v>
      </c>
      <c r="AI37">
        <f>1*Tabela2[[#This Row],[mlp2_test_acc]]</f>
        <v>0.95555555555555505</v>
      </c>
    </row>
    <row r="38" spans="1:35" x14ac:dyDescent="0.25">
      <c r="A38" t="s">
        <v>57</v>
      </c>
      <c r="B38" t="s">
        <v>814</v>
      </c>
      <c r="C38" t="s">
        <v>79</v>
      </c>
      <c r="D38" t="s">
        <v>898</v>
      </c>
      <c r="E38" t="s">
        <v>80</v>
      </c>
      <c r="F38" t="s">
        <v>75</v>
      </c>
      <c r="G38" t="s">
        <v>2794</v>
      </c>
      <c r="H38" t="s">
        <v>2795</v>
      </c>
      <c r="I38" t="s">
        <v>2796</v>
      </c>
      <c r="J38" t="s">
        <v>2797</v>
      </c>
      <c r="K38" t="s">
        <v>89</v>
      </c>
      <c r="L38" t="s">
        <v>2432</v>
      </c>
      <c r="M38" t="s">
        <v>2433</v>
      </c>
      <c r="N38" t="s">
        <v>89</v>
      </c>
      <c r="O38" t="s">
        <v>89</v>
      </c>
      <c r="P38" t="s">
        <v>2798</v>
      </c>
      <c r="Q38" t="s">
        <v>2799</v>
      </c>
      <c r="R38" t="s">
        <v>2479</v>
      </c>
      <c r="S38" t="s">
        <v>93</v>
      </c>
      <c r="T38" t="s">
        <v>2198</v>
      </c>
      <c r="U38" t="s">
        <v>2433</v>
      </c>
      <c r="V38" t="s">
        <v>89</v>
      </c>
      <c r="W38" t="s">
        <v>89</v>
      </c>
      <c r="X38" t="s">
        <v>278</v>
      </c>
      <c r="Y38" t="s">
        <v>2800</v>
      </c>
      <c r="Z38" t="s">
        <v>2445</v>
      </c>
      <c r="AA38" t="s">
        <v>93</v>
      </c>
      <c r="AB38" t="s">
        <v>2446</v>
      </c>
      <c r="AC38" t="s">
        <v>2801</v>
      </c>
      <c r="AF38">
        <f>1*Tabela2[[#This Row],[kan_params]]</f>
        <v>7323</v>
      </c>
      <c r="AG38">
        <f>1*Tabela2[[#This Row],[kan_test_acc]]</f>
        <v>0.977777779102325</v>
      </c>
      <c r="AH38">
        <f>1*Tabela2[[#This Row],[mlp_test_acc]]</f>
        <v>0.95555555555555505</v>
      </c>
      <c r="AI38">
        <f>1*Tabela2[[#This Row],[mlp2_test_acc]]</f>
        <v>0.95555555555555505</v>
      </c>
    </row>
    <row r="39" spans="1:35" x14ac:dyDescent="0.25">
      <c r="A39" t="s">
        <v>57</v>
      </c>
      <c r="B39" t="s">
        <v>273</v>
      </c>
      <c r="C39" t="s">
        <v>79</v>
      </c>
      <c r="D39" t="s">
        <v>274</v>
      </c>
      <c r="E39" t="s">
        <v>80</v>
      </c>
      <c r="F39" t="s">
        <v>60</v>
      </c>
      <c r="G39" t="s">
        <v>2873</v>
      </c>
      <c r="H39" t="s">
        <v>2997</v>
      </c>
      <c r="I39" t="s">
        <v>2998</v>
      </c>
      <c r="J39" t="s">
        <v>89</v>
      </c>
      <c r="K39" t="s">
        <v>2431</v>
      </c>
      <c r="L39" t="s">
        <v>2432</v>
      </c>
      <c r="M39" t="s">
        <v>2433</v>
      </c>
      <c r="N39" t="s">
        <v>2607</v>
      </c>
      <c r="O39" t="s">
        <v>89</v>
      </c>
      <c r="P39" t="s">
        <v>2999</v>
      </c>
      <c r="Q39" t="s">
        <v>3000</v>
      </c>
      <c r="R39" t="s">
        <v>2475</v>
      </c>
      <c r="S39" t="s">
        <v>93</v>
      </c>
      <c r="T39" t="s">
        <v>2476</v>
      </c>
      <c r="U39" t="s">
        <v>2433</v>
      </c>
      <c r="V39" t="s">
        <v>2443</v>
      </c>
      <c r="W39" t="s">
        <v>89</v>
      </c>
      <c r="X39" t="s">
        <v>3001</v>
      </c>
      <c r="Y39" t="s">
        <v>3002</v>
      </c>
      <c r="Z39" t="s">
        <v>2479</v>
      </c>
      <c r="AA39" t="s">
        <v>93</v>
      </c>
      <c r="AB39" t="s">
        <v>2198</v>
      </c>
      <c r="AC39" t="s">
        <v>3003</v>
      </c>
      <c r="AF39">
        <f>1*Tabela2[[#This Row],[kan_params]]</f>
        <v>7020</v>
      </c>
      <c r="AG39">
        <f>1*Tabela2[[#This Row],[kan_test_acc]]</f>
        <v>0.977777779102325</v>
      </c>
      <c r="AH39">
        <f>1*Tabela2[[#This Row],[mlp_test_acc]]</f>
        <v>0.95555555555555505</v>
      </c>
      <c r="AI39">
        <f>1*Tabela2[[#This Row],[mlp2_test_acc]]</f>
        <v>0.95555555555555505</v>
      </c>
    </row>
    <row r="40" spans="1:35" x14ac:dyDescent="0.25">
      <c r="A40" t="s">
        <v>57</v>
      </c>
      <c r="B40" t="s">
        <v>273</v>
      </c>
      <c r="C40" t="s">
        <v>79</v>
      </c>
      <c r="D40" t="s">
        <v>274</v>
      </c>
      <c r="E40" t="s">
        <v>80</v>
      </c>
      <c r="F40" t="s">
        <v>65</v>
      </c>
      <c r="G40" t="s">
        <v>3036</v>
      </c>
      <c r="H40" t="s">
        <v>3037</v>
      </c>
      <c r="I40" t="s">
        <v>3038</v>
      </c>
      <c r="J40" t="s">
        <v>89</v>
      </c>
      <c r="K40" t="s">
        <v>2431</v>
      </c>
      <c r="L40" t="s">
        <v>2432</v>
      </c>
      <c r="M40" t="s">
        <v>2498</v>
      </c>
      <c r="N40" t="s">
        <v>2443</v>
      </c>
      <c r="O40" t="s">
        <v>89</v>
      </c>
      <c r="P40" t="s">
        <v>3039</v>
      </c>
      <c r="Q40" t="s">
        <v>3040</v>
      </c>
      <c r="R40" t="s">
        <v>2438</v>
      </c>
      <c r="S40" t="s">
        <v>93</v>
      </c>
      <c r="T40" t="s">
        <v>160</v>
      </c>
      <c r="U40" t="s">
        <v>2433</v>
      </c>
      <c r="V40" t="s">
        <v>2607</v>
      </c>
      <c r="W40" t="s">
        <v>89</v>
      </c>
      <c r="X40" t="s">
        <v>3041</v>
      </c>
      <c r="Y40" t="s">
        <v>3042</v>
      </c>
      <c r="Z40" t="s">
        <v>3043</v>
      </c>
      <c r="AA40" t="s">
        <v>93</v>
      </c>
      <c r="AB40" t="s">
        <v>2140</v>
      </c>
      <c r="AC40" t="s">
        <v>3044</v>
      </c>
      <c r="AF40">
        <f>1*Tabela2[[#This Row],[kan_params]]</f>
        <v>6286</v>
      </c>
      <c r="AG40">
        <f>1*Tabela2[[#This Row],[kan_test_acc]]</f>
        <v>0.977777779102325</v>
      </c>
      <c r="AH40">
        <f>1*Tabela2[[#This Row],[mlp_test_acc]]</f>
        <v>0.97777777777777697</v>
      </c>
      <c r="AI40">
        <f>1*Tabela2[[#This Row],[mlp2_test_acc]]</f>
        <v>0.95555555555555505</v>
      </c>
    </row>
    <row r="41" spans="1:35" x14ac:dyDescent="0.25">
      <c r="A41" t="s">
        <v>57</v>
      </c>
      <c r="B41" t="s">
        <v>273</v>
      </c>
      <c r="C41" t="s">
        <v>79</v>
      </c>
      <c r="D41" t="s">
        <v>274</v>
      </c>
      <c r="E41" t="s">
        <v>80</v>
      </c>
      <c r="F41" t="s">
        <v>70</v>
      </c>
      <c r="G41" t="s">
        <v>3077</v>
      </c>
      <c r="H41" t="s">
        <v>3078</v>
      </c>
      <c r="I41" t="s">
        <v>3079</v>
      </c>
      <c r="J41" t="s">
        <v>89</v>
      </c>
      <c r="K41" t="s">
        <v>89</v>
      </c>
      <c r="L41" t="s">
        <v>2432</v>
      </c>
      <c r="M41" t="s">
        <v>2433</v>
      </c>
      <c r="N41" t="s">
        <v>2607</v>
      </c>
      <c r="O41" t="s">
        <v>89</v>
      </c>
      <c r="P41" t="s">
        <v>3080</v>
      </c>
      <c r="Q41" t="s">
        <v>3081</v>
      </c>
      <c r="R41" t="s">
        <v>2496</v>
      </c>
      <c r="S41" t="s">
        <v>93</v>
      </c>
      <c r="T41" t="s">
        <v>2497</v>
      </c>
      <c r="U41" t="s">
        <v>2498</v>
      </c>
      <c r="V41" t="s">
        <v>2443</v>
      </c>
      <c r="W41" t="s">
        <v>89</v>
      </c>
      <c r="X41" t="s">
        <v>3082</v>
      </c>
      <c r="Y41" t="s">
        <v>3083</v>
      </c>
      <c r="Z41" t="s">
        <v>2501</v>
      </c>
      <c r="AA41" t="s">
        <v>93</v>
      </c>
      <c r="AB41" t="s">
        <v>94</v>
      </c>
      <c r="AC41" t="s">
        <v>3084</v>
      </c>
      <c r="AF41">
        <f>1*Tabela2[[#This Row],[kan_params]]</f>
        <v>9834</v>
      </c>
      <c r="AG41">
        <f>1*Tabela2[[#This Row],[kan_test_acc]]</f>
        <v>0.977777779102325</v>
      </c>
      <c r="AH41">
        <f>1*Tabela2[[#This Row],[mlp_test_acc]]</f>
        <v>0.95555555555555505</v>
      </c>
      <c r="AI41">
        <f>1*Tabela2[[#This Row],[mlp2_test_acc]]</f>
        <v>0.97777777777777697</v>
      </c>
    </row>
    <row r="42" spans="1:35" x14ac:dyDescent="0.25">
      <c r="A42" t="s">
        <v>57</v>
      </c>
      <c r="B42" t="s">
        <v>273</v>
      </c>
      <c r="C42" t="s">
        <v>79</v>
      </c>
      <c r="D42" t="s">
        <v>274</v>
      </c>
      <c r="E42" t="s">
        <v>80</v>
      </c>
      <c r="F42" t="s">
        <v>71</v>
      </c>
      <c r="G42" t="s">
        <v>1692</v>
      </c>
      <c r="H42" t="s">
        <v>3085</v>
      </c>
      <c r="I42" t="s">
        <v>3086</v>
      </c>
      <c r="J42" t="s">
        <v>89</v>
      </c>
      <c r="K42" t="s">
        <v>2431</v>
      </c>
      <c r="L42" t="s">
        <v>2432</v>
      </c>
      <c r="M42" t="s">
        <v>2498</v>
      </c>
      <c r="N42" t="s">
        <v>2607</v>
      </c>
      <c r="O42" t="s">
        <v>89</v>
      </c>
      <c r="P42" t="s">
        <v>3087</v>
      </c>
      <c r="Q42" t="s">
        <v>3088</v>
      </c>
      <c r="R42" t="s">
        <v>3089</v>
      </c>
      <c r="S42" t="s">
        <v>93</v>
      </c>
      <c r="T42" t="s">
        <v>1592</v>
      </c>
      <c r="U42" t="s">
        <v>2433</v>
      </c>
      <c r="V42" t="s">
        <v>2607</v>
      </c>
      <c r="W42" t="s">
        <v>89</v>
      </c>
      <c r="X42" t="s">
        <v>3090</v>
      </c>
      <c r="Y42" t="s">
        <v>3091</v>
      </c>
      <c r="Z42" t="s">
        <v>2652</v>
      </c>
      <c r="AA42" t="s">
        <v>93</v>
      </c>
      <c r="AB42" t="s">
        <v>2021</v>
      </c>
      <c r="AC42" t="s">
        <v>3092</v>
      </c>
      <c r="AF42">
        <f>1*Tabela2[[#This Row],[kan_params]]</f>
        <v>3974</v>
      </c>
      <c r="AG42">
        <f>1*Tabela2[[#This Row],[kan_test_acc]]</f>
        <v>0.977777779102325</v>
      </c>
      <c r="AH42">
        <f>1*Tabela2[[#This Row],[mlp_test_acc]]</f>
        <v>0.97777777777777697</v>
      </c>
      <c r="AI42">
        <f>1*Tabela2[[#This Row],[mlp2_test_acc]]</f>
        <v>0.95555555555555505</v>
      </c>
    </row>
    <row r="43" spans="1:35" x14ac:dyDescent="0.25">
      <c r="A43" t="s">
        <v>57</v>
      </c>
      <c r="B43" t="s">
        <v>273</v>
      </c>
      <c r="C43" t="s">
        <v>79</v>
      </c>
      <c r="D43" t="s">
        <v>274</v>
      </c>
      <c r="E43" t="s">
        <v>80</v>
      </c>
      <c r="F43" t="s">
        <v>73</v>
      </c>
      <c r="G43" t="s">
        <v>3101</v>
      </c>
      <c r="H43" t="s">
        <v>3102</v>
      </c>
      <c r="I43" t="s">
        <v>2571</v>
      </c>
      <c r="J43" t="s">
        <v>89</v>
      </c>
      <c r="K43" t="s">
        <v>2431</v>
      </c>
      <c r="L43" t="s">
        <v>2432</v>
      </c>
      <c r="M43" t="s">
        <v>2433</v>
      </c>
      <c r="N43" t="s">
        <v>2607</v>
      </c>
      <c r="O43" t="s">
        <v>89</v>
      </c>
      <c r="P43" t="s">
        <v>3103</v>
      </c>
      <c r="Q43" t="s">
        <v>3104</v>
      </c>
      <c r="R43" t="s">
        <v>2519</v>
      </c>
      <c r="S43" t="s">
        <v>93</v>
      </c>
      <c r="T43" t="s">
        <v>2187</v>
      </c>
      <c r="U43" t="s">
        <v>2433</v>
      </c>
      <c r="V43" t="s">
        <v>2443</v>
      </c>
      <c r="W43" t="s">
        <v>89</v>
      </c>
      <c r="X43" t="s">
        <v>3105</v>
      </c>
      <c r="Y43" t="s">
        <v>3106</v>
      </c>
      <c r="Z43" t="s">
        <v>2522</v>
      </c>
      <c r="AA43" t="s">
        <v>93</v>
      </c>
      <c r="AB43" t="s">
        <v>2523</v>
      </c>
      <c r="AC43" t="s">
        <v>3107</v>
      </c>
      <c r="AF43">
        <f>1*Tabela2[[#This Row],[kan_params]]</f>
        <v>9207</v>
      </c>
      <c r="AG43">
        <f>1*Tabela2[[#This Row],[kan_test_acc]]</f>
        <v>0.977777779102325</v>
      </c>
      <c r="AH43">
        <f>1*Tabela2[[#This Row],[mlp_test_acc]]</f>
        <v>0.95555555555555505</v>
      </c>
      <c r="AI43">
        <f>1*Tabela2[[#This Row],[mlp2_test_acc]]</f>
        <v>0.95555555555555505</v>
      </c>
    </row>
    <row r="44" spans="1:35" x14ac:dyDescent="0.25">
      <c r="A44" t="s">
        <v>57</v>
      </c>
      <c r="B44" t="s">
        <v>273</v>
      </c>
      <c r="C44" t="s">
        <v>79</v>
      </c>
      <c r="D44" t="s">
        <v>274</v>
      </c>
      <c r="E44" t="s">
        <v>80</v>
      </c>
      <c r="F44" t="s">
        <v>74</v>
      </c>
      <c r="G44" t="s">
        <v>3108</v>
      </c>
      <c r="H44" t="s">
        <v>3109</v>
      </c>
      <c r="I44" t="s">
        <v>685</v>
      </c>
      <c r="J44" t="s">
        <v>89</v>
      </c>
      <c r="K44" t="s">
        <v>2431</v>
      </c>
      <c r="L44" t="s">
        <v>2432</v>
      </c>
      <c r="M44" t="s">
        <v>2433</v>
      </c>
      <c r="N44" t="s">
        <v>2443</v>
      </c>
      <c r="O44" t="s">
        <v>89</v>
      </c>
      <c r="P44" t="s">
        <v>3110</v>
      </c>
      <c r="Q44" t="s">
        <v>3111</v>
      </c>
      <c r="R44" t="s">
        <v>2551</v>
      </c>
      <c r="S44" t="s">
        <v>93</v>
      </c>
      <c r="T44" t="s">
        <v>1860</v>
      </c>
      <c r="U44" t="s">
        <v>2433</v>
      </c>
      <c r="V44" t="s">
        <v>2607</v>
      </c>
      <c r="W44" t="s">
        <v>89</v>
      </c>
      <c r="X44" t="s">
        <v>3112</v>
      </c>
      <c r="Y44" t="s">
        <v>3113</v>
      </c>
      <c r="Z44" t="s">
        <v>2531</v>
      </c>
      <c r="AA44" t="s">
        <v>93</v>
      </c>
      <c r="AB44" t="s">
        <v>2098</v>
      </c>
      <c r="AC44" t="s">
        <v>3114</v>
      </c>
      <c r="AF44">
        <f>1*Tabela2[[#This Row],[kan_params]]</f>
        <v>10772</v>
      </c>
      <c r="AG44">
        <f>1*Tabela2[[#This Row],[kan_test_acc]]</f>
        <v>0.977777779102325</v>
      </c>
      <c r="AH44">
        <f>1*Tabela2[[#This Row],[mlp_test_acc]]</f>
        <v>0.95555555555555505</v>
      </c>
      <c r="AI44">
        <f>1*Tabela2[[#This Row],[mlp2_test_acc]]</f>
        <v>0.95555555555555505</v>
      </c>
    </row>
    <row r="45" spans="1:35" x14ac:dyDescent="0.25">
      <c r="A45" t="s">
        <v>57</v>
      </c>
      <c r="B45" t="s">
        <v>273</v>
      </c>
      <c r="C45" t="s">
        <v>79</v>
      </c>
      <c r="D45" t="s">
        <v>274</v>
      </c>
      <c r="E45" t="s">
        <v>80</v>
      </c>
      <c r="F45" t="s">
        <v>76</v>
      </c>
      <c r="G45" t="s">
        <v>3122</v>
      </c>
      <c r="H45" t="s">
        <v>3123</v>
      </c>
      <c r="I45" t="s">
        <v>1435</v>
      </c>
      <c r="J45" t="s">
        <v>89</v>
      </c>
      <c r="K45" t="s">
        <v>89</v>
      </c>
      <c r="L45" t="s">
        <v>2432</v>
      </c>
      <c r="M45" t="s">
        <v>2433</v>
      </c>
      <c r="N45" t="s">
        <v>2443</v>
      </c>
      <c r="O45" t="s">
        <v>89</v>
      </c>
      <c r="P45" t="s">
        <v>1435</v>
      </c>
      <c r="Q45" t="s">
        <v>3124</v>
      </c>
      <c r="R45" t="s">
        <v>3125</v>
      </c>
      <c r="S45" t="s">
        <v>93</v>
      </c>
      <c r="T45" t="s">
        <v>1412</v>
      </c>
      <c r="U45" t="s">
        <v>2433</v>
      </c>
      <c r="V45" t="s">
        <v>2443</v>
      </c>
      <c r="W45" t="s">
        <v>89</v>
      </c>
      <c r="X45" t="s">
        <v>1435</v>
      </c>
      <c r="Y45" t="s">
        <v>3126</v>
      </c>
      <c r="Z45" t="s">
        <v>1367</v>
      </c>
      <c r="AA45" t="s">
        <v>93</v>
      </c>
      <c r="AB45" t="s">
        <v>1303</v>
      </c>
      <c r="AC45" t="s">
        <v>3127</v>
      </c>
      <c r="AF45">
        <f>1*Tabela2[[#This Row],[kan_params]]</f>
        <v>1884</v>
      </c>
      <c r="AG45">
        <f>1*Tabela2[[#This Row],[kan_test_acc]]</f>
        <v>0.977777779102325</v>
      </c>
      <c r="AH45">
        <f>1*Tabela2[[#This Row],[mlp_test_acc]]</f>
        <v>0.95555555555555505</v>
      </c>
      <c r="AI45">
        <f>1*Tabela2[[#This Row],[mlp2_test_acc]]</f>
        <v>0.95555555555555505</v>
      </c>
    </row>
    <row r="46" spans="1:35" x14ac:dyDescent="0.25">
      <c r="A46" t="s">
        <v>57</v>
      </c>
      <c r="B46" t="s">
        <v>78</v>
      </c>
      <c r="C46" t="s">
        <v>666</v>
      </c>
      <c r="D46" t="s">
        <v>274</v>
      </c>
      <c r="E46" t="s">
        <v>80</v>
      </c>
      <c r="F46" t="s">
        <v>60</v>
      </c>
      <c r="G46" t="s">
        <v>3146</v>
      </c>
      <c r="H46" t="s">
        <v>3147</v>
      </c>
      <c r="I46" t="s">
        <v>1308</v>
      </c>
      <c r="J46" t="s">
        <v>89</v>
      </c>
      <c r="K46" t="s">
        <v>89</v>
      </c>
      <c r="L46" t="s">
        <v>2432</v>
      </c>
      <c r="M46" t="s">
        <v>2498</v>
      </c>
      <c r="N46" t="s">
        <v>2443</v>
      </c>
      <c r="O46" t="s">
        <v>89</v>
      </c>
      <c r="P46" t="s">
        <v>3148</v>
      </c>
      <c r="Q46" t="s">
        <v>3149</v>
      </c>
      <c r="R46" t="s">
        <v>2486</v>
      </c>
      <c r="S46" t="s">
        <v>93</v>
      </c>
      <c r="T46" t="s">
        <v>281</v>
      </c>
      <c r="U46" t="s">
        <v>3133</v>
      </c>
      <c r="V46" t="s">
        <v>3134</v>
      </c>
      <c r="W46" t="s">
        <v>3135</v>
      </c>
      <c r="X46" t="s">
        <v>160</v>
      </c>
      <c r="Y46" t="s">
        <v>3150</v>
      </c>
      <c r="Z46" t="s">
        <v>2489</v>
      </c>
      <c r="AA46" t="s">
        <v>93</v>
      </c>
      <c r="AB46" t="s">
        <v>285</v>
      </c>
      <c r="AC46" t="s">
        <v>3151</v>
      </c>
      <c r="AF46">
        <f>1*Tabela2[[#This Row],[kan_params]]</f>
        <v>8094</v>
      </c>
      <c r="AG46">
        <f>1*Tabela2[[#This Row],[kan_test_acc]]</f>
        <v>0.977777779102325</v>
      </c>
      <c r="AH46">
        <f>1*Tabela2[[#This Row],[mlp_test_acc]]</f>
        <v>0.97777777777777697</v>
      </c>
      <c r="AI46">
        <f>1*Tabela2[[#This Row],[mlp2_test_acc]]</f>
        <v>0.28888888888888797</v>
      </c>
    </row>
    <row r="47" spans="1:35" x14ac:dyDescent="0.25">
      <c r="A47" t="s">
        <v>57</v>
      </c>
      <c r="B47" t="s">
        <v>78</v>
      </c>
      <c r="C47" t="s">
        <v>666</v>
      </c>
      <c r="D47" t="s">
        <v>274</v>
      </c>
      <c r="E47" t="s">
        <v>80</v>
      </c>
      <c r="F47" t="s">
        <v>70</v>
      </c>
      <c r="G47" t="s">
        <v>3212</v>
      </c>
      <c r="H47" t="s">
        <v>3213</v>
      </c>
      <c r="I47" t="s">
        <v>663</v>
      </c>
      <c r="J47" t="s">
        <v>89</v>
      </c>
      <c r="K47" t="s">
        <v>89</v>
      </c>
      <c r="L47" t="s">
        <v>2432</v>
      </c>
      <c r="M47" t="s">
        <v>2433</v>
      </c>
      <c r="N47" t="s">
        <v>89</v>
      </c>
      <c r="O47" t="s">
        <v>89</v>
      </c>
      <c r="P47" t="s">
        <v>3214</v>
      </c>
      <c r="Q47" t="s">
        <v>3215</v>
      </c>
      <c r="R47" t="s">
        <v>2533</v>
      </c>
      <c r="S47" t="s">
        <v>93</v>
      </c>
      <c r="T47" t="s">
        <v>2534</v>
      </c>
      <c r="U47" t="s">
        <v>3179</v>
      </c>
      <c r="V47" t="s">
        <v>89</v>
      </c>
      <c r="W47" t="s">
        <v>3186</v>
      </c>
      <c r="X47" t="s">
        <v>3216</v>
      </c>
      <c r="Y47" t="s">
        <v>3217</v>
      </c>
      <c r="Z47" t="s">
        <v>2585</v>
      </c>
      <c r="AA47" t="s">
        <v>93</v>
      </c>
      <c r="AB47" t="s">
        <v>820</v>
      </c>
      <c r="AC47" t="s">
        <v>3218</v>
      </c>
      <c r="AF47">
        <f>1*Tabela2[[#This Row],[kan_params]]</f>
        <v>11340</v>
      </c>
      <c r="AG47">
        <f>1*Tabela2[[#This Row],[kan_test_acc]]</f>
        <v>0.977777779102325</v>
      </c>
      <c r="AH47">
        <f>1*Tabela2[[#This Row],[mlp_test_acc]]</f>
        <v>0.95555555555555505</v>
      </c>
      <c r="AI47">
        <f>1*Tabela2[[#This Row],[mlp2_test_acc]]</f>
        <v>0.91111111111111098</v>
      </c>
    </row>
    <row r="48" spans="1:35" x14ac:dyDescent="0.25">
      <c r="A48" t="s">
        <v>57</v>
      </c>
      <c r="B48" t="s">
        <v>78</v>
      </c>
      <c r="C48" t="s">
        <v>666</v>
      </c>
      <c r="D48" t="s">
        <v>274</v>
      </c>
      <c r="E48" t="s">
        <v>80</v>
      </c>
      <c r="F48" t="s">
        <v>74</v>
      </c>
      <c r="G48" t="s">
        <v>3238</v>
      </c>
      <c r="H48" t="s">
        <v>3239</v>
      </c>
      <c r="I48" t="s">
        <v>1056</v>
      </c>
      <c r="J48" t="s">
        <v>89</v>
      </c>
      <c r="K48" t="s">
        <v>89</v>
      </c>
      <c r="L48" t="s">
        <v>2432</v>
      </c>
      <c r="M48" t="s">
        <v>2433</v>
      </c>
      <c r="N48" t="s">
        <v>2443</v>
      </c>
      <c r="O48" t="s">
        <v>89</v>
      </c>
      <c r="P48" t="s">
        <v>1704</v>
      </c>
      <c r="Q48" t="s">
        <v>3240</v>
      </c>
      <c r="R48" t="s">
        <v>2559</v>
      </c>
      <c r="S48" t="s">
        <v>93</v>
      </c>
      <c r="T48" t="s">
        <v>109</v>
      </c>
      <c r="U48" t="s">
        <v>3133</v>
      </c>
      <c r="V48" t="s">
        <v>3241</v>
      </c>
      <c r="W48" t="s">
        <v>3229</v>
      </c>
      <c r="X48" t="s">
        <v>160</v>
      </c>
      <c r="Y48" t="s">
        <v>3242</v>
      </c>
      <c r="Z48" t="s">
        <v>2719</v>
      </c>
      <c r="AA48" t="s">
        <v>93</v>
      </c>
      <c r="AB48" t="s">
        <v>113</v>
      </c>
      <c r="AC48" t="s">
        <v>3243</v>
      </c>
      <c r="AF48">
        <f>1*Tabela2[[#This Row],[kan_params]]</f>
        <v>12422</v>
      </c>
      <c r="AG48">
        <f>1*Tabela2[[#This Row],[kan_test_acc]]</f>
        <v>0.977777779102325</v>
      </c>
      <c r="AH48">
        <f>1*Tabela2[[#This Row],[mlp_test_acc]]</f>
        <v>0.95555555555555505</v>
      </c>
      <c r="AI48">
        <f>1*Tabela2[[#This Row],[mlp2_test_acc]]</f>
        <v>0.28888888888888797</v>
      </c>
    </row>
    <row r="49" spans="1:35" x14ac:dyDescent="0.25">
      <c r="A49" t="s">
        <v>57</v>
      </c>
      <c r="B49" t="s">
        <v>814</v>
      </c>
      <c r="C49" t="s">
        <v>666</v>
      </c>
      <c r="D49" t="s">
        <v>79</v>
      </c>
      <c r="E49" t="s">
        <v>80</v>
      </c>
      <c r="F49" t="s">
        <v>60</v>
      </c>
      <c r="G49" t="s">
        <v>3271</v>
      </c>
      <c r="H49" t="s">
        <v>3272</v>
      </c>
      <c r="I49" t="s">
        <v>1024</v>
      </c>
      <c r="J49" t="s">
        <v>89</v>
      </c>
      <c r="K49" t="s">
        <v>89</v>
      </c>
      <c r="L49" t="s">
        <v>2432</v>
      </c>
      <c r="M49" t="s">
        <v>2433</v>
      </c>
      <c r="N49" t="s">
        <v>2443</v>
      </c>
      <c r="O49" t="s">
        <v>89</v>
      </c>
      <c r="P49" t="s">
        <v>3148</v>
      </c>
      <c r="Q49" t="s">
        <v>3273</v>
      </c>
      <c r="R49" t="s">
        <v>2496</v>
      </c>
      <c r="S49" t="s">
        <v>93</v>
      </c>
      <c r="T49" t="s">
        <v>2497</v>
      </c>
      <c r="U49" t="s">
        <v>3133</v>
      </c>
      <c r="V49" t="s">
        <v>3143</v>
      </c>
      <c r="W49" t="s">
        <v>3229</v>
      </c>
      <c r="X49" t="s">
        <v>160</v>
      </c>
      <c r="Y49" t="s">
        <v>3274</v>
      </c>
      <c r="Z49" t="s">
        <v>2501</v>
      </c>
      <c r="AA49" t="s">
        <v>93</v>
      </c>
      <c r="AB49" t="s">
        <v>94</v>
      </c>
      <c r="AC49" t="s">
        <v>3275</v>
      </c>
      <c r="AF49">
        <f>1*Tabela2[[#This Row],[kan_params]]</f>
        <v>9705</v>
      </c>
      <c r="AG49">
        <f>1*Tabela2[[#This Row],[kan_test_acc]]</f>
        <v>0.977777779102325</v>
      </c>
      <c r="AH49">
        <f>1*Tabela2[[#This Row],[mlp_test_acc]]</f>
        <v>0.95555555555555505</v>
      </c>
      <c r="AI49">
        <f>1*Tabela2[[#This Row],[mlp2_test_acc]]</f>
        <v>0.28888888888888797</v>
      </c>
    </row>
    <row r="50" spans="1:35" x14ac:dyDescent="0.25">
      <c r="A50" t="s">
        <v>57</v>
      </c>
      <c r="B50" t="s">
        <v>814</v>
      </c>
      <c r="C50" t="s">
        <v>666</v>
      </c>
      <c r="D50" t="s">
        <v>79</v>
      </c>
      <c r="E50" t="s">
        <v>80</v>
      </c>
      <c r="F50" t="s">
        <v>63</v>
      </c>
      <c r="G50" t="s">
        <v>3287</v>
      </c>
      <c r="H50" t="s">
        <v>3288</v>
      </c>
      <c r="I50" t="s">
        <v>1798</v>
      </c>
      <c r="J50" t="s">
        <v>3185</v>
      </c>
      <c r="K50" t="s">
        <v>89</v>
      </c>
      <c r="L50" t="s">
        <v>2432</v>
      </c>
      <c r="M50" t="s">
        <v>2433</v>
      </c>
      <c r="N50" t="s">
        <v>2443</v>
      </c>
      <c r="O50" t="s">
        <v>89</v>
      </c>
      <c r="P50" t="s">
        <v>3267</v>
      </c>
      <c r="Q50" t="s">
        <v>3289</v>
      </c>
      <c r="R50" t="s">
        <v>2519</v>
      </c>
      <c r="S50" t="s">
        <v>93</v>
      </c>
      <c r="T50" t="s">
        <v>2187</v>
      </c>
      <c r="U50" t="s">
        <v>3133</v>
      </c>
      <c r="V50" t="s">
        <v>3290</v>
      </c>
      <c r="W50" t="s">
        <v>3229</v>
      </c>
      <c r="X50" t="s">
        <v>160</v>
      </c>
      <c r="Y50" t="s">
        <v>3291</v>
      </c>
      <c r="Z50" t="s">
        <v>2522</v>
      </c>
      <c r="AA50" t="s">
        <v>93</v>
      </c>
      <c r="AB50" t="s">
        <v>2523</v>
      </c>
      <c r="AC50" t="s">
        <v>3292</v>
      </c>
      <c r="AF50">
        <f>1*Tabela2[[#This Row],[kan_params]]</f>
        <v>9378</v>
      </c>
      <c r="AG50">
        <f>1*Tabela2[[#This Row],[kan_test_acc]]</f>
        <v>0.977777779102325</v>
      </c>
      <c r="AH50">
        <f>1*Tabela2[[#This Row],[mlp_test_acc]]</f>
        <v>0.95555555555555505</v>
      </c>
      <c r="AI50">
        <f>1*Tabela2[[#This Row],[mlp2_test_acc]]</f>
        <v>0.28888888888888797</v>
      </c>
    </row>
    <row r="51" spans="1:35" x14ac:dyDescent="0.25">
      <c r="A51" t="s">
        <v>57</v>
      </c>
      <c r="B51" t="s">
        <v>814</v>
      </c>
      <c r="C51" t="s">
        <v>666</v>
      </c>
      <c r="D51" t="s">
        <v>79</v>
      </c>
      <c r="E51" t="s">
        <v>80</v>
      </c>
      <c r="F51" t="s">
        <v>68</v>
      </c>
      <c r="G51" t="s">
        <v>3318</v>
      </c>
      <c r="H51" t="s">
        <v>3319</v>
      </c>
      <c r="I51" t="s">
        <v>1644</v>
      </c>
      <c r="J51" t="s">
        <v>89</v>
      </c>
      <c r="K51" t="s">
        <v>89</v>
      </c>
      <c r="L51" t="s">
        <v>2432</v>
      </c>
      <c r="M51" t="s">
        <v>2433</v>
      </c>
      <c r="N51" t="s">
        <v>2443</v>
      </c>
      <c r="O51" t="s">
        <v>89</v>
      </c>
      <c r="P51" t="s">
        <v>3267</v>
      </c>
      <c r="Q51" t="s">
        <v>3320</v>
      </c>
      <c r="R51" t="s">
        <v>2522</v>
      </c>
      <c r="S51" t="s">
        <v>93</v>
      </c>
      <c r="T51" t="s">
        <v>2523</v>
      </c>
      <c r="U51" t="s">
        <v>3133</v>
      </c>
      <c r="V51" t="s">
        <v>3241</v>
      </c>
      <c r="W51" t="s">
        <v>3229</v>
      </c>
      <c r="X51" t="s">
        <v>160</v>
      </c>
      <c r="Y51" t="s">
        <v>3321</v>
      </c>
      <c r="Z51" t="s">
        <v>2496</v>
      </c>
      <c r="AA51" t="s">
        <v>93</v>
      </c>
      <c r="AB51" t="s">
        <v>2497</v>
      </c>
      <c r="AC51" t="s">
        <v>3322</v>
      </c>
      <c r="AF51">
        <f>1*Tabela2[[#This Row],[kan_params]]</f>
        <v>9629</v>
      </c>
      <c r="AG51">
        <f>1*Tabela2[[#This Row],[kan_test_acc]]</f>
        <v>0.977777779102325</v>
      </c>
      <c r="AH51">
        <f>1*Tabela2[[#This Row],[mlp_test_acc]]</f>
        <v>0.95555555555555505</v>
      </c>
      <c r="AI51">
        <f>1*Tabela2[[#This Row],[mlp2_test_acc]]</f>
        <v>0.28888888888888797</v>
      </c>
    </row>
    <row r="52" spans="1:35" x14ac:dyDescent="0.25">
      <c r="A52" t="s">
        <v>57</v>
      </c>
      <c r="B52" t="s">
        <v>814</v>
      </c>
      <c r="C52" t="s">
        <v>666</v>
      </c>
      <c r="D52" t="s">
        <v>79</v>
      </c>
      <c r="E52" t="s">
        <v>80</v>
      </c>
      <c r="F52" t="s">
        <v>69</v>
      </c>
      <c r="G52" t="s">
        <v>3323</v>
      </c>
      <c r="H52" t="s">
        <v>3324</v>
      </c>
      <c r="I52" t="s">
        <v>930</v>
      </c>
      <c r="J52" t="s">
        <v>89</v>
      </c>
      <c r="K52" t="s">
        <v>89</v>
      </c>
      <c r="L52" t="s">
        <v>2432</v>
      </c>
      <c r="M52" t="s">
        <v>2433</v>
      </c>
      <c r="N52" t="s">
        <v>2443</v>
      </c>
      <c r="O52" t="s">
        <v>89</v>
      </c>
      <c r="P52" t="s">
        <v>3246</v>
      </c>
      <c r="Q52" t="s">
        <v>3325</v>
      </c>
      <c r="R52" t="s">
        <v>2585</v>
      </c>
      <c r="S52" t="s">
        <v>93</v>
      </c>
      <c r="T52" t="s">
        <v>820</v>
      </c>
      <c r="U52" t="s">
        <v>3133</v>
      </c>
      <c r="V52" t="s">
        <v>3241</v>
      </c>
      <c r="W52" t="s">
        <v>3229</v>
      </c>
      <c r="X52" t="s">
        <v>160</v>
      </c>
      <c r="Y52" t="s">
        <v>3326</v>
      </c>
      <c r="Z52" t="s">
        <v>2688</v>
      </c>
      <c r="AA52" t="s">
        <v>93</v>
      </c>
      <c r="AB52" t="s">
        <v>823</v>
      </c>
      <c r="AC52" t="s">
        <v>3327</v>
      </c>
      <c r="AF52">
        <f>1*Tabela2[[#This Row],[kan_params]]</f>
        <v>11614</v>
      </c>
      <c r="AG52">
        <f>1*Tabela2[[#This Row],[kan_test_acc]]</f>
        <v>0.977777779102325</v>
      </c>
      <c r="AH52">
        <f>1*Tabela2[[#This Row],[mlp_test_acc]]</f>
        <v>0.95555555555555505</v>
      </c>
      <c r="AI52">
        <f>1*Tabela2[[#This Row],[mlp2_test_acc]]</f>
        <v>0.28888888888888797</v>
      </c>
    </row>
    <row r="53" spans="1:35" x14ac:dyDescent="0.25">
      <c r="A53" t="s">
        <v>57</v>
      </c>
      <c r="B53" t="s">
        <v>814</v>
      </c>
      <c r="C53" t="s">
        <v>666</v>
      </c>
      <c r="D53" t="s">
        <v>79</v>
      </c>
      <c r="E53" t="s">
        <v>80</v>
      </c>
      <c r="F53" t="s">
        <v>74</v>
      </c>
      <c r="G53" t="s">
        <v>3355</v>
      </c>
      <c r="H53" t="s">
        <v>3356</v>
      </c>
      <c r="I53" t="s">
        <v>927</v>
      </c>
      <c r="J53" t="s">
        <v>2516</v>
      </c>
      <c r="K53" t="s">
        <v>89</v>
      </c>
      <c r="L53" t="s">
        <v>2432</v>
      </c>
      <c r="M53" t="s">
        <v>2433</v>
      </c>
      <c r="N53" t="s">
        <v>2443</v>
      </c>
      <c r="O53" t="s">
        <v>89</v>
      </c>
      <c r="P53" t="s">
        <v>3357</v>
      </c>
      <c r="Q53" t="s">
        <v>3358</v>
      </c>
      <c r="R53" t="s">
        <v>2750</v>
      </c>
      <c r="S53" t="s">
        <v>93</v>
      </c>
      <c r="T53" t="s">
        <v>2751</v>
      </c>
      <c r="U53" t="s">
        <v>3359</v>
      </c>
      <c r="V53" t="s">
        <v>3331</v>
      </c>
      <c r="W53" t="s">
        <v>3360</v>
      </c>
      <c r="X53" t="s">
        <v>160</v>
      </c>
      <c r="Y53" t="s">
        <v>3361</v>
      </c>
      <c r="Z53" t="s">
        <v>2896</v>
      </c>
      <c r="AA53" t="s">
        <v>93</v>
      </c>
      <c r="AB53" t="s">
        <v>123</v>
      </c>
      <c r="AC53" t="s">
        <v>3362</v>
      </c>
      <c r="AF53">
        <f>1*Tabela2[[#This Row],[kan_params]]</f>
        <v>14897</v>
      </c>
      <c r="AG53">
        <f>1*Tabela2[[#This Row],[kan_test_acc]]</f>
        <v>0.977777779102325</v>
      </c>
      <c r="AH53">
        <f>1*Tabela2[[#This Row],[mlp_test_acc]]</f>
        <v>0.95555555555555505</v>
      </c>
      <c r="AI53">
        <f>1*Tabela2[[#This Row],[mlp2_test_acc]]</f>
        <v>0.31111111111111101</v>
      </c>
    </row>
    <row r="54" spans="1:35" x14ac:dyDescent="0.25">
      <c r="A54" t="s">
        <v>57</v>
      </c>
      <c r="B54" t="s">
        <v>814</v>
      </c>
      <c r="C54" t="s">
        <v>666</v>
      </c>
      <c r="D54" t="s">
        <v>79</v>
      </c>
      <c r="E54" t="s">
        <v>80</v>
      </c>
      <c r="F54" t="s">
        <v>76</v>
      </c>
      <c r="G54" t="s">
        <v>3369</v>
      </c>
      <c r="H54" t="s">
        <v>3370</v>
      </c>
      <c r="I54" t="s">
        <v>187</v>
      </c>
      <c r="J54" t="s">
        <v>89</v>
      </c>
      <c r="K54" t="s">
        <v>89</v>
      </c>
      <c r="L54" t="s">
        <v>2432</v>
      </c>
      <c r="M54" t="s">
        <v>2433</v>
      </c>
      <c r="N54" t="s">
        <v>2443</v>
      </c>
      <c r="O54" t="s">
        <v>89</v>
      </c>
      <c r="P54" t="s">
        <v>3371</v>
      </c>
      <c r="Q54" t="s">
        <v>3372</v>
      </c>
      <c r="R54" t="s">
        <v>3373</v>
      </c>
      <c r="S54" t="s">
        <v>93</v>
      </c>
      <c r="T54" t="s">
        <v>1397</v>
      </c>
      <c r="U54" t="s">
        <v>3133</v>
      </c>
      <c r="V54" t="s">
        <v>3241</v>
      </c>
      <c r="W54" t="s">
        <v>3229</v>
      </c>
      <c r="X54" t="s">
        <v>160</v>
      </c>
      <c r="Y54" t="s">
        <v>3374</v>
      </c>
      <c r="Z54" t="s">
        <v>2807</v>
      </c>
      <c r="AA54" t="s">
        <v>93</v>
      </c>
      <c r="AB54" t="s">
        <v>1671</v>
      </c>
      <c r="AC54" t="s">
        <v>3375</v>
      </c>
      <c r="AF54">
        <f>1*Tabela2[[#This Row],[kan_params]]</f>
        <v>2604</v>
      </c>
      <c r="AG54">
        <f>1*Tabela2[[#This Row],[kan_test_acc]]</f>
        <v>0.977777779102325</v>
      </c>
      <c r="AH54">
        <f>1*Tabela2[[#This Row],[mlp_test_acc]]</f>
        <v>0.95555555555555505</v>
      </c>
      <c r="AI54">
        <f>1*Tabela2[[#This Row],[mlp2_test_acc]]</f>
        <v>0.28888888888888797</v>
      </c>
    </row>
    <row r="55" spans="1:35" x14ac:dyDescent="0.25">
      <c r="A55" t="s">
        <v>57</v>
      </c>
      <c r="B55" t="s">
        <v>897</v>
      </c>
      <c r="C55" t="s">
        <v>1026</v>
      </c>
      <c r="D55" t="s">
        <v>274</v>
      </c>
      <c r="E55" t="s">
        <v>80</v>
      </c>
      <c r="F55" t="s">
        <v>59</v>
      </c>
      <c r="G55" t="s">
        <v>2626</v>
      </c>
      <c r="H55" t="s">
        <v>3657</v>
      </c>
      <c r="I55" t="s">
        <v>972</v>
      </c>
      <c r="J55" t="s">
        <v>89</v>
      </c>
      <c r="K55" t="s">
        <v>89</v>
      </c>
      <c r="L55" t="s">
        <v>2432</v>
      </c>
      <c r="M55" t="s">
        <v>3179</v>
      </c>
      <c r="N55" t="s">
        <v>2607</v>
      </c>
      <c r="O55" t="s">
        <v>89</v>
      </c>
      <c r="P55" t="s">
        <v>2211</v>
      </c>
      <c r="Q55" t="s">
        <v>3658</v>
      </c>
      <c r="R55" t="s">
        <v>2456</v>
      </c>
      <c r="S55" t="s">
        <v>93</v>
      </c>
      <c r="T55" t="s">
        <v>2257</v>
      </c>
      <c r="U55" t="s">
        <v>3440</v>
      </c>
      <c r="V55" t="s">
        <v>3006</v>
      </c>
      <c r="W55" t="s">
        <v>3411</v>
      </c>
      <c r="X55" t="s">
        <v>160</v>
      </c>
      <c r="Y55" t="s">
        <v>3659</v>
      </c>
      <c r="Z55" t="s">
        <v>2459</v>
      </c>
      <c r="AA55" t="s">
        <v>93</v>
      </c>
      <c r="AB55" t="s">
        <v>2460</v>
      </c>
      <c r="AC55" t="s">
        <v>3660</v>
      </c>
      <c r="AF55">
        <f>1*Tabela2[[#This Row],[kan_params]]</f>
        <v>8717</v>
      </c>
      <c r="AG55">
        <f>1*Tabela2[[#This Row],[kan_test_acc]]</f>
        <v>0.977777779102325</v>
      </c>
      <c r="AH55">
        <f>1*Tabela2[[#This Row],[mlp_test_acc]]</f>
        <v>0.91111111111111098</v>
      </c>
      <c r="AI55">
        <f>1*Tabela2[[#This Row],[mlp2_test_acc]]</f>
        <v>0.86666666666666603</v>
      </c>
    </row>
    <row r="56" spans="1:35" x14ac:dyDescent="0.25">
      <c r="A56" t="s">
        <v>57</v>
      </c>
      <c r="B56" t="s">
        <v>897</v>
      </c>
      <c r="C56" t="s">
        <v>1026</v>
      </c>
      <c r="D56" t="s">
        <v>274</v>
      </c>
      <c r="E56" t="s">
        <v>80</v>
      </c>
      <c r="F56" t="s">
        <v>62</v>
      </c>
      <c r="G56" t="s">
        <v>2657</v>
      </c>
      <c r="H56" t="s">
        <v>3672</v>
      </c>
      <c r="I56" t="s">
        <v>3673</v>
      </c>
      <c r="J56" t="s">
        <v>89</v>
      </c>
      <c r="K56" t="s">
        <v>2431</v>
      </c>
      <c r="L56" t="s">
        <v>2432</v>
      </c>
      <c r="M56" t="s">
        <v>3006</v>
      </c>
      <c r="N56" t="s">
        <v>2607</v>
      </c>
      <c r="O56" t="s">
        <v>89</v>
      </c>
      <c r="P56" t="s">
        <v>2211</v>
      </c>
      <c r="Q56" t="s">
        <v>3674</v>
      </c>
      <c r="R56" t="s">
        <v>2486</v>
      </c>
      <c r="S56" t="s">
        <v>93</v>
      </c>
      <c r="T56" t="s">
        <v>281</v>
      </c>
      <c r="U56" t="s">
        <v>3675</v>
      </c>
      <c r="V56" t="s">
        <v>3525</v>
      </c>
      <c r="W56" t="s">
        <v>3676</v>
      </c>
      <c r="X56" t="s">
        <v>160</v>
      </c>
      <c r="Y56" t="s">
        <v>3677</v>
      </c>
      <c r="Z56" t="s">
        <v>2489</v>
      </c>
      <c r="AA56" t="s">
        <v>93</v>
      </c>
      <c r="AB56" t="s">
        <v>285</v>
      </c>
      <c r="AC56" t="s">
        <v>3678</v>
      </c>
      <c r="AF56">
        <f>1*Tabela2[[#This Row],[kan_params]]</f>
        <v>8182</v>
      </c>
      <c r="AG56">
        <f>1*Tabela2[[#This Row],[kan_test_acc]]</f>
        <v>0.977777779102325</v>
      </c>
      <c r="AH56">
        <f>1*Tabela2[[#This Row],[mlp_test_acc]]</f>
        <v>0.88888888888888795</v>
      </c>
      <c r="AI56">
        <f>1*Tabela2[[#This Row],[mlp2_test_acc]]</f>
        <v>0.75555555555555498</v>
      </c>
    </row>
    <row r="57" spans="1:35" x14ac:dyDescent="0.25">
      <c r="A57" t="s">
        <v>57</v>
      </c>
      <c r="B57" t="s">
        <v>897</v>
      </c>
      <c r="C57" t="s">
        <v>1026</v>
      </c>
      <c r="D57" t="s">
        <v>274</v>
      </c>
      <c r="E57" t="s">
        <v>80</v>
      </c>
      <c r="F57" t="s">
        <v>65</v>
      </c>
      <c r="G57" t="s">
        <v>2690</v>
      </c>
      <c r="H57" t="s">
        <v>3687</v>
      </c>
      <c r="I57" t="s">
        <v>345</v>
      </c>
      <c r="J57" t="s">
        <v>89</v>
      </c>
      <c r="K57" t="s">
        <v>89</v>
      </c>
      <c r="L57" t="s">
        <v>2432</v>
      </c>
      <c r="M57" t="s">
        <v>3006</v>
      </c>
      <c r="N57" t="s">
        <v>2443</v>
      </c>
      <c r="O57" t="s">
        <v>89</v>
      </c>
      <c r="P57" t="s">
        <v>2211</v>
      </c>
      <c r="Q57" t="s">
        <v>3688</v>
      </c>
      <c r="R57" t="s">
        <v>2519</v>
      </c>
      <c r="S57" t="s">
        <v>93</v>
      </c>
      <c r="T57" t="s">
        <v>2187</v>
      </c>
      <c r="U57" t="s">
        <v>3006</v>
      </c>
      <c r="V57" t="s">
        <v>3006</v>
      </c>
      <c r="W57" t="s">
        <v>3395</v>
      </c>
      <c r="X57" t="s">
        <v>160</v>
      </c>
      <c r="Y57" t="s">
        <v>3689</v>
      </c>
      <c r="Z57" t="s">
        <v>2522</v>
      </c>
      <c r="AA57" t="s">
        <v>93</v>
      </c>
      <c r="AB57" t="s">
        <v>2523</v>
      </c>
      <c r="AC57" t="s">
        <v>3690</v>
      </c>
      <c r="AF57">
        <f>1*Tabela2[[#This Row],[kan_params]]</f>
        <v>9172</v>
      </c>
      <c r="AG57">
        <f>1*Tabela2[[#This Row],[kan_test_acc]]</f>
        <v>0.977777779102325</v>
      </c>
      <c r="AH57">
        <f>1*Tabela2[[#This Row],[mlp_test_acc]]</f>
        <v>0.88888888888888795</v>
      </c>
      <c r="AI57">
        <f>1*Tabela2[[#This Row],[mlp2_test_acc]]</f>
        <v>0.88888888888888795</v>
      </c>
    </row>
    <row r="58" spans="1:35" x14ac:dyDescent="0.25">
      <c r="A58" t="s">
        <v>57</v>
      </c>
      <c r="B58" t="s">
        <v>897</v>
      </c>
      <c r="C58" t="s">
        <v>1026</v>
      </c>
      <c r="D58" t="s">
        <v>274</v>
      </c>
      <c r="E58" t="s">
        <v>80</v>
      </c>
      <c r="F58" t="s">
        <v>67</v>
      </c>
      <c r="G58" t="s">
        <v>2712</v>
      </c>
      <c r="H58" t="s">
        <v>3695</v>
      </c>
      <c r="I58" t="s">
        <v>109</v>
      </c>
      <c r="J58" t="s">
        <v>89</v>
      </c>
      <c r="K58" t="s">
        <v>2431</v>
      </c>
      <c r="L58" t="s">
        <v>2432</v>
      </c>
      <c r="M58" t="s">
        <v>3006</v>
      </c>
      <c r="N58" t="s">
        <v>2607</v>
      </c>
      <c r="O58" t="s">
        <v>89</v>
      </c>
      <c r="P58" t="s">
        <v>3618</v>
      </c>
      <c r="Q58" t="s">
        <v>3696</v>
      </c>
      <c r="R58" t="s">
        <v>2719</v>
      </c>
      <c r="S58" t="s">
        <v>93</v>
      </c>
      <c r="T58" t="s">
        <v>113</v>
      </c>
      <c r="U58" t="s">
        <v>3488</v>
      </c>
      <c r="V58" t="s">
        <v>2886</v>
      </c>
      <c r="W58" t="s">
        <v>3604</v>
      </c>
      <c r="X58" t="s">
        <v>160</v>
      </c>
      <c r="Y58" t="s">
        <v>3697</v>
      </c>
      <c r="Z58" t="s">
        <v>2592</v>
      </c>
      <c r="AA58" t="s">
        <v>93</v>
      </c>
      <c r="AB58" t="s">
        <v>2593</v>
      </c>
      <c r="AC58" t="s">
        <v>3698</v>
      </c>
      <c r="AF58">
        <f>1*Tabela2[[#This Row],[kan_params]]</f>
        <v>12982</v>
      </c>
      <c r="AG58">
        <f>1*Tabela2[[#This Row],[kan_test_acc]]</f>
        <v>0.977777779102325</v>
      </c>
      <c r="AH58">
        <f>1*Tabela2[[#This Row],[mlp_test_acc]]</f>
        <v>0.88888888888888795</v>
      </c>
      <c r="AI58">
        <f>1*Tabela2[[#This Row],[mlp2_test_acc]]</f>
        <v>0.82222222222222197</v>
      </c>
    </row>
    <row r="59" spans="1:35" x14ac:dyDescent="0.25">
      <c r="A59" t="s">
        <v>57</v>
      </c>
      <c r="B59" t="s">
        <v>897</v>
      </c>
      <c r="C59" t="s">
        <v>1026</v>
      </c>
      <c r="D59" t="s">
        <v>274</v>
      </c>
      <c r="E59" t="s">
        <v>80</v>
      </c>
      <c r="F59" t="s">
        <v>70</v>
      </c>
      <c r="G59" t="s">
        <v>2741</v>
      </c>
      <c r="H59" t="s">
        <v>3707</v>
      </c>
      <c r="I59" t="s">
        <v>3339</v>
      </c>
      <c r="J59" t="s">
        <v>89</v>
      </c>
      <c r="K59" t="s">
        <v>89</v>
      </c>
      <c r="L59" t="s">
        <v>2432</v>
      </c>
      <c r="M59" t="s">
        <v>3006</v>
      </c>
      <c r="N59" t="s">
        <v>2607</v>
      </c>
      <c r="O59" t="s">
        <v>89</v>
      </c>
      <c r="P59" t="s">
        <v>1798</v>
      </c>
      <c r="Q59" t="s">
        <v>3708</v>
      </c>
      <c r="R59" t="s">
        <v>2747</v>
      </c>
      <c r="S59" t="s">
        <v>93</v>
      </c>
      <c r="T59" t="s">
        <v>558</v>
      </c>
      <c r="U59" t="s">
        <v>3006</v>
      </c>
      <c r="V59" t="s">
        <v>2607</v>
      </c>
      <c r="W59" t="s">
        <v>3395</v>
      </c>
      <c r="X59" t="s">
        <v>160</v>
      </c>
      <c r="Y59" t="s">
        <v>3709</v>
      </c>
      <c r="Z59" t="s">
        <v>2750</v>
      </c>
      <c r="AA59" t="s">
        <v>93</v>
      </c>
      <c r="AB59" t="s">
        <v>2751</v>
      </c>
      <c r="AC59" t="s">
        <v>3710</v>
      </c>
      <c r="AF59">
        <f>1*Tabela2[[#This Row],[kan_params]]</f>
        <v>14352</v>
      </c>
      <c r="AG59">
        <f>1*Tabela2[[#This Row],[kan_test_acc]]</f>
        <v>0.977777779102325</v>
      </c>
      <c r="AH59">
        <f>1*Tabela2[[#This Row],[mlp_test_acc]]</f>
        <v>0.88888888888888795</v>
      </c>
      <c r="AI59">
        <f>1*Tabela2[[#This Row],[mlp2_test_acc]]</f>
        <v>0.88888888888888795</v>
      </c>
    </row>
    <row r="60" spans="1:35" x14ac:dyDescent="0.25">
      <c r="A60" t="s">
        <v>57</v>
      </c>
      <c r="B60" t="s">
        <v>897</v>
      </c>
      <c r="C60" t="s">
        <v>1026</v>
      </c>
      <c r="D60" t="s">
        <v>274</v>
      </c>
      <c r="E60" t="s">
        <v>80</v>
      </c>
      <c r="F60" t="s">
        <v>71</v>
      </c>
      <c r="G60" t="s">
        <v>2753</v>
      </c>
      <c r="H60" t="s">
        <v>3711</v>
      </c>
      <c r="I60" t="s">
        <v>1222</v>
      </c>
      <c r="J60" t="s">
        <v>89</v>
      </c>
      <c r="K60" t="s">
        <v>89</v>
      </c>
      <c r="L60" t="s">
        <v>2432</v>
      </c>
      <c r="M60" t="s">
        <v>3006</v>
      </c>
      <c r="N60" t="s">
        <v>2607</v>
      </c>
      <c r="O60" t="s">
        <v>89</v>
      </c>
      <c r="P60" t="s">
        <v>2211</v>
      </c>
      <c r="Q60" t="s">
        <v>3712</v>
      </c>
      <c r="R60" t="s">
        <v>2714</v>
      </c>
      <c r="S60" t="s">
        <v>93</v>
      </c>
      <c r="T60" t="s">
        <v>2379</v>
      </c>
      <c r="U60" t="s">
        <v>3668</v>
      </c>
      <c r="V60" t="s">
        <v>3134</v>
      </c>
      <c r="W60" t="s">
        <v>3713</v>
      </c>
      <c r="X60" t="s">
        <v>160</v>
      </c>
      <c r="Y60" t="s">
        <v>3714</v>
      </c>
      <c r="Z60" t="s">
        <v>2435</v>
      </c>
      <c r="AA60" t="s">
        <v>93</v>
      </c>
      <c r="AB60" t="s">
        <v>1950</v>
      </c>
      <c r="AC60" t="s">
        <v>3715</v>
      </c>
      <c r="AF60">
        <f>1*Tabela2[[#This Row],[kan_params]]</f>
        <v>5798</v>
      </c>
      <c r="AG60">
        <f>1*Tabela2[[#This Row],[kan_test_acc]]</f>
        <v>0.977777779102325</v>
      </c>
      <c r="AH60">
        <f>1*Tabela2[[#This Row],[mlp_test_acc]]</f>
        <v>0.88888888888888795</v>
      </c>
      <c r="AI60">
        <f>1*Tabela2[[#This Row],[mlp2_test_acc]]</f>
        <v>0.62222222222222201</v>
      </c>
    </row>
    <row r="61" spans="1:35" x14ac:dyDescent="0.25">
      <c r="A61" t="s">
        <v>57</v>
      </c>
      <c r="B61" t="s">
        <v>897</v>
      </c>
      <c r="C61" t="s">
        <v>1026</v>
      </c>
      <c r="D61" t="s">
        <v>274</v>
      </c>
      <c r="E61" t="s">
        <v>80</v>
      </c>
      <c r="F61" t="s">
        <v>75</v>
      </c>
      <c r="G61" t="s">
        <v>2794</v>
      </c>
      <c r="H61" t="s">
        <v>3728</v>
      </c>
      <c r="I61" t="s">
        <v>1309</v>
      </c>
      <c r="J61" t="s">
        <v>89</v>
      </c>
      <c r="K61" t="s">
        <v>89</v>
      </c>
      <c r="L61" t="s">
        <v>2432</v>
      </c>
      <c r="M61" t="s">
        <v>3006</v>
      </c>
      <c r="N61" t="s">
        <v>2607</v>
      </c>
      <c r="O61" t="s">
        <v>89</v>
      </c>
      <c r="P61" t="s">
        <v>2211</v>
      </c>
      <c r="Q61" t="s">
        <v>3729</v>
      </c>
      <c r="R61" t="s">
        <v>2479</v>
      </c>
      <c r="S61" t="s">
        <v>93</v>
      </c>
      <c r="T61" t="s">
        <v>2198</v>
      </c>
      <c r="U61" t="s">
        <v>2916</v>
      </c>
      <c r="V61" t="s">
        <v>3525</v>
      </c>
      <c r="W61" t="s">
        <v>3730</v>
      </c>
      <c r="X61" t="s">
        <v>160</v>
      </c>
      <c r="Y61" t="s">
        <v>3731</v>
      </c>
      <c r="Z61" t="s">
        <v>2445</v>
      </c>
      <c r="AA61" t="s">
        <v>93</v>
      </c>
      <c r="AB61" t="s">
        <v>2446</v>
      </c>
      <c r="AC61" t="s">
        <v>3732</v>
      </c>
      <c r="AF61">
        <f>1*Tabela2[[#This Row],[kan_params]]</f>
        <v>7323</v>
      </c>
      <c r="AG61">
        <f>1*Tabela2[[#This Row],[kan_test_acc]]</f>
        <v>0.977777779102325</v>
      </c>
      <c r="AH61">
        <f>1*Tabela2[[#This Row],[mlp_test_acc]]</f>
        <v>0.88888888888888795</v>
      </c>
      <c r="AI61">
        <f>1*Tabela2[[#This Row],[mlp2_test_acc]]</f>
        <v>0.688888888888888</v>
      </c>
    </row>
    <row r="62" spans="1:35" x14ac:dyDescent="0.25">
      <c r="A62" t="s">
        <v>57</v>
      </c>
      <c r="B62" t="s">
        <v>959</v>
      </c>
      <c r="C62" t="s">
        <v>1026</v>
      </c>
      <c r="D62" t="s">
        <v>79</v>
      </c>
      <c r="E62" t="s">
        <v>80</v>
      </c>
      <c r="F62" t="s">
        <v>59</v>
      </c>
      <c r="G62" t="s">
        <v>2483</v>
      </c>
      <c r="H62" t="s">
        <v>3743</v>
      </c>
      <c r="I62" t="s">
        <v>698</v>
      </c>
      <c r="J62" t="s">
        <v>89</v>
      </c>
      <c r="K62" t="s">
        <v>89</v>
      </c>
      <c r="L62" t="s">
        <v>2432</v>
      </c>
      <c r="M62" t="s">
        <v>3006</v>
      </c>
      <c r="N62" t="s">
        <v>2607</v>
      </c>
      <c r="O62" t="s">
        <v>89</v>
      </c>
      <c r="P62" t="s">
        <v>3618</v>
      </c>
      <c r="Q62" t="s">
        <v>3744</v>
      </c>
      <c r="R62" t="s">
        <v>2501</v>
      </c>
      <c r="S62" t="s">
        <v>93</v>
      </c>
      <c r="T62" t="s">
        <v>94</v>
      </c>
      <c r="U62" t="s">
        <v>3006</v>
      </c>
      <c r="V62" t="s">
        <v>3006</v>
      </c>
      <c r="W62" t="s">
        <v>3395</v>
      </c>
      <c r="X62" t="s">
        <v>160</v>
      </c>
      <c r="Y62" t="s">
        <v>3745</v>
      </c>
      <c r="Z62" t="s">
        <v>2548</v>
      </c>
      <c r="AA62" t="s">
        <v>93</v>
      </c>
      <c r="AB62" t="s">
        <v>101</v>
      </c>
      <c r="AC62" t="s">
        <v>3746</v>
      </c>
      <c r="AF62">
        <f>1*Tabela2[[#This Row],[kan_params]]</f>
        <v>10088</v>
      </c>
      <c r="AG62">
        <f>1*Tabela2[[#This Row],[kan_test_acc]]</f>
        <v>0.977777779102325</v>
      </c>
      <c r="AH62">
        <f>1*Tabela2[[#This Row],[mlp_test_acc]]</f>
        <v>0.88888888888888795</v>
      </c>
      <c r="AI62">
        <f>1*Tabela2[[#This Row],[mlp2_test_acc]]</f>
        <v>0.88888888888888795</v>
      </c>
    </row>
    <row r="63" spans="1:35" x14ac:dyDescent="0.25">
      <c r="A63" t="s">
        <v>57</v>
      </c>
      <c r="B63" t="s">
        <v>959</v>
      </c>
      <c r="C63" t="s">
        <v>1026</v>
      </c>
      <c r="D63" t="s">
        <v>79</v>
      </c>
      <c r="E63" t="s">
        <v>80</v>
      </c>
      <c r="F63" t="s">
        <v>60</v>
      </c>
      <c r="G63" t="s">
        <v>2828</v>
      </c>
      <c r="H63" t="s">
        <v>3747</v>
      </c>
      <c r="I63" t="s">
        <v>3748</v>
      </c>
      <c r="J63" t="s">
        <v>89</v>
      </c>
      <c r="K63" t="s">
        <v>89</v>
      </c>
      <c r="L63" t="s">
        <v>2432</v>
      </c>
      <c r="M63" t="s">
        <v>3006</v>
      </c>
      <c r="N63" t="s">
        <v>2607</v>
      </c>
      <c r="O63" t="s">
        <v>89</v>
      </c>
      <c r="P63" t="s">
        <v>3618</v>
      </c>
      <c r="Q63" t="s">
        <v>3749</v>
      </c>
      <c r="R63" t="s">
        <v>2688</v>
      </c>
      <c r="S63" t="s">
        <v>93</v>
      </c>
      <c r="T63" t="s">
        <v>823</v>
      </c>
      <c r="U63" t="s">
        <v>3006</v>
      </c>
      <c r="V63" t="s">
        <v>2607</v>
      </c>
      <c r="W63" t="s">
        <v>3441</v>
      </c>
      <c r="X63" t="s">
        <v>160</v>
      </c>
      <c r="Y63" t="s">
        <v>3750</v>
      </c>
      <c r="Z63" t="s">
        <v>2557</v>
      </c>
      <c r="AA63" t="s">
        <v>93</v>
      </c>
      <c r="AB63" t="s">
        <v>374</v>
      </c>
      <c r="AC63" t="s">
        <v>3751</v>
      </c>
      <c r="AF63">
        <f>1*Tabela2[[#This Row],[kan_params]]</f>
        <v>11853</v>
      </c>
      <c r="AG63">
        <f>1*Tabela2[[#This Row],[kan_test_acc]]</f>
        <v>0.977777779102325</v>
      </c>
      <c r="AH63">
        <f>1*Tabela2[[#This Row],[mlp_test_acc]]</f>
        <v>0.88888888888888795</v>
      </c>
      <c r="AI63">
        <f>1*Tabela2[[#This Row],[mlp2_test_acc]]</f>
        <v>0.88888888888888795</v>
      </c>
    </row>
    <row r="64" spans="1:35" x14ac:dyDescent="0.25">
      <c r="A64" t="s">
        <v>57</v>
      </c>
      <c r="B64" t="s">
        <v>959</v>
      </c>
      <c r="C64" t="s">
        <v>1026</v>
      </c>
      <c r="D64" t="s">
        <v>79</v>
      </c>
      <c r="E64" t="s">
        <v>80</v>
      </c>
      <c r="F64" t="s">
        <v>63</v>
      </c>
      <c r="G64" t="s">
        <v>2855</v>
      </c>
      <c r="H64" t="s">
        <v>3763</v>
      </c>
      <c r="I64" t="s">
        <v>411</v>
      </c>
      <c r="J64" t="s">
        <v>89</v>
      </c>
      <c r="K64" t="s">
        <v>89</v>
      </c>
      <c r="L64" t="s">
        <v>2432</v>
      </c>
      <c r="M64" t="s">
        <v>3006</v>
      </c>
      <c r="N64" t="s">
        <v>2607</v>
      </c>
      <c r="O64" t="s">
        <v>89</v>
      </c>
      <c r="P64" t="s">
        <v>3618</v>
      </c>
      <c r="Q64" t="s">
        <v>3764</v>
      </c>
      <c r="R64" t="s">
        <v>2585</v>
      </c>
      <c r="S64" t="s">
        <v>93</v>
      </c>
      <c r="T64" t="s">
        <v>820</v>
      </c>
      <c r="U64" t="s">
        <v>3488</v>
      </c>
      <c r="V64" t="s">
        <v>2886</v>
      </c>
      <c r="W64" t="s">
        <v>3518</v>
      </c>
      <c r="X64" t="s">
        <v>160</v>
      </c>
      <c r="Y64" t="s">
        <v>3765</v>
      </c>
      <c r="Z64" t="s">
        <v>2688</v>
      </c>
      <c r="AA64" t="s">
        <v>93</v>
      </c>
      <c r="AB64" t="s">
        <v>823</v>
      </c>
      <c r="AC64" t="s">
        <v>3766</v>
      </c>
      <c r="AF64">
        <f>1*Tabela2[[#This Row],[kan_params]]</f>
        <v>11454</v>
      </c>
      <c r="AG64">
        <f>1*Tabela2[[#This Row],[kan_test_acc]]</f>
        <v>0.977777779102325</v>
      </c>
      <c r="AH64">
        <f>1*Tabela2[[#This Row],[mlp_test_acc]]</f>
        <v>0.88888888888888795</v>
      </c>
      <c r="AI64">
        <f>1*Tabela2[[#This Row],[mlp2_test_acc]]</f>
        <v>0.82222222222222197</v>
      </c>
    </row>
    <row r="65" spans="1:35" x14ac:dyDescent="0.25">
      <c r="A65" t="s">
        <v>57</v>
      </c>
      <c r="B65" t="s">
        <v>959</v>
      </c>
      <c r="C65" t="s">
        <v>1026</v>
      </c>
      <c r="D65" t="s">
        <v>79</v>
      </c>
      <c r="E65" t="s">
        <v>80</v>
      </c>
      <c r="F65" t="s">
        <v>65</v>
      </c>
      <c r="G65" t="s">
        <v>2871</v>
      </c>
      <c r="H65" t="s">
        <v>3771</v>
      </c>
      <c r="I65" t="s">
        <v>1418</v>
      </c>
      <c r="J65" t="s">
        <v>89</v>
      </c>
      <c r="K65" t="s">
        <v>89</v>
      </c>
      <c r="L65" t="s">
        <v>2432</v>
      </c>
      <c r="M65" t="s">
        <v>3006</v>
      </c>
      <c r="N65" t="s">
        <v>2607</v>
      </c>
      <c r="O65" t="s">
        <v>89</v>
      </c>
      <c r="P65" t="s">
        <v>3618</v>
      </c>
      <c r="Q65" t="s">
        <v>3772</v>
      </c>
      <c r="R65" t="s">
        <v>2551</v>
      </c>
      <c r="S65" t="s">
        <v>93</v>
      </c>
      <c r="T65" t="s">
        <v>1860</v>
      </c>
      <c r="U65" t="s">
        <v>3440</v>
      </c>
      <c r="V65" t="s">
        <v>3006</v>
      </c>
      <c r="W65" t="s">
        <v>3604</v>
      </c>
      <c r="X65" t="s">
        <v>160</v>
      </c>
      <c r="Y65" t="s">
        <v>3773</v>
      </c>
      <c r="Z65" t="s">
        <v>2531</v>
      </c>
      <c r="AA65" t="s">
        <v>93</v>
      </c>
      <c r="AB65" t="s">
        <v>2098</v>
      </c>
      <c r="AC65" t="s">
        <v>3774</v>
      </c>
      <c r="AF65">
        <f>1*Tabela2[[#This Row],[kan_params]]</f>
        <v>10615</v>
      </c>
      <c r="AG65">
        <f>1*Tabela2[[#This Row],[kan_test_acc]]</f>
        <v>0.977777779102325</v>
      </c>
      <c r="AH65">
        <f>1*Tabela2[[#This Row],[mlp_test_acc]]</f>
        <v>0.88888888888888795</v>
      </c>
      <c r="AI65">
        <f>1*Tabela2[[#This Row],[mlp2_test_acc]]</f>
        <v>0.86666666666666603</v>
      </c>
    </row>
    <row r="66" spans="1:35" x14ac:dyDescent="0.25">
      <c r="A66" t="s">
        <v>57</v>
      </c>
      <c r="B66" t="s">
        <v>959</v>
      </c>
      <c r="C66" t="s">
        <v>1026</v>
      </c>
      <c r="D66" t="s">
        <v>79</v>
      </c>
      <c r="E66" t="s">
        <v>80</v>
      </c>
      <c r="F66" t="s">
        <v>66</v>
      </c>
      <c r="G66" t="s">
        <v>2880</v>
      </c>
      <c r="H66" t="s">
        <v>3775</v>
      </c>
      <c r="I66" t="s">
        <v>113</v>
      </c>
      <c r="J66" t="s">
        <v>89</v>
      </c>
      <c r="K66" t="s">
        <v>89</v>
      </c>
      <c r="L66" t="s">
        <v>2432</v>
      </c>
      <c r="M66" t="s">
        <v>3006</v>
      </c>
      <c r="N66" t="s">
        <v>2607</v>
      </c>
      <c r="O66" t="s">
        <v>89</v>
      </c>
      <c r="P66" t="s">
        <v>3618</v>
      </c>
      <c r="Q66" t="s">
        <v>3776</v>
      </c>
      <c r="R66" t="s">
        <v>2719</v>
      </c>
      <c r="S66" t="s">
        <v>93</v>
      </c>
      <c r="T66" t="s">
        <v>113</v>
      </c>
      <c r="U66" t="s">
        <v>3006</v>
      </c>
      <c r="V66" t="s">
        <v>2607</v>
      </c>
      <c r="W66" t="s">
        <v>3395</v>
      </c>
      <c r="X66" t="s">
        <v>160</v>
      </c>
      <c r="Y66" t="s">
        <v>3777</v>
      </c>
      <c r="Z66" t="s">
        <v>2592</v>
      </c>
      <c r="AA66" t="s">
        <v>93</v>
      </c>
      <c r="AB66" t="s">
        <v>2593</v>
      </c>
      <c r="AC66" t="s">
        <v>3778</v>
      </c>
      <c r="AF66">
        <f>1*Tabela2[[#This Row],[kan_params]]</f>
        <v>12820</v>
      </c>
      <c r="AG66">
        <f>1*Tabela2[[#This Row],[kan_test_acc]]</f>
        <v>0.977777779102325</v>
      </c>
      <c r="AH66">
        <f>1*Tabela2[[#This Row],[mlp_test_acc]]</f>
        <v>0.88888888888888795</v>
      </c>
      <c r="AI66">
        <f>1*Tabela2[[#This Row],[mlp2_test_acc]]</f>
        <v>0.88888888888888795</v>
      </c>
    </row>
    <row r="67" spans="1:35" x14ac:dyDescent="0.25">
      <c r="A67" t="s">
        <v>57</v>
      </c>
      <c r="B67" t="s">
        <v>959</v>
      </c>
      <c r="C67" t="s">
        <v>1026</v>
      </c>
      <c r="D67" t="s">
        <v>79</v>
      </c>
      <c r="E67" t="s">
        <v>80</v>
      </c>
      <c r="F67" t="s">
        <v>67</v>
      </c>
      <c r="G67" t="s">
        <v>2890</v>
      </c>
      <c r="H67" t="s">
        <v>3779</v>
      </c>
      <c r="I67" t="s">
        <v>2446</v>
      </c>
      <c r="J67" t="s">
        <v>89</v>
      </c>
      <c r="K67" t="s">
        <v>89</v>
      </c>
      <c r="L67" t="s">
        <v>2432</v>
      </c>
      <c r="M67" t="s">
        <v>3006</v>
      </c>
      <c r="N67" t="s">
        <v>2607</v>
      </c>
      <c r="O67" t="s">
        <v>89</v>
      </c>
      <c r="P67" t="s">
        <v>3618</v>
      </c>
      <c r="Q67" t="s">
        <v>3780</v>
      </c>
      <c r="R67" t="s">
        <v>2896</v>
      </c>
      <c r="S67" t="s">
        <v>93</v>
      </c>
      <c r="T67" t="s">
        <v>123</v>
      </c>
      <c r="U67" t="s">
        <v>3440</v>
      </c>
      <c r="V67" t="s">
        <v>3006</v>
      </c>
      <c r="W67" t="s">
        <v>3395</v>
      </c>
      <c r="X67" t="s">
        <v>160</v>
      </c>
      <c r="Y67" t="s">
        <v>3781</v>
      </c>
      <c r="Z67" t="s">
        <v>2899</v>
      </c>
      <c r="AA67" t="s">
        <v>93</v>
      </c>
      <c r="AB67" t="s">
        <v>127</v>
      </c>
      <c r="AC67" t="s">
        <v>3782</v>
      </c>
      <c r="AF67">
        <f>1*Tabela2[[#This Row],[kan_params]]</f>
        <v>15025</v>
      </c>
      <c r="AG67">
        <f>1*Tabela2[[#This Row],[kan_test_acc]]</f>
        <v>0.977777779102325</v>
      </c>
      <c r="AH67">
        <f>1*Tabela2[[#This Row],[mlp_test_acc]]</f>
        <v>0.88888888888888795</v>
      </c>
      <c r="AI67">
        <f>1*Tabela2[[#This Row],[mlp2_test_acc]]</f>
        <v>0.86666666666666603</v>
      </c>
    </row>
    <row r="68" spans="1:35" x14ac:dyDescent="0.25">
      <c r="A68" t="s">
        <v>57</v>
      </c>
      <c r="B68" t="s">
        <v>959</v>
      </c>
      <c r="C68" t="s">
        <v>1026</v>
      </c>
      <c r="D68" t="s">
        <v>79</v>
      </c>
      <c r="E68" t="s">
        <v>80</v>
      </c>
      <c r="F68" t="s">
        <v>68</v>
      </c>
      <c r="G68" t="s">
        <v>2901</v>
      </c>
      <c r="H68" t="s">
        <v>3783</v>
      </c>
      <c r="I68" t="s">
        <v>759</v>
      </c>
      <c r="J68" t="s">
        <v>89</v>
      </c>
      <c r="K68" t="s">
        <v>89</v>
      </c>
      <c r="L68" t="s">
        <v>2432</v>
      </c>
      <c r="M68" t="s">
        <v>3006</v>
      </c>
      <c r="N68" t="s">
        <v>2607</v>
      </c>
      <c r="O68" t="s">
        <v>89</v>
      </c>
      <c r="P68" t="s">
        <v>3618</v>
      </c>
      <c r="Q68" t="s">
        <v>3784</v>
      </c>
      <c r="R68" t="s">
        <v>2688</v>
      </c>
      <c r="S68" t="s">
        <v>93</v>
      </c>
      <c r="T68" t="s">
        <v>823</v>
      </c>
      <c r="U68" t="s">
        <v>3006</v>
      </c>
      <c r="V68" t="s">
        <v>2607</v>
      </c>
      <c r="W68" t="s">
        <v>3395</v>
      </c>
      <c r="X68" t="s">
        <v>160</v>
      </c>
      <c r="Y68" t="s">
        <v>3785</v>
      </c>
      <c r="Z68" t="s">
        <v>2557</v>
      </c>
      <c r="AA68" t="s">
        <v>93</v>
      </c>
      <c r="AB68" t="s">
        <v>374</v>
      </c>
      <c r="AC68" t="s">
        <v>3786</v>
      </c>
      <c r="AF68">
        <f>1*Tabela2[[#This Row],[kan_params]]</f>
        <v>11761</v>
      </c>
      <c r="AG68">
        <f>1*Tabela2[[#This Row],[kan_test_acc]]</f>
        <v>0.977777779102325</v>
      </c>
      <c r="AH68">
        <f>1*Tabela2[[#This Row],[mlp_test_acc]]</f>
        <v>0.88888888888888795</v>
      </c>
      <c r="AI68">
        <f>1*Tabela2[[#This Row],[mlp2_test_acc]]</f>
        <v>0.88888888888888795</v>
      </c>
    </row>
    <row r="69" spans="1:35" x14ac:dyDescent="0.25">
      <c r="A69" t="s">
        <v>57</v>
      </c>
      <c r="B69" t="s">
        <v>959</v>
      </c>
      <c r="C69" t="s">
        <v>1026</v>
      </c>
      <c r="D69" t="s">
        <v>79</v>
      </c>
      <c r="E69" t="s">
        <v>80</v>
      </c>
      <c r="F69" t="s">
        <v>69</v>
      </c>
      <c r="G69" t="s">
        <v>2909</v>
      </c>
      <c r="H69" t="s">
        <v>3787</v>
      </c>
      <c r="I69" t="s">
        <v>698</v>
      </c>
      <c r="J69" t="s">
        <v>89</v>
      </c>
      <c r="K69" t="s">
        <v>89</v>
      </c>
      <c r="L69" t="s">
        <v>2432</v>
      </c>
      <c r="M69" t="s">
        <v>3006</v>
      </c>
      <c r="N69" t="s">
        <v>2607</v>
      </c>
      <c r="O69" t="s">
        <v>89</v>
      </c>
      <c r="P69" t="s">
        <v>3618</v>
      </c>
      <c r="Q69" t="s">
        <v>3788</v>
      </c>
      <c r="R69" t="s">
        <v>2915</v>
      </c>
      <c r="S69" t="s">
        <v>93</v>
      </c>
      <c r="T69" t="s">
        <v>554</v>
      </c>
      <c r="U69" t="s">
        <v>3006</v>
      </c>
      <c r="V69" t="s">
        <v>2607</v>
      </c>
      <c r="W69" t="s">
        <v>3395</v>
      </c>
      <c r="X69" t="s">
        <v>160</v>
      </c>
      <c r="Y69" t="s">
        <v>3789</v>
      </c>
      <c r="Z69" t="s">
        <v>2747</v>
      </c>
      <c r="AA69" t="s">
        <v>93</v>
      </c>
      <c r="AB69" t="s">
        <v>558</v>
      </c>
      <c r="AC69" t="s">
        <v>3790</v>
      </c>
      <c r="AF69">
        <f>1*Tabela2[[#This Row],[kan_params]]</f>
        <v>14186</v>
      </c>
      <c r="AG69">
        <f>1*Tabela2[[#This Row],[kan_test_acc]]</f>
        <v>0.977777779102325</v>
      </c>
      <c r="AH69">
        <f>1*Tabela2[[#This Row],[mlp_test_acc]]</f>
        <v>0.88888888888888795</v>
      </c>
      <c r="AI69">
        <f>1*Tabela2[[#This Row],[mlp2_test_acc]]</f>
        <v>0.88888888888888795</v>
      </c>
    </row>
    <row r="70" spans="1:35" x14ac:dyDescent="0.25">
      <c r="A70" t="s">
        <v>57</v>
      </c>
      <c r="B70" t="s">
        <v>959</v>
      </c>
      <c r="C70" t="s">
        <v>1026</v>
      </c>
      <c r="D70" t="s">
        <v>79</v>
      </c>
      <c r="E70" t="s">
        <v>80</v>
      </c>
      <c r="F70" t="s">
        <v>70</v>
      </c>
      <c r="G70" t="s">
        <v>2920</v>
      </c>
      <c r="H70" t="s">
        <v>3791</v>
      </c>
      <c r="I70" t="s">
        <v>2779</v>
      </c>
      <c r="J70" t="s">
        <v>89</v>
      </c>
      <c r="K70" t="s">
        <v>89</v>
      </c>
      <c r="L70" t="s">
        <v>2432</v>
      </c>
      <c r="M70" t="s">
        <v>3006</v>
      </c>
      <c r="N70" t="s">
        <v>2607</v>
      </c>
      <c r="O70" t="s">
        <v>89</v>
      </c>
      <c r="P70" t="s">
        <v>3618</v>
      </c>
      <c r="Q70" t="s">
        <v>3792</v>
      </c>
      <c r="R70" t="s">
        <v>2925</v>
      </c>
      <c r="S70" t="s">
        <v>93</v>
      </c>
      <c r="T70" t="s">
        <v>629</v>
      </c>
      <c r="U70" t="s">
        <v>3006</v>
      </c>
      <c r="V70" t="s">
        <v>3006</v>
      </c>
      <c r="W70" t="s">
        <v>3489</v>
      </c>
      <c r="X70" t="s">
        <v>160</v>
      </c>
      <c r="Y70" t="s">
        <v>3793</v>
      </c>
      <c r="Z70" t="s">
        <v>2927</v>
      </c>
      <c r="AA70" t="s">
        <v>93</v>
      </c>
      <c r="AB70" t="s">
        <v>854</v>
      </c>
      <c r="AC70" t="s">
        <v>3794</v>
      </c>
      <c r="AF70">
        <f>1*Tabela2[[#This Row],[kan_params]]</f>
        <v>16611</v>
      </c>
      <c r="AG70">
        <f>1*Tabela2[[#This Row],[kan_test_acc]]</f>
        <v>0.977777779102325</v>
      </c>
      <c r="AH70">
        <f>1*Tabela2[[#This Row],[mlp_test_acc]]</f>
        <v>0.88888888888888795</v>
      </c>
      <c r="AI70">
        <f>1*Tabela2[[#This Row],[mlp2_test_acc]]</f>
        <v>0.88888888888888795</v>
      </c>
    </row>
    <row r="71" spans="1:35" x14ac:dyDescent="0.25">
      <c r="A71" t="s">
        <v>57</v>
      </c>
      <c r="B71" t="s">
        <v>959</v>
      </c>
      <c r="C71" t="s">
        <v>1026</v>
      </c>
      <c r="D71" t="s">
        <v>79</v>
      </c>
      <c r="E71" t="s">
        <v>80</v>
      </c>
      <c r="F71" t="s">
        <v>72</v>
      </c>
      <c r="G71" t="s">
        <v>2941</v>
      </c>
      <c r="H71" t="s">
        <v>3800</v>
      </c>
      <c r="I71" t="s">
        <v>1784</v>
      </c>
      <c r="J71" t="s">
        <v>89</v>
      </c>
      <c r="K71" t="s">
        <v>89</v>
      </c>
      <c r="L71" t="s">
        <v>2432</v>
      </c>
      <c r="M71" t="s">
        <v>3006</v>
      </c>
      <c r="N71" t="s">
        <v>2607</v>
      </c>
      <c r="O71" t="s">
        <v>89</v>
      </c>
      <c r="P71" t="s">
        <v>3618</v>
      </c>
      <c r="Q71" t="s">
        <v>3801</v>
      </c>
      <c r="R71" t="s">
        <v>2719</v>
      </c>
      <c r="S71" t="s">
        <v>93</v>
      </c>
      <c r="T71" t="s">
        <v>113</v>
      </c>
      <c r="U71" t="s">
        <v>3006</v>
      </c>
      <c r="V71" t="s">
        <v>2607</v>
      </c>
      <c r="W71" t="s">
        <v>3395</v>
      </c>
      <c r="X71" t="s">
        <v>160</v>
      </c>
      <c r="Y71" t="s">
        <v>3802</v>
      </c>
      <c r="Z71" t="s">
        <v>2592</v>
      </c>
      <c r="AA71" t="s">
        <v>93</v>
      </c>
      <c r="AB71" t="s">
        <v>2593</v>
      </c>
      <c r="AC71" t="s">
        <v>3803</v>
      </c>
      <c r="AF71">
        <f>1*Tabela2[[#This Row],[kan_params]]</f>
        <v>12907</v>
      </c>
      <c r="AG71">
        <f>1*Tabela2[[#This Row],[kan_test_acc]]</f>
        <v>0.977777779102325</v>
      </c>
      <c r="AH71">
        <f>1*Tabela2[[#This Row],[mlp_test_acc]]</f>
        <v>0.88888888888888795</v>
      </c>
      <c r="AI71">
        <f>1*Tabela2[[#This Row],[mlp2_test_acc]]</f>
        <v>0.88888888888888795</v>
      </c>
    </row>
    <row r="72" spans="1:35" x14ac:dyDescent="0.25">
      <c r="A72" t="s">
        <v>57</v>
      </c>
      <c r="B72" t="s">
        <v>959</v>
      </c>
      <c r="C72" t="s">
        <v>1026</v>
      </c>
      <c r="D72" t="s">
        <v>79</v>
      </c>
      <c r="E72" t="s">
        <v>80</v>
      </c>
      <c r="F72" t="s">
        <v>73</v>
      </c>
      <c r="G72" t="s">
        <v>2947</v>
      </c>
      <c r="H72" t="s">
        <v>3804</v>
      </c>
      <c r="I72" t="s">
        <v>857</v>
      </c>
      <c r="J72" t="s">
        <v>89</v>
      </c>
      <c r="K72" t="s">
        <v>2431</v>
      </c>
      <c r="L72" t="s">
        <v>2432</v>
      </c>
      <c r="M72" t="s">
        <v>3006</v>
      </c>
      <c r="N72" t="s">
        <v>2607</v>
      </c>
      <c r="O72" t="s">
        <v>89</v>
      </c>
      <c r="P72" t="s">
        <v>3618</v>
      </c>
      <c r="Q72" t="s">
        <v>3805</v>
      </c>
      <c r="R72" t="s">
        <v>2899</v>
      </c>
      <c r="S72" t="s">
        <v>93</v>
      </c>
      <c r="T72" t="s">
        <v>127</v>
      </c>
      <c r="U72" t="s">
        <v>3006</v>
      </c>
      <c r="V72" t="s">
        <v>2607</v>
      </c>
      <c r="W72" t="s">
        <v>3395</v>
      </c>
      <c r="X72" t="s">
        <v>160</v>
      </c>
      <c r="Y72" t="s">
        <v>3806</v>
      </c>
      <c r="Z72" t="s">
        <v>2788</v>
      </c>
      <c r="AA72" t="s">
        <v>93</v>
      </c>
      <c r="AB72" t="s">
        <v>2789</v>
      </c>
      <c r="AC72" t="s">
        <v>3807</v>
      </c>
      <c r="AF72">
        <f>1*Tabela2[[#This Row],[kan_params]]</f>
        <v>15552</v>
      </c>
      <c r="AG72">
        <f>1*Tabela2[[#This Row],[kan_test_acc]]</f>
        <v>0.977777779102325</v>
      </c>
      <c r="AH72">
        <f>1*Tabela2[[#This Row],[mlp_test_acc]]</f>
        <v>0.88888888888888795</v>
      </c>
      <c r="AI72">
        <f>1*Tabela2[[#This Row],[mlp2_test_acc]]</f>
        <v>0.88888888888888795</v>
      </c>
    </row>
    <row r="73" spans="1:35" x14ac:dyDescent="0.25">
      <c r="A73" t="s">
        <v>57</v>
      </c>
      <c r="B73" t="s">
        <v>959</v>
      </c>
      <c r="C73" t="s">
        <v>1026</v>
      </c>
      <c r="D73" t="s">
        <v>79</v>
      </c>
      <c r="E73" t="s">
        <v>80</v>
      </c>
      <c r="F73" t="s">
        <v>76</v>
      </c>
      <c r="G73" t="s">
        <v>2972</v>
      </c>
      <c r="H73" t="s">
        <v>3816</v>
      </c>
      <c r="I73" t="s">
        <v>2376</v>
      </c>
      <c r="J73" t="s">
        <v>89</v>
      </c>
      <c r="K73" t="s">
        <v>89</v>
      </c>
      <c r="L73" t="s">
        <v>2432</v>
      </c>
      <c r="M73" t="s">
        <v>3006</v>
      </c>
      <c r="N73" t="s">
        <v>2607</v>
      </c>
      <c r="O73" t="s">
        <v>89</v>
      </c>
      <c r="P73" t="s">
        <v>1440</v>
      </c>
      <c r="Q73" t="s">
        <v>3817</v>
      </c>
      <c r="R73" t="s">
        <v>1996</v>
      </c>
      <c r="S73" t="s">
        <v>93</v>
      </c>
      <c r="T73" t="s">
        <v>1473</v>
      </c>
      <c r="U73" t="s">
        <v>3735</v>
      </c>
      <c r="V73" t="s">
        <v>3134</v>
      </c>
      <c r="W73" t="s">
        <v>3713</v>
      </c>
      <c r="X73" t="s">
        <v>160</v>
      </c>
      <c r="Y73" t="s">
        <v>3818</v>
      </c>
      <c r="Z73" t="s">
        <v>2981</v>
      </c>
      <c r="AA73" t="s">
        <v>93</v>
      </c>
      <c r="AB73" t="s">
        <v>1309</v>
      </c>
      <c r="AC73" t="s">
        <v>3819</v>
      </c>
      <c r="AF73">
        <f>1*Tabela2[[#This Row],[kan_params]]</f>
        <v>3180</v>
      </c>
      <c r="AG73">
        <f>1*Tabela2[[#This Row],[kan_test_acc]]</f>
        <v>0.977777779102325</v>
      </c>
      <c r="AH73">
        <f>1*Tabela2[[#This Row],[mlp_test_acc]]</f>
        <v>0.88888888888888795</v>
      </c>
      <c r="AI73">
        <f>1*Tabela2[[#This Row],[mlp2_test_acc]]</f>
        <v>0.6</v>
      </c>
    </row>
    <row r="74" spans="1:35" x14ac:dyDescent="0.25">
      <c r="A74" t="s">
        <v>57</v>
      </c>
      <c r="B74" t="s">
        <v>1297</v>
      </c>
      <c r="C74" t="s">
        <v>1026</v>
      </c>
      <c r="D74" t="s">
        <v>898</v>
      </c>
      <c r="E74" t="s">
        <v>80</v>
      </c>
      <c r="F74" t="s">
        <v>76</v>
      </c>
      <c r="G74" t="s">
        <v>3942</v>
      </c>
      <c r="H74" t="s">
        <v>3943</v>
      </c>
      <c r="I74" t="s">
        <v>3944</v>
      </c>
      <c r="J74" t="s">
        <v>89</v>
      </c>
      <c r="K74" t="s">
        <v>89</v>
      </c>
      <c r="L74" t="s">
        <v>2432</v>
      </c>
      <c r="M74" t="s">
        <v>3006</v>
      </c>
      <c r="N74" t="s">
        <v>2607</v>
      </c>
      <c r="O74" t="s">
        <v>89</v>
      </c>
      <c r="P74" t="s">
        <v>1440</v>
      </c>
      <c r="Q74" t="s">
        <v>3945</v>
      </c>
      <c r="R74" t="s">
        <v>2465</v>
      </c>
      <c r="S74" t="s">
        <v>93</v>
      </c>
      <c r="T74" t="s">
        <v>1568</v>
      </c>
      <c r="U74" t="s">
        <v>3735</v>
      </c>
      <c r="V74" t="s">
        <v>3134</v>
      </c>
      <c r="W74" t="s">
        <v>3946</v>
      </c>
      <c r="X74" t="s">
        <v>160</v>
      </c>
      <c r="Y74" t="s">
        <v>3947</v>
      </c>
      <c r="Z74" t="s">
        <v>2467</v>
      </c>
      <c r="AA74" t="s">
        <v>93</v>
      </c>
      <c r="AB74" t="s">
        <v>1945</v>
      </c>
      <c r="AC74" t="s">
        <v>3948</v>
      </c>
      <c r="AF74">
        <f>1*Tabela2[[#This Row],[kan_params]]</f>
        <v>3612</v>
      </c>
      <c r="AG74">
        <f>1*Tabela2[[#This Row],[kan_test_acc]]</f>
        <v>0.977777779102325</v>
      </c>
      <c r="AH74">
        <f>1*Tabela2[[#This Row],[mlp_test_acc]]</f>
        <v>0.88888888888888795</v>
      </c>
      <c r="AI74">
        <f>1*Tabela2[[#This Row],[mlp2_test_acc]]</f>
        <v>0.6</v>
      </c>
    </row>
    <row r="75" spans="1:35" x14ac:dyDescent="0.25">
      <c r="A75" t="s">
        <v>57</v>
      </c>
      <c r="B75" t="s">
        <v>78</v>
      </c>
      <c r="C75" t="s">
        <v>79</v>
      </c>
      <c r="D75" t="s">
        <v>79</v>
      </c>
      <c r="E75" t="s">
        <v>80</v>
      </c>
      <c r="F75" t="s">
        <v>65</v>
      </c>
      <c r="G75" t="s">
        <v>2503</v>
      </c>
      <c r="H75" t="s">
        <v>2504</v>
      </c>
      <c r="I75" t="s">
        <v>2505</v>
      </c>
      <c r="J75" t="s">
        <v>89</v>
      </c>
      <c r="K75" t="s">
        <v>89</v>
      </c>
      <c r="L75" t="s">
        <v>2506</v>
      </c>
      <c r="M75" t="s">
        <v>89</v>
      </c>
      <c r="N75" t="s">
        <v>89</v>
      </c>
      <c r="O75" t="s">
        <v>2453</v>
      </c>
      <c r="P75" t="s">
        <v>2507</v>
      </c>
      <c r="Q75" t="s">
        <v>2508</v>
      </c>
      <c r="R75" t="s">
        <v>2448</v>
      </c>
      <c r="S75" t="s">
        <v>93</v>
      </c>
      <c r="T75" t="s">
        <v>2173</v>
      </c>
      <c r="U75" t="s">
        <v>89</v>
      </c>
      <c r="V75" t="s">
        <v>89</v>
      </c>
      <c r="W75" t="s">
        <v>2453</v>
      </c>
      <c r="X75" t="s">
        <v>2509</v>
      </c>
      <c r="Y75" t="s">
        <v>2510</v>
      </c>
      <c r="Z75" t="s">
        <v>2511</v>
      </c>
      <c r="AA75" t="s">
        <v>93</v>
      </c>
      <c r="AB75" t="s">
        <v>2081</v>
      </c>
      <c r="AC75" t="s">
        <v>2512</v>
      </c>
      <c r="AF75">
        <f>1*Tabela2[[#This Row],[kan_params]]</f>
        <v>7729</v>
      </c>
      <c r="AG75">
        <f>1*Tabela2[[#This Row],[kan_test_acc]]</f>
        <v>0.95555555820464999</v>
      </c>
      <c r="AH75">
        <f>1*Tabela2[[#This Row],[mlp_test_acc]]</f>
        <v>1</v>
      </c>
      <c r="AI75">
        <f>1*Tabela2[[#This Row],[mlp2_test_acc]]</f>
        <v>1</v>
      </c>
    </row>
    <row r="76" spans="1:35" x14ac:dyDescent="0.25">
      <c r="A76" t="s">
        <v>57</v>
      </c>
      <c r="B76" t="s">
        <v>78</v>
      </c>
      <c r="C76" t="s">
        <v>79</v>
      </c>
      <c r="D76" t="s">
        <v>79</v>
      </c>
      <c r="E76" t="s">
        <v>80</v>
      </c>
      <c r="F76" t="s">
        <v>67</v>
      </c>
      <c r="G76" t="s">
        <v>2525</v>
      </c>
      <c r="H76" t="s">
        <v>2526</v>
      </c>
      <c r="I76" t="s">
        <v>2527</v>
      </c>
      <c r="J76" t="s">
        <v>2528</v>
      </c>
      <c r="K76" t="s">
        <v>89</v>
      </c>
      <c r="L76" t="s">
        <v>2506</v>
      </c>
      <c r="M76" t="s">
        <v>2498</v>
      </c>
      <c r="N76" t="s">
        <v>89</v>
      </c>
      <c r="O76" t="s">
        <v>89</v>
      </c>
      <c r="P76" t="s">
        <v>2529</v>
      </c>
      <c r="Q76" t="s">
        <v>2530</v>
      </c>
      <c r="R76" t="s">
        <v>2531</v>
      </c>
      <c r="S76" t="s">
        <v>93</v>
      </c>
      <c r="T76" t="s">
        <v>2098</v>
      </c>
      <c r="U76" t="s">
        <v>2498</v>
      </c>
      <c r="V76" t="s">
        <v>89</v>
      </c>
      <c r="W76" t="s">
        <v>89</v>
      </c>
      <c r="X76" t="s">
        <v>278</v>
      </c>
      <c r="Y76" t="s">
        <v>2532</v>
      </c>
      <c r="Z76" t="s">
        <v>2533</v>
      </c>
      <c r="AA76" t="s">
        <v>93</v>
      </c>
      <c r="AB76" t="s">
        <v>2534</v>
      </c>
      <c r="AC76" t="s">
        <v>2535</v>
      </c>
      <c r="AF76">
        <f>1*Tabela2[[#This Row],[kan_params]]</f>
        <v>10939</v>
      </c>
      <c r="AG76">
        <f>1*Tabela2[[#This Row],[kan_test_acc]]</f>
        <v>0.95555555820464999</v>
      </c>
      <c r="AH76">
        <f>1*Tabela2[[#This Row],[mlp_test_acc]]</f>
        <v>0.97777777777777697</v>
      </c>
      <c r="AI76">
        <f>1*Tabela2[[#This Row],[mlp2_test_acc]]</f>
        <v>0.97777777777777697</v>
      </c>
    </row>
    <row r="77" spans="1:35" x14ac:dyDescent="0.25">
      <c r="A77" t="s">
        <v>57</v>
      </c>
      <c r="B77" t="s">
        <v>78</v>
      </c>
      <c r="C77" t="s">
        <v>79</v>
      </c>
      <c r="D77" t="s">
        <v>79</v>
      </c>
      <c r="E77" t="s">
        <v>80</v>
      </c>
      <c r="F77" t="s">
        <v>68</v>
      </c>
      <c r="G77" t="s">
        <v>2536</v>
      </c>
      <c r="H77" t="s">
        <v>2537</v>
      </c>
      <c r="I77" t="s">
        <v>2538</v>
      </c>
      <c r="J77" t="s">
        <v>2539</v>
      </c>
      <c r="K77" t="s">
        <v>89</v>
      </c>
      <c r="L77" t="s">
        <v>2506</v>
      </c>
      <c r="M77" t="s">
        <v>2433</v>
      </c>
      <c r="N77" t="s">
        <v>89</v>
      </c>
      <c r="O77" t="s">
        <v>89</v>
      </c>
      <c r="P77" t="s">
        <v>278</v>
      </c>
      <c r="Q77" t="s">
        <v>2540</v>
      </c>
      <c r="R77" t="s">
        <v>2489</v>
      </c>
      <c r="S77" t="s">
        <v>93</v>
      </c>
      <c r="T77" t="s">
        <v>285</v>
      </c>
      <c r="U77" t="s">
        <v>2433</v>
      </c>
      <c r="V77" t="s">
        <v>89</v>
      </c>
      <c r="W77" t="s">
        <v>89</v>
      </c>
      <c r="X77" t="s">
        <v>2541</v>
      </c>
      <c r="Y77" t="s">
        <v>2542</v>
      </c>
      <c r="Z77" t="s">
        <v>2456</v>
      </c>
      <c r="AA77" t="s">
        <v>93</v>
      </c>
      <c r="AB77" t="s">
        <v>2257</v>
      </c>
      <c r="AC77" t="s">
        <v>2543</v>
      </c>
      <c r="AF77">
        <f>1*Tabela2[[#This Row],[kan_params]]</f>
        <v>8563</v>
      </c>
      <c r="AG77">
        <f>1*Tabela2[[#This Row],[kan_test_acc]]</f>
        <v>0.95555555820464999</v>
      </c>
      <c r="AH77">
        <f>1*Tabela2[[#This Row],[mlp_test_acc]]</f>
        <v>0.95555555555555505</v>
      </c>
      <c r="AI77">
        <f>1*Tabela2[[#This Row],[mlp2_test_acc]]</f>
        <v>0.95555555555555505</v>
      </c>
    </row>
    <row r="78" spans="1:35" x14ac:dyDescent="0.25">
      <c r="A78" t="s">
        <v>57</v>
      </c>
      <c r="B78" t="s">
        <v>78</v>
      </c>
      <c r="C78" t="s">
        <v>79</v>
      </c>
      <c r="D78" t="s">
        <v>79</v>
      </c>
      <c r="E78" t="s">
        <v>80</v>
      </c>
      <c r="F78" t="s">
        <v>72</v>
      </c>
      <c r="G78" t="s">
        <v>2569</v>
      </c>
      <c r="H78" t="s">
        <v>2570</v>
      </c>
      <c r="I78" t="s">
        <v>2571</v>
      </c>
      <c r="J78" t="s">
        <v>2539</v>
      </c>
      <c r="K78" t="s">
        <v>89</v>
      </c>
      <c r="L78" t="s">
        <v>2506</v>
      </c>
      <c r="M78" t="s">
        <v>2433</v>
      </c>
      <c r="N78" t="s">
        <v>89</v>
      </c>
      <c r="O78" t="s">
        <v>89</v>
      </c>
      <c r="P78" t="s">
        <v>2572</v>
      </c>
      <c r="Q78" t="s">
        <v>2573</v>
      </c>
      <c r="R78" t="s">
        <v>2519</v>
      </c>
      <c r="S78" t="s">
        <v>93</v>
      </c>
      <c r="T78" t="s">
        <v>2187</v>
      </c>
      <c r="U78" t="s">
        <v>2433</v>
      </c>
      <c r="V78" t="s">
        <v>89</v>
      </c>
      <c r="W78" t="s">
        <v>89</v>
      </c>
      <c r="X78" t="s">
        <v>2574</v>
      </c>
      <c r="Y78" t="s">
        <v>2575</v>
      </c>
      <c r="Z78" t="s">
        <v>2522</v>
      </c>
      <c r="AA78" t="s">
        <v>93</v>
      </c>
      <c r="AB78" t="s">
        <v>2523</v>
      </c>
      <c r="AC78" t="s">
        <v>2576</v>
      </c>
      <c r="AF78">
        <f>1*Tabela2[[#This Row],[kan_params]]</f>
        <v>9397</v>
      </c>
      <c r="AG78">
        <f>1*Tabela2[[#This Row],[kan_test_acc]]</f>
        <v>0.95555555820464999</v>
      </c>
      <c r="AH78">
        <f>1*Tabela2[[#This Row],[mlp_test_acc]]</f>
        <v>0.95555555555555505</v>
      </c>
      <c r="AI78">
        <f>1*Tabela2[[#This Row],[mlp2_test_acc]]</f>
        <v>0.95555555555555505</v>
      </c>
    </row>
    <row r="79" spans="1:35" x14ac:dyDescent="0.25">
      <c r="A79" t="s">
        <v>57</v>
      </c>
      <c r="B79" t="s">
        <v>78</v>
      </c>
      <c r="C79" t="s">
        <v>79</v>
      </c>
      <c r="D79" t="s">
        <v>79</v>
      </c>
      <c r="E79" t="s">
        <v>80</v>
      </c>
      <c r="F79" t="s">
        <v>73</v>
      </c>
      <c r="G79" t="s">
        <v>2577</v>
      </c>
      <c r="H79" t="s">
        <v>2578</v>
      </c>
      <c r="I79" t="s">
        <v>2579</v>
      </c>
      <c r="J79" t="s">
        <v>2580</v>
      </c>
      <c r="K79" t="s">
        <v>89</v>
      </c>
      <c r="L79" t="s">
        <v>2506</v>
      </c>
      <c r="M79" t="s">
        <v>2436</v>
      </c>
      <c r="N79" t="s">
        <v>2443</v>
      </c>
      <c r="O79" t="s">
        <v>89</v>
      </c>
      <c r="P79" t="s">
        <v>2581</v>
      </c>
      <c r="Q79" t="s">
        <v>2582</v>
      </c>
      <c r="R79" t="s">
        <v>2533</v>
      </c>
      <c r="S79" t="s">
        <v>93</v>
      </c>
      <c r="T79" t="s">
        <v>2534</v>
      </c>
      <c r="U79" t="s">
        <v>2433</v>
      </c>
      <c r="V79" t="s">
        <v>89</v>
      </c>
      <c r="W79" t="s">
        <v>89</v>
      </c>
      <c r="X79" t="s">
        <v>2583</v>
      </c>
      <c r="Y79" t="s">
        <v>2584</v>
      </c>
      <c r="Z79" t="s">
        <v>2585</v>
      </c>
      <c r="AA79" t="s">
        <v>93</v>
      </c>
      <c r="AB79" t="s">
        <v>820</v>
      </c>
      <c r="AC79" t="s">
        <v>2586</v>
      </c>
      <c r="AF79">
        <f>1*Tabela2[[#This Row],[kan_params]]</f>
        <v>11322</v>
      </c>
      <c r="AG79">
        <f>1*Tabela2[[#This Row],[kan_test_acc]]</f>
        <v>0.95555555820464999</v>
      </c>
      <c r="AH79">
        <f>1*Tabela2[[#This Row],[mlp_test_acc]]</f>
        <v>0.93333333333333302</v>
      </c>
      <c r="AI79">
        <f>1*Tabela2[[#This Row],[mlp2_test_acc]]</f>
        <v>0.95555555555555505</v>
      </c>
    </row>
    <row r="80" spans="1:35" x14ac:dyDescent="0.25">
      <c r="A80" t="s">
        <v>57</v>
      </c>
      <c r="B80" t="s">
        <v>78</v>
      </c>
      <c r="C80" t="s">
        <v>79</v>
      </c>
      <c r="D80" t="s">
        <v>79</v>
      </c>
      <c r="E80" t="s">
        <v>80</v>
      </c>
      <c r="F80" t="s">
        <v>74</v>
      </c>
      <c r="G80" t="s">
        <v>2587</v>
      </c>
      <c r="H80" t="s">
        <v>2588</v>
      </c>
      <c r="I80" t="s">
        <v>2589</v>
      </c>
      <c r="J80" t="s">
        <v>2580</v>
      </c>
      <c r="K80" t="s">
        <v>89</v>
      </c>
      <c r="L80" t="s">
        <v>2506</v>
      </c>
      <c r="M80" t="s">
        <v>2433</v>
      </c>
      <c r="N80" t="s">
        <v>89</v>
      </c>
      <c r="O80" t="s">
        <v>89</v>
      </c>
      <c r="P80" t="s">
        <v>2590</v>
      </c>
      <c r="Q80" t="s">
        <v>2591</v>
      </c>
      <c r="R80" t="s">
        <v>2592</v>
      </c>
      <c r="S80" t="s">
        <v>93</v>
      </c>
      <c r="T80" t="s">
        <v>2593</v>
      </c>
      <c r="U80" t="s">
        <v>2433</v>
      </c>
      <c r="V80" t="s">
        <v>89</v>
      </c>
      <c r="W80" t="s">
        <v>89</v>
      </c>
      <c r="X80" t="s">
        <v>2594</v>
      </c>
      <c r="Y80" t="s">
        <v>2595</v>
      </c>
      <c r="Z80" t="s">
        <v>2596</v>
      </c>
      <c r="AA80" t="s">
        <v>93</v>
      </c>
      <c r="AB80" t="s">
        <v>2597</v>
      </c>
      <c r="AC80" t="s">
        <v>2598</v>
      </c>
      <c r="AF80">
        <f>1*Tabela2[[#This Row],[kan_params]]</f>
        <v>13247</v>
      </c>
      <c r="AG80">
        <f>1*Tabela2[[#This Row],[kan_test_acc]]</f>
        <v>0.95555555820464999</v>
      </c>
      <c r="AH80">
        <f>1*Tabela2[[#This Row],[mlp_test_acc]]</f>
        <v>0.95555555555555505</v>
      </c>
      <c r="AI80">
        <f>1*Tabela2[[#This Row],[mlp2_test_acc]]</f>
        <v>0.95555555555555505</v>
      </c>
    </row>
    <row r="81" spans="1:35" x14ac:dyDescent="0.25">
      <c r="A81" t="s">
        <v>57</v>
      </c>
      <c r="B81" t="s">
        <v>814</v>
      </c>
      <c r="C81" t="s">
        <v>79</v>
      </c>
      <c r="D81" t="s">
        <v>898</v>
      </c>
      <c r="E81" t="s">
        <v>80</v>
      </c>
      <c r="F81" t="s">
        <v>61</v>
      </c>
      <c r="G81" t="s">
        <v>2647</v>
      </c>
      <c r="H81" t="s">
        <v>2648</v>
      </c>
      <c r="I81" t="s">
        <v>2649</v>
      </c>
      <c r="J81" t="s">
        <v>2650</v>
      </c>
      <c r="K81" t="s">
        <v>89</v>
      </c>
      <c r="L81" t="s">
        <v>2506</v>
      </c>
      <c r="M81" t="s">
        <v>2433</v>
      </c>
      <c r="N81" t="s">
        <v>89</v>
      </c>
      <c r="O81" t="s">
        <v>89</v>
      </c>
      <c r="P81" t="s">
        <v>278</v>
      </c>
      <c r="Q81" t="s">
        <v>2651</v>
      </c>
      <c r="R81" t="s">
        <v>2652</v>
      </c>
      <c r="S81" t="s">
        <v>93</v>
      </c>
      <c r="T81" t="s">
        <v>2021</v>
      </c>
      <c r="U81" t="s">
        <v>2433</v>
      </c>
      <c r="V81" t="s">
        <v>89</v>
      </c>
      <c r="W81" t="s">
        <v>89</v>
      </c>
      <c r="X81" t="s">
        <v>2653</v>
      </c>
      <c r="Y81" t="s">
        <v>2654</v>
      </c>
      <c r="Z81" t="s">
        <v>2655</v>
      </c>
      <c r="AA81" t="s">
        <v>93</v>
      </c>
      <c r="AB81" t="s">
        <v>1702</v>
      </c>
      <c r="AC81" t="s">
        <v>2656</v>
      </c>
      <c r="AF81">
        <f>1*Tabela2[[#This Row],[kan_params]]</f>
        <v>4273</v>
      </c>
      <c r="AG81">
        <f>1*Tabela2[[#This Row],[kan_test_acc]]</f>
        <v>0.95555555820464999</v>
      </c>
      <c r="AH81">
        <f>1*Tabela2[[#This Row],[mlp_test_acc]]</f>
        <v>0.95555555555555505</v>
      </c>
      <c r="AI81">
        <f>1*Tabela2[[#This Row],[mlp2_test_acc]]</f>
        <v>0.95555555555555505</v>
      </c>
    </row>
    <row r="82" spans="1:35" x14ac:dyDescent="0.25">
      <c r="A82" t="s">
        <v>57</v>
      </c>
      <c r="B82" t="s">
        <v>273</v>
      </c>
      <c r="C82" t="s">
        <v>79</v>
      </c>
      <c r="D82" t="s">
        <v>274</v>
      </c>
      <c r="E82" t="s">
        <v>80</v>
      </c>
      <c r="F82" t="s">
        <v>75</v>
      </c>
      <c r="G82" t="s">
        <v>1730</v>
      </c>
      <c r="H82" t="s">
        <v>3115</v>
      </c>
      <c r="I82" t="s">
        <v>3116</v>
      </c>
      <c r="J82" t="s">
        <v>89</v>
      </c>
      <c r="K82" t="s">
        <v>2431</v>
      </c>
      <c r="L82" t="s">
        <v>2506</v>
      </c>
      <c r="M82" t="s">
        <v>2498</v>
      </c>
      <c r="N82" t="s">
        <v>2443</v>
      </c>
      <c r="O82" t="s">
        <v>89</v>
      </c>
      <c r="P82" t="s">
        <v>3117</v>
      </c>
      <c r="Q82" t="s">
        <v>3118</v>
      </c>
      <c r="R82" t="s">
        <v>2567</v>
      </c>
      <c r="S82" t="s">
        <v>93</v>
      </c>
      <c r="T82" t="s">
        <v>2108</v>
      </c>
      <c r="U82" t="s">
        <v>2498</v>
      </c>
      <c r="V82" t="s">
        <v>2607</v>
      </c>
      <c r="W82" t="s">
        <v>89</v>
      </c>
      <c r="X82" t="s">
        <v>3119</v>
      </c>
      <c r="Y82" t="s">
        <v>3120</v>
      </c>
      <c r="Z82" t="s">
        <v>2844</v>
      </c>
      <c r="AA82" t="s">
        <v>93</v>
      </c>
      <c r="AB82" t="s">
        <v>2299</v>
      </c>
      <c r="AC82" t="s">
        <v>3121</v>
      </c>
      <c r="AF82">
        <f>1*Tabela2[[#This Row],[kan_params]]</f>
        <v>5019</v>
      </c>
      <c r="AG82">
        <f>1*Tabela2[[#This Row],[kan_test_acc]]</f>
        <v>0.95555555820464999</v>
      </c>
      <c r="AH82">
        <f>1*Tabela2[[#This Row],[mlp_test_acc]]</f>
        <v>0.97777777777777697</v>
      </c>
      <c r="AI82">
        <f>1*Tabela2[[#This Row],[mlp2_test_acc]]</f>
        <v>0.97777777777777697</v>
      </c>
    </row>
    <row r="83" spans="1:35" x14ac:dyDescent="0.25">
      <c r="A83" t="s">
        <v>57</v>
      </c>
      <c r="B83" t="s">
        <v>78</v>
      </c>
      <c r="C83" t="s">
        <v>666</v>
      </c>
      <c r="D83" t="s">
        <v>274</v>
      </c>
      <c r="E83" t="s">
        <v>80</v>
      </c>
      <c r="F83" t="s">
        <v>64</v>
      </c>
      <c r="G83" t="s">
        <v>275</v>
      </c>
      <c r="H83" t="s">
        <v>3171</v>
      </c>
      <c r="I83" t="s">
        <v>278</v>
      </c>
      <c r="J83" t="s">
        <v>89</v>
      </c>
      <c r="K83" t="s">
        <v>89</v>
      </c>
      <c r="L83" t="s">
        <v>2506</v>
      </c>
      <c r="M83" t="s">
        <v>2498</v>
      </c>
      <c r="N83" t="s">
        <v>89</v>
      </c>
      <c r="O83" t="s">
        <v>89</v>
      </c>
      <c r="P83" t="s">
        <v>3148</v>
      </c>
      <c r="Q83" t="s">
        <v>3172</v>
      </c>
      <c r="R83" t="s">
        <v>2519</v>
      </c>
      <c r="S83" t="s">
        <v>93</v>
      </c>
      <c r="T83" t="s">
        <v>2187</v>
      </c>
      <c r="U83" t="s">
        <v>3006</v>
      </c>
      <c r="V83" t="s">
        <v>89</v>
      </c>
      <c r="W83" t="s">
        <v>3173</v>
      </c>
      <c r="X83" t="s">
        <v>1606</v>
      </c>
      <c r="Y83" t="s">
        <v>3174</v>
      </c>
      <c r="Z83" t="s">
        <v>2522</v>
      </c>
      <c r="AA83" t="s">
        <v>93</v>
      </c>
      <c r="AB83" t="s">
        <v>2523</v>
      </c>
      <c r="AC83" t="s">
        <v>3175</v>
      </c>
      <c r="AF83">
        <f>1*Tabela2[[#This Row],[kan_params]]</f>
        <v>9176</v>
      </c>
      <c r="AG83">
        <f>1*Tabela2[[#This Row],[kan_test_acc]]</f>
        <v>0.95555555820464999</v>
      </c>
      <c r="AH83">
        <f>1*Tabela2[[#This Row],[mlp_test_acc]]</f>
        <v>0.97777777777777697</v>
      </c>
      <c r="AI83">
        <f>1*Tabela2[[#This Row],[mlp2_test_acc]]</f>
        <v>0.88888888888888795</v>
      </c>
    </row>
    <row r="84" spans="1:35" x14ac:dyDescent="0.25">
      <c r="A84" t="s">
        <v>57</v>
      </c>
      <c r="B84" t="s">
        <v>78</v>
      </c>
      <c r="C84" t="s">
        <v>666</v>
      </c>
      <c r="D84" t="s">
        <v>274</v>
      </c>
      <c r="E84" t="s">
        <v>80</v>
      </c>
      <c r="F84" t="s">
        <v>67</v>
      </c>
      <c r="G84" t="s">
        <v>3192</v>
      </c>
      <c r="H84" t="s">
        <v>3193</v>
      </c>
      <c r="I84" t="s">
        <v>278</v>
      </c>
      <c r="J84" t="s">
        <v>89</v>
      </c>
      <c r="K84" t="s">
        <v>89</v>
      </c>
      <c r="L84" t="s">
        <v>2506</v>
      </c>
      <c r="M84" t="s">
        <v>3006</v>
      </c>
      <c r="N84" t="s">
        <v>89</v>
      </c>
      <c r="O84" t="s">
        <v>89</v>
      </c>
      <c r="P84" t="s">
        <v>980</v>
      </c>
      <c r="Q84" t="s">
        <v>3194</v>
      </c>
      <c r="R84" t="s">
        <v>2548</v>
      </c>
      <c r="S84" t="s">
        <v>93</v>
      </c>
      <c r="T84" t="s">
        <v>101</v>
      </c>
      <c r="U84" t="s">
        <v>3006</v>
      </c>
      <c r="V84" t="s">
        <v>89</v>
      </c>
      <c r="W84" t="s">
        <v>3186</v>
      </c>
      <c r="X84" t="s">
        <v>3195</v>
      </c>
      <c r="Y84" t="s">
        <v>3196</v>
      </c>
      <c r="Z84" t="s">
        <v>2551</v>
      </c>
      <c r="AA84" t="s">
        <v>93</v>
      </c>
      <c r="AB84" t="s">
        <v>1860</v>
      </c>
      <c r="AC84" t="s">
        <v>3197</v>
      </c>
      <c r="AF84">
        <f>1*Tabela2[[#This Row],[kan_params]]</f>
        <v>10258</v>
      </c>
      <c r="AG84">
        <f>1*Tabela2[[#This Row],[kan_test_acc]]</f>
        <v>0.95555555820464999</v>
      </c>
      <c r="AH84">
        <f>1*Tabela2[[#This Row],[mlp_test_acc]]</f>
        <v>0.88888888888888795</v>
      </c>
      <c r="AI84">
        <f>1*Tabela2[[#This Row],[mlp2_test_acc]]</f>
        <v>0.88888888888888795</v>
      </c>
    </row>
    <row r="85" spans="1:35" x14ac:dyDescent="0.25">
      <c r="A85" t="s">
        <v>57</v>
      </c>
      <c r="B85" t="s">
        <v>78</v>
      </c>
      <c r="C85" t="s">
        <v>666</v>
      </c>
      <c r="D85" t="s">
        <v>274</v>
      </c>
      <c r="E85" t="s">
        <v>80</v>
      </c>
      <c r="F85" t="s">
        <v>76</v>
      </c>
      <c r="G85" t="s">
        <v>3250</v>
      </c>
      <c r="H85" t="s">
        <v>3251</v>
      </c>
      <c r="I85" t="s">
        <v>278</v>
      </c>
      <c r="J85" t="s">
        <v>89</v>
      </c>
      <c r="K85" t="s">
        <v>89</v>
      </c>
      <c r="L85" t="s">
        <v>2506</v>
      </c>
      <c r="M85" t="s">
        <v>2498</v>
      </c>
      <c r="N85" t="s">
        <v>2607</v>
      </c>
      <c r="O85" t="s">
        <v>89</v>
      </c>
      <c r="P85" t="s">
        <v>3252</v>
      </c>
      <c r="Q85" t="s">
        <v>3253</v>
      </c>
      <c r="R85" t="s">
        <v>1545</v>
      </c>
      <c r="S85" t="s">
        <v>93</v>
      </c>
      <c r="T85" t="s">
        <v>1222</v>
      </c>
      <c r="U85" t="s">
        <v>3133</v>
      </c>
      <c r="V85" t="s">
        <v>3254</v>
      </c>
      <c r="W85" t="s">
        <v>3135</v>
      </c>
      <c r="X85" t="s">
        <v>160</v>
      </c>
      <c r="Y85" t="s">
        <v>3255</v>
      </c>
      <c r="Z85" t="s">
        <v>2610</v>
      </c>
      <c r="AA85" t="s">
        <v>93</v>
      </c>
      <c r="AB85" t="s">
        <v>1578</v>
      </c>
      <c r="AC85" t="s">
        <v>3256</v>
      </c>
      <c r="AF85">
        <f>1*Tabela2[[#This Row],[kan_params]]</f>
        <v>2172</v>
      </c>
      <c r="AG85">
        <f>1*Tabela2[[#This Row],[kan_test_acc]]</f>
        <v>0.95555555820464999</v>
      </c>
      <c r="AH85">
        <f>1*Tabela2[[#This Row],[mlp_test_acc]]</f>
        <v>0.97777777777777697</v>
      </c>
      <c r="AI85">
        <f>1*Tabela2[[#This Row],[mlp2_test_acc]]</f>
        <v>0.28888888888888797</v>
      </c>
    </row>
    <row r="86" spans="1:35" x14ac:dyDescent="0.25">
      <c r="A86" t="s">
        <v>57</v>
      </c>
      <c r="B86" t="s">
        <v>814</v>
      </c>
      <c r="C86" t="s">
        <v>666</v>
      </c>
      <c r="D86" t="s">
        <v>79</v>
      </c>
      <c r="E86" t="s">
        <v>80</v>
      </c>
      <c r="F86" t="s">
        <v>65</v>
      </c>
      <c r="G86" t="s">
        <v>3299</v>
      </c>
      <c r="H86" t="s">
        <v>3300</v>
      </c>
      <c r="I86" t="s">
        <v>1948</v>
      </c>
      <c r="J86" t="s">
        <v>89</v>
      </c>
      <c r="K86" t="s">
        <v>89</v>
      </c>
      <c r="L86" t="s">
        <v>2506</v>
      </c>
      <c r="M86" t="s">
        <v>2498</v>
      </c>
      <c r="N86" t="s">
        <v>2443</v>
      </c>
      <c r="O86" t="s">
        <v>89</v>
      </c>
      <c r="P86" t="s">
        <v>3301</v>
      </c>
      <c r="Q86" t="s">
        <v>3302</v>
      </c>
      <c r="R86" t="s">
        <v>2456</v>
      </c>
      <c r="S86" t="s">
        <v>93</v>
      </c>
      <c r="T86" t="s">
        <v>2257</v>
      </c>
      <c r="U86" t="s">
        <v>3133</v>
      </c>
      <c r="V86" t="s">
        <v>3235</v>
      </c>
      <c r="W86" t="s">
        <v>3229</v>
      </c>
      <c r="X86" t="s">
        <v>160</v>
      </c>
      <c r="Y86" t="s">
        <v>3303</v>
      </c>
      <c r="Z86" t="s">
        <v>2459</v>
      </c>
      <c r="AA86" t="s">
        <v>93</v>
      </c>
      <c r="AB86" t="s">
        <v>2460</v>
      </c>
      <c r="AC86" t="s">
        <v>3304</v>
      </c>
      <c r="AF86">
        <f>1*Tabela2[[#This Row],[kan_params]]</f>
        <v>8691</v>
      </c>
      <c r="AG86">
        <f>1*Tabela2[[#This Row],[kan_test_acc]]</f>
        <v>0.95555555820464999</v>
      </c>
      <c r="AH86">
        <f>1*Tabela2[[#This Row],[mlp_test_acc]]</f>
        <v>0.97777777777777697</v>
      </c>
      <c r="AI86">
        <f>1*Tabela2[[#This Row],[mlp2_test_acc]]</f>
        <v>0.28888888888888797</v>
      </c>
    </row>
    <row r="87" spans="1:35" x14ac:dyDescent="0.25">
      <c r="A87" t="s">
        <v>57</v>
      </c>
      <c r="B87" t="s">
        <v>897</v>
      </c>
      <c r="C87" t="s">
        <v>1026</v>
      </c>
      <c r="D87" t="s">
        <v>274</v>
      </c>
      <c r="E87" t="s">
        <v>80</v>
      </c>
      <c r="F87" t="s">
        <v>58</v>
      </c>
      <c r="G87" t="s">
        <v>2615</v>
      </c>
      <c r="H87" t="s">
        <v>3653</v>
      </c>
      <c r="I87" t="s">
        <v>1176</v>
      </c>
      <c r="J87" t="s">
        <v>89</v>
      </c>
      <c r="K87" t="s">
        <v>89</v>
      </c>
      <c r="L87" t="s">
        <v>2506</v>
      </c>
      <c r="M87" t="s">
        <v>3006</v>
      </c>
      <c r="N87" t="s">
        <v>2607</v>
      </c>
      <c r="O87" t="s">
        <v>89</v>
      </c>
      <c r="P87" t="s">
        <v>1440</v>
      </c>
      <c r="Q87" t="s">
        <v>3654</v>
      </c>
      <c r="R87" t="s">
        <v>2479</v>
      </c>
      <c r="S87" t="s">
        <v>93</v>
      </c>
      <c r="T87" t="s">
        <v>2198</v>
      </c>
      <c r="U87" t="s">
        <v>3517</v>
      </c>
      <c r="V87" t="s">
        <v>2886</v>
      </c>
      <c r="W87" t="s">
        <v>3604</v>
      </c>
      <c r="X87" t="s">
        <v>160</v>
      </c>
      <c r="Y87" t="s">
        <v>3655</v>
      </c>
      <c r="Z87" t="s">
        <v>2445</v>
      </c>
      <c r="AA87" t="s">
        <v>93</v>
      </c>
      <c r="AB87" t="s">
        <v>2446</v>
      </c>
      <c r="AC87" t="s">
        <v>3656</v>
      </c>
      <c r="AF87">
        <f>1*Tabela2[[#This Row],[kan_params]]</f>
        <v>7192</v>
      </c>
      <c r="AG87">
        <f>1*Tabela2[[#This Row],[kan_test_acc]]</f>
        <v>0.95555555820464999</v>
      </c>
      <c r="AH87">
        <f>1*Tabela2[[#This Row],[mlp_test_acc]]</f>
        <v>0.88888888888888795</v>
      </c>
      <c r="AI87">
        <f>1*Tabela2[[#This Row],[mlp2_test_acc]]</f>
        <v>0.8</v>
      </c>
    </row>
    <row r="88" spans="1:35" x14ac:dyDescent="0.25">
      <c r="A88" t="s">
        <v>57</v>
      </c>
      <c r="B88" t="s">
        <v>897</v>
      </c>
      <c r="C88" t="s">
        <v>1026</v>
      </c>
      <c r="D88" t="s">
        <v>274</v>
      </c>
      <c r="E88" t="s">
        <v>80</v>
      </c>
      <c r="F88" t="s">
        <v>63</v>
      </c>
      <c r="G88" t="s">
        <v>2667</v>
      </c>
      <c r="H88" t="s">
        <v>3679</v>
      </c>
      <c r="I88" t="s">
        <v>178</v>
      </c>
      <c r="J88" t="s">
        <v>89</v>
      </c>
      <c r="K88" t="s">
        <v>2431</v>
      </c>
      <c r="L88" t="s">
        <v>2506</v>
      </c>
      <c r="M88" t="s">
        <v>3006</v>
      </c>
      <c r="N88" t="s">
        <v>2607</v>
      </c>
      <c r="O88" t="s">
        <v>89</v>
      </c>
      <c r="P88" t="s">
        <v>2211</v>
      </c>
      <c r="Q88" t="s">
        <v>3680</v>
      </c>
      <c r="R88" t="s">
        <v>2496</v>
      </c>
      <c r="S88" t="s">
        <v>93</v>
      </c>
      <c r="T88" t="s">
        <v>2497</v>
      </c>
      <c r="U88" t="s">
        <v>3006</v>
      </c>
      <c r="V88" t="s">
        <v>2607</v>
      </c>
      <c r="W88" t="s">
        <v>3441</v>
      </c>
      <c r="X88" t="s">
        <v>160</v>
      </c>
      <c r="Y88" t="s">
        <v>3681</v>
      </c>
      <c r="Z88" t="s">
        <v>2501</v>
      </c>
      <c r="AA88" t="s">
        <v>93</v>
      </c>
      <c r="AB88" t="s">
        <v>94</v>
      </c>
      <c r="AC88" t="s">
        <v>3682</v>
      </c>
      <c r="AF88">
        <f>1*Tabela2[[#This Row],[kan_params]]</f>
        <v>9897</v>
      </c>
      <c r="AG88">
        <f>1*Tabela2[[#This Row],[kan_test_acc]]</f>
        <v>0.95555555820464999</v>
      </c>
      <c r="AH88">
        <f>1*Tabela2[[#This Row],[mlp_test_acc]]</f>
        <v>0.88888888888888795</v>
      </c>
      <c r="AI88">
        <f>1*Tabela2[[#This Row],[mlp2_test_acc]]</f>
        <v>0.88888888888888795</v>
      </c>
    </row>
    <row r="89" spans="1:35" x14ac:dyDescent="0.25">
      <c r="A89" t="s">
        <v>57</v>
      </c>
      <c r="B89" t="s">
        <v>897</v>
      </c>
      <c r="C89" t="s">
        <v>1026</v>
      </c>
      <c r="D89" t="s">
        <v>274</v>
      </c>
      <c r="E89" t="s">
        <v>80</v>
      </c>
      <c r="F89" t="s">
        <v>64</v>
      </c>
      <c r="G89" t="s">
        <v>2678</v>
      </c>
      <c r="H89" t="s">
        <v>3683</v>
      </c>
      <c r="I89" t="s">
        <v>823</v>
      </c>
      <c r="J89" t="s">
        <v>89</v>
      </c>
      <c r="K89" t="s">
        <v>89</v>
      </c>
      <c r="L89" t="s">
        <v>2506</v>
      </c>
      <c r="M89" t="s">
        <v>3006</v>
      </c>
      <c r="N89" t="s">
        <v>2607</v>
      </c>
      <c r="O89" t="s">
        <v>89</v>
      </c>
      <c r="P89" t="s">
        <v>3618</v>
      </c>
      <c r="Q89" t="s">
        <v>3684</v>
      </c>
      <c r="R89" t="s">
        <v>2585</v>
      </c>
      <c r="S89" t="s">
        <v>93</v>
      </c>
      <c r="T89" t="s">
        <v>820</v>
      </c>
      <c r="U89" t="s">
        <v>3006</v>
      </c>
      <c r="V89" t="s">
        <v>3006</v>
      </c>
      <c r="W89" t="s">
        <v>3395</v>
      </c>
      <c r="X89" t="s">
        <v>160</v>
      </c>
      <c r="Y89" t="s">
        <v>3685</v>
      </c>
      <c r="Z89" t="s">
        <v>2688</v>
      </c>
      <c r="AA89" t="s">
        <v>93</v>
      </c>
      <c r="AB89" t="s">
        <v>823</v>
      </c>
      <c r="AC89" t="s">
        <v>3686</v>
      </c>
      <c r="AF89">
        <f>1*Tabela2[[#This Row],[kan_params]]</f>
        <v>11612</v>
      </c>
      <c r="AG89">
        <f>1*Tabela2[[#This Row],[kan_test_acc]]</f>
        <v>0.95555555820464999</v>
      </c>
      <c r="AH89">
        <f>1*Tabela2[[#This Row],[mlp_test_acc]]</f>
        <v>0.88888888888888795</v>
      </c>
      <c r="AI89">
        <f>1*Tabela2[[#This Row],[mlp2_test_acc]]</f>
        <v>0.88888888888888795</v>
      </c>
    </row>
    <row r="90" spans="1:35" x14ac:dyDescent="0.25">
      <c r="A90" t="s">
        <v>57</v>
      </c>
      <c r="B90" t="s">
        <v>897</v>
      </c>
      <c r="C90" t="s">
        <v>1026</v>
      </c>
      <c r="D90" t="s">
        <v>274</v>
      </c>
      <c r="E90" t="s">
        <v>80</v>
      </c>
      <c r="F90" t="s">
        <v>68</v>
      </c>
      <c r="G90" t="s">
        <v>2723</v>
      </c>
      <c r="H90" t="s">
        <v>3699</v>
      </c>
      <c r="I90" t="s">
        <v>702</v>
      </c>
      <c r="J90" t="s">
        <v>89</v>
      </c>
      <c r="K90" t="s">
        <v>89</v>
      </c>
      <c r="L90" t="s">
        <v>2506</v>
      </c>
      <c r="M90" t="s">
        <v>3006</v>
      </c>
      <c r="N90" t="s">
        <v>2607</v>
      </c>
      <c r="O90" t="s">
        <v>89</v>
      </c>
      <c r="P90" t="s">
        <v>3618</v>
      </c>
      <c r="Q90" t="s">
        <v>3700</v>
      </c>
      <c r="R90" t="s">
        <v>2501</v>
      </c>
      <c r="S90" t="s">
        <v>93</v>
      </c>
      <c r="T90" t="s">
        <v>94</v>
      </c>
      <c r="U90" t="s">
        <v>3440</v>
      </c>
      <c r="V90" t="s">
        <v>3006</v>
      </c>
      <c r="W90" t="s">
        <v>3441</v>
      </c>
      <c r="X90" t="s">
        <v>160</v>
      </c>
      <c r="Y90" t="s">
        <v>3701</v>
      </c>
      <c r="Z90" t="s">
        <v>2548</v>
      </c>
      <c r="AA90" t="s">
        <v>93</v>
      </c>
      <c r="AB90" t="s">
        <v>101</v>
      </c>
      <c r="AC90" t="s">
        <v>3702</v>
      </c>
      <c r="AF90">
        <f>1*Tabela2[[#This Row],[kan_params]]</f>
        <v>10162</v>
      </c>
      <c r="AG90">
        <f>1*Tabela2[[#This Row],[kan_test_acc]]</f>
        <v>0.95555555820464999</v>
      </c>
      <c r="AH90">
        <f>1*Tabela2[[#This Row],[mlp_test_acc]]</f>
        <v>0.88888888888888795</v>
      </c>
      <c r="AI90">
        <f>1*Tabela2[[#This Row],[mlp2_test_acc]]</f>
        <v>0.86666666666666603</v>
      </c>
    </row>
    <row r="91" spans="1:35" x14ac:dyDescent="0.25">
      <c r="A91" t="s">
        <v>57</v>
      </c>
      <c r="B91" t="s">
        <v>897</v>
      </c>
      <c r="C91" t="s">
        <v>1026</v>
      </c>
      <c r="D91" t="s">
        <v>274</v>
      </c>
      <c r="E91" t="s">
        <v>80</v>
      </c>
      <c r="F91" t="s">
        <v>74</v>
      </c>
      <c r="G91" t="s">
        <v>2781</v>
      </c>
      <c r="H91" t="s">
        <v>3724</v>
      </c>
      <c r="I91" t="s">
        <v>140</v>
      </c>
      <c r="J91" t="s">
        <v>89</v>
      </c>
      <c r="K91" t="s">
        <v>89</v>
      </c>
      <c r="L91" t="s">
        <v>2506</v>
      </c>
      <c r="M91" t="s">
        <v>3006</v>
      </c>
      <c r="N91" t="s">
        <v>2607</v>
      </c>
      <c r="O91" t="s">
        <v>89</v>
      </c>
      <c r="P91" t="s">
        <v>3618</v>
      </c>
      <c r="Q91" t="s">
        <v>3725</v>
      </c>
      <c r="R91" t="s">
        <v>2788</v>
      </c>
      <c r="S91" t="s">
        <v>93</v>
      </c>
      <c r="T91" t="s">
        <v>2789</v>
      </c>
      <c r="U91" t="s">
        <v>3440</v>
      </c>
      <c r="V91" t="s">
        <v>3006</v>
      </c>
      <c r="W91" t="s">
        <v>3395</v>
      </c>
      <c r="X91" t="s">
        <v>160</v>
      </c>
      <c r="Y91" t="s">
        <v>3726</v>
      </c>
      <c r="Z91" t="s">
        <v>2792</v>
      </c>
      <c r="AA91" t="s">
        <v>93</v>
      </c>
      <c r="AB91" t="s">
        <v>624</v>
      </c>
      <c r="AC91" t="s">
        <v>3727</v>
      </c>
      <c r="AF91">
        <f>1*Tabela2[[#This Row],[kan_params]]</f>
        <v>15722</v>
      </c>
      <c r="AG91">
        <f>1*Tabela2[[#This Row],[kan_test_acc]]</f>
        <v>0.95555555820464999</v>
      </c>
      <c r="AH91">
        <f>1*Tabela2[[#This Row],[mlp_test_acc]]</f>
        <v>0.88888888888888795</v>
      </c>
      <c r="AI91">
        <f>1*Tabela2[[#This Row],[mlp2_test_acc]]</f>
        <v>0.86666666666666603</v>
      </c>
    </row>
    <row r="92" spans="1:35" x14ac:dyDescent="0.25">
      <c r="A92" t="s">
        <v>57</v>
      </c>
      <c r="B92" t="s">
        <v>897</v>
      </c>
      <c r="C92" t="s">
        <v>1026</v>
      </c>
      <c r="D92" t="s">
        <v>274</v>
      </c>
      <c r="E92" t="s">
        <v>80</v>
      </c>
      <c r="F92" t="s">
        <v>76</v>
      </c>
      <c r="G92" t="s">
        <v>2802</v>
      </c>
      <c r="H92" t="s">
        <v>3733</v>
      </c>
      <c r="I92" t="s">
        <v>2299</v>
      </c>
      <c r="J92" t="s">
        <v>89</v>
      </c>
      <c r="K92" t="s">
        <v>89</v>
      </c>
      <c r="L92" t="s">
        <v>2506</v>
      </c>
      <c r="M92" t="s">
        <v>3006</v>
      </c>
      <c r="N92" t="s">
        <v>2607</v>
      </c>
      <c r="O92" t="s">
        <v>89</v>
      </c>
      <c r="P92" t="s">
        <v>2110</v>
      </c>
      <c r="Q92" t="s">
        <v>3734</v>
      </c>
      <c r="R92" t="s">
        <v>2807</v>
      </c>
      <c r="S92" t="s">
        <v>93</v>
      </c>
      <c r="T92" t="s">
        <v>1671</v>
      </c>
      <c r="U92" t="s">
        <v>3735</v>
      </c>
      <c r="V92" t="s">
        <v>3134</v>
      </c>
      <c r="W92" t="s">
        <v>3736</v>
      </c>
      <c r="X92" t="s">
        <v>160</v>
      </c>
      <c r="Y92" t="s">
        <v>3737</v>
      </c>
      <c r="Z92" t="s">
        <v>2809</v>
      </c>
      <c r="AA92" t="s">
        <v>93</v>
      </c>
      <c r="AB92" t="s">
        <v>1453</v>
      </c>
      <c r="AC92" t="s">
        <v>3738</v>
      </c>
      <c r="AF92">
        <f>1*Tabela2[[#This Row],[kan_params]]</f>
        <v>2748</v>
      </c>
      <c r="AG92">
        <f>1*Tabela2[[#This Row],[kan_test_acc]]</f>
        <v>0.95555555820464999</v>
      </c>
      <c r="AH92">
        <f>1*Tabela2[[#This Row],[mlp_test_acc]]</f>
        <v>0.88888888888888795</v>
      </c>
      <c r="AI92">
        <f>1*Tabela2[[#This Row],[mlp2_test_acc]]</f>
        <v>0.6</v>
      </c>
    </row>
    <row r="93" spans="1:35" x14ac:dyDescent="0.25">
      <c r="A93" t="s">
        <v>57</v>
      </c>
      <c r="B93" t="s">
        <v>959</v>
      </c>
      <c r="C93" t="s">
        <v>1026</v>
      </c>
      <c r="D93" t="s">
        <v>79</v>
      </c>
      <c r="E93" t="s">
        <v>80</v>
      </c>
      <c r="F93" t="s">
        <v>58</v>
      </c>
      <c r="G93" t="s">
        <v>2811</v>
      </c>
      <c r="H93" t="s">
        <v>3739</v>
      </c>
      <c r="I93" t="s">
        <v>930</v>
      </c>
      <c r="J93" t="s">
        <v>89</v>
      </c>
      <c r="K93" t="s">
        <v>2431</v>
      </c>
      <c r="L93" t="s">
        <v>2506</v>
      </c>
      <c r="M93" t="s">
        <v>3006</v>
      </c>
      <c r="N93" t="s">
        <v>2607</v>
      </c>
      <c r="O93" t="s">
        <v>89</v>
      </c>
      <c r="P93" t="s">
        <v>2211</v>
      </c>
      <c r="Q93" t="s">
        <v>3740</v>
      </c>
      <c r="R93" t="s">
        <v>2486</v>
      </c>
      <c r="S93" t="s">
        <v>93</v>
      </c>
      <c r="T93" t="s">
        <v>281</v>
      </c>
      <c r="U93" t="s">
        <v>3440</v>
      </c>
      <c r="V93" t="s">
        <v>2607</v>
      </c>
      <c r="W93" t="s">
        <v>3441</v>
      </c>
      <c r="X93" t="s">
        <v>160</v>
      </c>
      <c r="Y93" t="s">
        <v>3741</v>
      </c>
      <c r="Z93" t="s">
        <v>2489</v>
      </c>
      <c r="AA93" t="s">
        <v>93</v>
      </c>
      <c r="AB93" t="s">
        <v>285</v>
      </c>
      <c r="AC93" t="s">
        <v>3742</v>
      </c>
      <c r="AF93">
        <f>1*Tabela2[[#This Row],[kan_params]]</f>
        <v>8323</v>
      </c>
      <c r="AG93">
        <f>1*Tabela2[[#This Row],[kan_test_acc]]</f>
        <v>0.95555555820464999</v>
      </c>
      <c r="AH93">
        <f>1*Tabela2[[#This Row],[mlp_test_acc]]</f>
        <v>0.88888888888888795</v>
      </c>
      <c r="AI93">
        <f>1*Tabela2[[#This Row],[mlp2_test_acc]]</f>
        <v>0.86666666666666603</v>
      </c>
    </row>
    <row r="94" spans="1:35" x14ac:dyDescent="0.25">
      <c r="A94" t="s">
        <v>57</v>
      </c>
      <c r="B94" t="s">
        <v>959</v>
      </c>
      <c r="C94" t="s">
        <v>1026</v>
      </c>
      <c r="D94" t="s">
        <v>79</v>
      </c>
      <c r="E94" t="s">
        <v>80</v>
      </c>
      <c r="F94" t="s">
        <v>62</v>
      </c>
      <c r="G94" t="s">
        <v>2846</v>
      </c>
      <c r="H94" t="s">
        <v>3758</v>
      </c>
      <c r="I94" t="s">
        <v>3759</v>
      </c>
      <c r="J94" t="s">
        <v>89</v>
      </c>
      <c r="K94" t="s">
        <v>89</v>
      </c>
      <c r="L94" t="s">
        <v>2506</v>
      </c>
      <c r="M94" t="s">
        <v>3006</v>
      </c>
      <c r="N94" t="s">
        <v>2607</v>
      </c>
      <c r="O94" t="s">
        <v>89</v>
      </c>
      <c r="P94" t="s">
        <v>3618</v>
      </c>
      <c r="Q94" t="s">
        <v>3760</v>
      </c>
      <c r="R94" t="s">
        <v>2522</v>
      </c>
      <c r="S94" t="s">
        <v>93</v>
      </c>
      <c r="T94" t="s">
        <v>2523</v>
      </c>
      <c r="U94" t="s">
        <v>3488</v>
      </c>
      <c r="V94" t="s">
        <v>3006</v>
      </c>
      <c r="W94" t="s">
        <v>3604</v>
      </c>
      <c r="X94" t="s">
        <v>160</v>
      </c>
      <c r="Y94" t="s">
        <v>3761</v>
      </c>
      <c r="Z94" t="s">
        <v>2496</v>
      </c>
      <c r="AA94" t="s">
        <v>93</v>
      </c>
      <c r="AB94" t="s">
        <v>2497</v>
      </c>
      <c r="AC94" t="s">
        <v>3762</v>
      </c>
      <c r="AF94">
        <f>1*Tabela2[[#This Row],[kan_params]]</f>
        <v>9469</v>
      </c>
      <c r="AG94">
        <f>1*Tabela2[[#This Row],[kan_test_acc]]</f>
        <v>0.95555555820464999</v>
      </c>
      <c r="AH94">
        <f>1*Tabela2[[#This Row],[mlp_test_acc]]</f>
        <v>0.88888888888888795</v>
      </c>
      <c r="AI94">
        <f>1*Tabela2[[#This Row],[mlp2_test_acc]]</f>
        <v>0.82222222222222197</v>
      </c>
    </row>
    <row r="95" spans="1:35" x14ac:dyDescent="0.25">
      <c r="A95" t="s">
        <v>57</v>
      </c>
      <c r="B95" t="s">
        <v>959</v>
      </c>
      <c r="C95" t="s">
        <v>1026</v>
      </c>
      <c r="D95" t="s">
        <v>79</v>
      </c>
      <c r="E95" t="s">
        <v>80</v>
      </c>
      <c r="F95" t="s">
        <v>71</v>
      </c>
      <c r="G95" t="s">
        <v>2929</v>
      </c>
      <c r="H95" t="s">
        <v>3795</v>
      </c>
      <c r="I95" t="s">
        <v>1950</v>
      </c>
      <c r="J95" t="s">
        <v>89</v>
      </c>
      <c r="K95" t="s">
        <v>89</v>
      </c>
      <c r="L95" t="s">
        <v>2506</v>
      </c>
      <c r="M95" t="s">
        <v>3006</v>
      </c>
      <c r="N95" t="s">
        <v>2607</v>
      </c>
      <c r="O95" t="s">
        <v>89</v>
      </c>
      <c r="P95" t="s">
        <v>2211</v>
      </c>
      <c r="Q95" t="s">
        <v>3796</v>
      </c>
      <c r="R95" t="s">
        <v>2936</v>
      </c>
      <c r="S95" t="s">
        <v>93</v>
      </c>
      <c r="T95" t="s">
        <v>2937</v>
      </c>
      <c r="U95" t="s">
        <v>3668</v>
      </c>
      <c r="V95" t="s">
        <v>3134</v>
      </c>
      <c r="W95" t="s">
        <v>3797</v>
      </c>
      <c r="X95" t="s">
        <v>160</v>
      </c>
      <c r="Y95" t="s">
        <v>3798</v>
      </c>
      <c r="Z95" t="s">
        <v>2475</v>
      </c>
      <c r="AA95" t="s">
        <v>93</v>
      </c>
      <c r="AB95" t="s">
        <v>2476</v>
      </c>
      <c r="AC95" t="s">
        <v>3799</v>
      </c>
      <c r="AF95">
        <f>1*Tabela2[[#This Row],[kan_params]]</f>
        <v>6710</v>
      </c>
      <c r="AG95">
        <f>1*Tabela2[[#This Row],[kan_test_acc]]</f>
        <v>0.95555555820464999</v>
      </c>
      <c r="AH95">
        <f>1*Tabela2[[#This Row],[mlp_test_acc]]</f>
        <v>0.88888888888888795</v>
      </c>
      <c r="AI95">
        <f>1*Tabela2[[#This Row],[mlp2_test_acc]]</f>
        <v>0.62222222222222201</v>
      </c>
    </row>
    <row r="96" spans="1:35" x14ac:dyDescent="0.25">
      <c r="A96" t="s">
        <v>57</v>
      </c>
      <c r="B96" t="s">
        <v>959</v>
      </c>
      <c r="C96" t="s">
        <v>1026</v>
      </c>
      <c r="D96" t="s">
        <v>79</v>
      </c>
      <c r="E96" t="s">
        <v>80</v>
      </c>
      <c r="F96" t="s">
        <v>74</v>
      </c>
      <c r="G96" t="s">
        <v>2953</v>
      </c>
      <c r="H96" t="s">
        <v>3808</v>
      </c>
      <c r="I96" t="s">
        <v>823</v>
      </c>
      <c r="J96" t="s">
        <v>89</v>
      </c>
      <c r="K96" t="s">
        <v>89</v>
      </c>
      <c r="L96" t="s">
        <v>2506</v>
      </c>
      <c r="M96" t="s">
        <v>3006</v>
      </c>
      <c r="N96" t="s">
        <v>2607</v>
      </c>
      <c r="O96" t="s">
        <v>89</v>
      </c>
      <c r="P96" t="s">
        <v>3618</v>
      </c>
      <c r="Q96" t="s">
        <v>3809</v>
      </c>
      <c r="R96" t="s">
        <v>2959</v>
      </c>
      <c r="S96" t="s">
        <v>93</v>
      </c>
      <c r="T96" t="s">
        <v>221</v>
      </c>
      <c r="U96" t="s">
        <v>3006</v>
      </c>
      <c r="V96" t="s">
        <v>2607</v>
      </c>
      <c r="W96" t="s">
        <v>3395</v>
      </c>
      <c r="X96" t="s">
        <v>160</v>
      </c>
      <c r="Y96" t="s">
        <v>3810</v>
      </c>
      <c r="Z96" t="s">
        <v>2961</v>
      </c>
      <c r="AA96" t="s">
        <v>93</v>
      </c>
      <c r="AB96" t="s">
        <v>639</v>
      </c>
      <c r="AC96" t="s">
        <v>3811</v>
      </c>
      <c r="AF96">
        <f>1*Tabela2[[#This Row],[kan_params]]</f>
        <v>18197</v>
      </c>
      <c r="AG96">
        <f>1*Tabela2[[#This Row],[kan_test_acc]]</f>
        <v>0.95555555820464999</v>
      </c>
      <c r="AH96">
        <f>1*Tabela2[[#This Row],[mlp_test_acc]]</f>
        <v>0.88888888888888795</v>
      </c>
      <c r="AI96">
        <f>1*Tabela2[[#This Row],[mlp2_test_acc]]</f>
        <v>0.88888888888888795</v>
      </c>
    </row>
    <row r="97" spans="1:35" x14ac:dyDescent="0.25">
      <c r="A97" t="s">
        <v>57</v>
      </c>
      <c r="B97" t="s">
        <v>959</v>
      </c>
      <c r="C97" t="s">
        <v>1026</v>
      </c>
      <c r="D97" t="s">
        <v>79</v>
      </c>
      <c r="E97" t="s">
        <v>80</v>
      </c>
      <c r="F97" t="s">
        <v>75</v>
      </c>
      <c r="G97" t="s">
        <v>2963</v>
      </c>
      <c r="H97" t="s">
        <v>3812</v>
      </c>
      <c r="I97" t="s">
        <v>2108</v>
      </c>
      <c r="J97" t="s">
        <v>89</v>
      </c>
      <c r="K97" t="s">
        <v>89</v>
      </c>
      <c r="L97" t="s">
        <v>2506</v>
      </c>
      <c r="M97" t="s">
        <v>3179</v>
      </c>
      <c r="N97" t="s">
        <v>2607</v>
      </c>
      <c r="O97" t="s">
        <v>89</v>
      </c>
      <c r="P97" t="s">
        <v>2211</v>
      </c>
      <c r="Q97" t="s">
        <v>3813</v>
      </c>
      <c r="R97" t="s">
        <v>2489</v>
      </c>
      <c r="S97" t="s">
        <v>93</v>
      </c>
      <c r="T97" t="s">
        <v>285</v>
      </c>
      <c r="U97" t="s">
        <v>2916</v>
      </c>
      <c r="V97" t="s">
        <v>3542</v>
      </c>
      <c r="W97" t="s">
        <v>3755</v>
      </c>
      <c r="X97" t="s">
        <v>160</v>
      </c>
      <c r="Y97" t="s">
        <v>3814</v>
      </c>
      <c r="Z97" t="s">
        <v>2456</v>
      </c>
      <c r="AA97" t="s">
        <v>93</v>
      </c>
      <c r="AB97" t="s">
        <v>2257</v>
      </c>
      <c r="AC97" t="s">
        <v>3815</v>
      </c>
      <c r="AF97">
        <f>1*Tabela2[[#This Row],[kan_params]]</f>
        <v>8475</v>
      </c>
      <c r="AG97">
        <f>1*Tabela2[[#This Row],[kan_test_acc]]</f>
        <v>0.95555555820464999</v>
      </c>
      <c r="AH97">
        <f>1*Tabela2[[#This Row],[mlp_test_acc]]</f>
        <v>0.91111111111111098</v>
      </c>
      <c r="AI97">
        <f>1*Tabela2[[#This Row],[mlp2_test_acc]]</f>
        <v>0.688888888888888</v>
      </c>
    </row>
    <row r="98" spans="1:35" x14ac:dyDescent="0.25">
      <c r="A98" t="s">
        <v>57</v>
      </c>
      <c r="B98" t="s">
        <v>1297</v>
      </c>
      <c r="C98" t="s">
        <v>1026</v>
      </c>
      <c r="D98" t="s">
        <v>898</v>
      </c>
      <c r="E98" t="s">
        <v>80</v>
      </c>
      <c r="F98" t="s">
        <v>71</v>
      </c>
      <c r="G98" t="s">
        <v>3909</v>
      </c>
      <c r="H98" t="s">
        <v>3910</v>
      </c>
      <c r="I98" t="s">
        <v>1129</v>
      </c>
      <c r="J98" t="s">
        <v>89</v>
      </c>
      <c r="K98" t="s">
        <v>89</v>
      </c>
      <c r="L98" t="s">
        <v>2506</v>
      </c>
      <c r="M98" t="s">
        <v>3006</v>
      </c>
      <c r="N98" t="s">
        <v>2607</v>
      </c>
      <c r="O98" t="s">
        <v>89</v>
      </c>
      <c r="P98" t="s">
        <v>2211</v>
      </c>
      <c r="Q98" t="s">
        <v>3911</v>
      </c>
      <c r="R98" t="s">
        <v>2448</v>
      </c>
      <c r="S98" t="s">
        <v>93</v>
      </c>
      <c r="T98" t="s">
        <v>2173</v>
      </c>
      <c r="U98" t="s">
        <v>3006</v>
      </c>
      <c r="V98" t="s">
        <v>2897</v>
      </c>
      <c r="W98" t="s">
        <v>3411</v>
      </c>
      <c r="X98" t="s">
        <v>160</v>
      </c>
      <c r="Y98" t="s">
        <v>3912</v>
      </c>
      <c r="Z98" t="s">
        <v>2511</v>
      </c>
      <c r="AA98" t="s">
        <v>93</v>
      </c>
      <c r="AB98" t="s">
        <v>2081</v>
      </c>
      <c r="AC98" t="s">
        <v>3913</v>
      </c>
      <c r="AF98">
        <f>1*Tabela2[[#This Row],[kan_params]]</f>
        <v>7622</v>
      </c>
      <c r="AG98">
        <f>1*Tabela2[[#This Row],[kan_test_acc]]</f>
        <v>0.95555555820464999</v>
      </c>
      <c r="AH98">
        <f>1*Tabela2[[#This Row],[mlp_test_acc]]</f>
        <v>0.88888888888888795</v>
      </c>
      <c r="AI98">
        <f>1*Tabela2[[#This Row],[mlp2_test_acc]]</f>
        <v>0.88888888888888795</v>
      </c>
    </row>
    <row r="99" spans="1:35" x14ac:dyDescent="0.25">
      <c r="A99" t="s">
        <v>57</v>
      </c>
      <c r="B99" t="s">
        <v>1297</v>
      </c>
      <c r="C99" t="s">
        <v>1026</v>
      </c>
      <c r="D99" t="s">
        <v>898</v>
      </c>
      <c r="E99" t="s">
        <v>80</v>
      </c>
      <c r="F99" t="s">
        <v>75</v>
      </c>
      <c r="G99" t="s">
        <v>3936</v>
      </c>
      <c r="H99" t="s">
        <v>3937</v>
      </c>
      <c r="I99" t="s">
        <v>3938</v>
      </c>
      <c r="J99" t="s">
        <v>89</v>
      </c>
      <c r="K99" t="s">
        <v>89</v>
      </c>
      <c r="L99" t="s">
        <v>2506</v>
      </c>
      <c r="M99" t="s">
        <v>3006</v>
      </c>
      <c r="N99" t="s">
        <v>2607</v>
      </c>
      <c r="O99" t="s">
        <v>89</v>
      </c>
      <c r="P99" t="s">
        <v>2211</v>
      </c>
      <c r="Q99" t="s">
        <v>3939</v>
      </c>
      <c r="R99" t="s">
        <v>2522</v>
      </c>
      <c r="S99" t="s">
        <v>93</v>
      </c>
      <c r="T99" t="s">
        <v>2523</v>
      </c>
      <c r="U99" t="s">
        <v>3488</v>
      </c>
      <c r="V99" t="s">
        <v>3006</v>
      </c>
      <c r="W99" t="s">
        <v>3411</v>
      </c>
      <c r="X99" t="s">
        <v>160</v>
      </c>
      <c r="Y99" t="s">
        <v>3940</v>
      </c>
      <c r="Z99" t="s">
        <v>2496</v>
      </c>
      <c r="AA99" t="s">
        <v>93</v>
      </c>
      <c r="AB99" t="s">
        <v>2497</v>
      </c>
      <c r="AC99" t="s">
        <v>3941</v>
      </c>
      <c r="AF99">
        <f>1*Tabela2[[#This Row],[kan_params]]</f>
        <v>9627</v>
      </c>
      <c r="AG99">
        <f>1*Tabela2[[#This Row],[kan_test_acc]]</f>
        <v>0.95555555820464999</v>
      </c>
      <c r="AH99">
        <f>1*Tabela2[[#This Row],[mlp_test_acc]]</f>
        <v>0.88888888888888795</v>
      </c>
      <c r="AI99">
        <f>1*Tabela2[[#This Row],[mlp2_test_acc]]</f>
        <v>0.82222222222222197</v>
      </c>
    </row>
    <row r="100" spans="1:35" x14ac:dyDescent="0.25">
      <c r="A100" t="s">
        <v>57</v>
      </c>
      <c r="B100" t="s">
        <v>78</v>
      </c>
      <c r="C100" t="s">
        <v>79</v>
      </c>
      <c r="D100" t="s">
        <v>79</v>
      </c>
      <c r="E100" t="s">
        <v>80</v>
      </c>
      <c r="F100" t="s">
        <v>62</v>
      </c>
      <c r="G100" t="s">
        <v>2469</v>
      </c>
      <c r="H100" t="s">
        <v>2470</v>
      </c>
      <c r="I100" t="s">
        <v>2471</v>
      </c>
      <c r="J100" t="s">
        <v>89</v>
      </c>
      <c r="K100" t="s">
        <v>89</v>
      </c>
      <c r="L100" t="s">
        <v>2472</v>
      </c>
      <c r="M100" t="s">
        <v>89</v>
      </c>
      <c r="N100" t="s">
        <v>89</v>
      </c>
      <c r="O100" t="s">
        <v>2453</v>
      </c>
      <c r="P100" t="s">
        <v>2473</v>
      </c>
      <c r="Q100" t="s">
        <v>2474</v>
      </c>
      <c r="R100" t="s">
        <v>2475</v>
      </c>
      <c r="S100" t="s">
        <v>93</v>
      </c>
      <c r="T100" t="s">
        <v>2476</v>
      </c>
      <c r="U100" t="s">
        <v>89</v>
      </c>
      <c r="V100" t="s">
        <v>89</v>
      </c>
      <c r="W100" t="s">
        <v>2453</v>
      </c>
      <c r="X100" t="s">
        <v>2477</v>
      </c>
      <c r="Y100" t="s">
        <v>2478</v>
      </c>
      <c r="Z100" t="s">
        <v>2479</v>
      </c>
      <c r="AA100" t="s">
        <v>93</v>
      </c>
      <c r="AB100" t="s">
        <v>2198</v>
      </c>
      <c r="AC100" t="s">
        <v>2480</v>
      </c>
      <c r="AF100">
        <f>1*Tabela2[[#This Row],[kan_params]]</f>
        <v>6895</v>
      </c>
      <c r="AG100">
        <f>1*Tabela2[[#This Row],[kan_test_acc]]</f>
        <v>0.93333333730697599</v>
      </c>
      <c r="AH100">
        <f>1*Tabela2[[#This Row],[mlp_test_acc]]</f>
        <v>1</v>
      </c>
      <c r="AI100">
        <f>1*Tabela2[[#This Row],[mlp2_test_acc]]</f>
        <v>1</v>
      </c>
    </row>
    <row r="101" spans="1:35" x14ac:dyDescent="0.25">
      <c r="A101" t="s">
        <v>57</v>
      </c>
      <c r="B101" t="s">
        <v>78</v>
      </c>
      <c r="C101" t="s">
        <v>79</v>
      </c>
      <c r="D101" t="s">
        <v>79</v>
      </c>
      <c r="E101" t="s">
        <v>80</v>
      </c>
      <c r="F101" t="s">
        <v>66</v>
      </c>
      <c r="G101" t="s">
        <v>2513</v>
      </c>
      <c r="H101" t="s">
        <v>2514</v>
      </c>
      <c r="I101" t="s">
        <v>2515</v>
      </c>
      <c r="J101" t="s">
        <v>2516</v>
      </c>
      <c r="K101" t="s">
        <v>89</v>
      </c>
      <c r="L101" t="s">
        <v>2472</v>
      </c>
      <c r="M101" t="s">
        <v>89</v>
      </c>
      <c r="N101" t="s">
        <v>89</v>
      </c>
      <c r="O101" t="s">
        <v>2453</v>
      </c>
      <c r="P101" t="s">
        <v>2517</v>
      </c>
      <c r="Q101" t="s">
        <v>2518</v>
      </c>
      <c r="R101" t="s">
        <v>2519</v>
      </c>
      <c r="S101" t="s">
        <v>93</v>
      </c>
      <c r="T101" t="s">
        <v>2187</v>
      </c>
      <c r="U101" t="s">
        <v>89</v>
      </c>
      <c r="V101" t="s">
        <v>89</v>
      </c>
      <c r="W101" t="s">
        <v>2453</v>
      </c>
      <c r="X101" t="s">
        <v>2520</v>
      </c>
      <c r="Y101" t="s">
        <v>2521</v>
      </c>
      <c r="Z101" t="s">
        <v>2522</v>
      </c>
      <c r="AA101" t="s">
        <v>93</v>
      </c>
      <c r="AB101" t="s">
        <v>2523</v>
      </c>
      <c r="AC101" t="s">
        <v>2524</v>
      </c>
      <c r="AF101">
        <f>1*Tabela2[[#This Row],[kan_params]]</f>
        <v>9334</v>
      </c>
      <c r="AG101">
        <f>1*Tabela2[[#This Row],[kan_test_acc]]</f>
        <v>0.93333333730697599</v>
      </c>
      <c r="AH101">
        <f>1*Tabela2[[#This Row],[mlp_test_acc]]</f>
        <v>1</v>
      </c>
      <c r="AI101">
        <f>1*Tabela2[[#This Row],[mlp2_test_acc]]</f>
        <v>1</v>
      </c>
    </row>
    <row r="102" spans="1:35" x14ac:dyDescent="0.25">
      <c r="A102" t="s">
        <v>57</v>
      </c>
      <c r="B102" t="s">
        <v>78</v>
      </c>
      <c r="C102" t="s">
        <v>79</v>
      </c>
      <c r="D102" t="s">
        <v>79</v>
      </c>
      <c r="E102" t="s">
        <v>80</v>
      </c>
      <c r="F102" t="s">
        <v>69</v>
      </c>
      <c r="G102" t="s">
        <v>2544</v>
      </c>
      <c r="H102" t="s">
        <v>2545</v>
      </c>
      <c r="I102" t="s">
        <v>1513</v>
      </c>
      <c r="J102" t="s">
        <v>2546</v>
      </c>
      <c r="K102" t="s">
        <v>89</v>
      </c>
      <c r="L102" t="s">
        <v>2472</v>
      </c>
      <c r="M102" t="s">
        <v>2498</v>
      </c>
      <c r="N102" t="s">
        <v>89</v>
      </c>
      <c r="O102" t="s">
        <v>89</v>
      </c>
      <c r="P102" t="s">
        <v>278</v>
      </c>
      <c r="Q102" t="s">
        <v>2547</v>
      </c>
      <c r="R102" t="s">
        <v>2548</v>
      </c>
      <c r="S102" t="s">
        <v>93</v>
      </c>
      <c r="T102" t="s">
        <v>101</v>
      </c>
      <c r="U102" t="s">
        <v>2433</v>
      </c>
      <c r="V102" t="s">
        <v>89</v>
      </c>
      <c r="W102" t="s">
        <v>89</v>
      </c>
      <c r="X102" t="s">
        <v>2549</v>
      </c>
      <c r="Y102" t="s">
        <v>2550</v>
      </c>
      <c r="Z102" t="s">
        <v>2551</v>
      </c>
      <c r="AA102" t="s">
        <v>93</v>
      </c>
      <c r="AB102" t="s">
        <v>1860</v>
      </c>
      <c r="AC102" t="s">
        <v>2552</v>
      </c>
      <c r="AF102">
        <f>1*Tabela2[[#This Row],[kan_params]]</f>
        <v>10328</v>
      </c>
      <c r="AG102">
        <f>1*Tabela2[[#This Row],[kan_test_acc]]</f>
        <v>0.93333333730697599</v>
      </c>
      <c r="AH102">
        <f>1*Tabela2[[#This Row],[mlp_test_acc]]</f>
        <v>0.97777777777777697</v>
      </c>
      <c r="AI102">
        <f>1*Tabela2[[#This Row],[mlp2_test_acc]]</f>
        <v>0.95555555555555505</v>
      </c>
    </row>
    <row r="103" spans="1:35" x14ac:dyDescent="0.25">
      <c r="A103" t="s">
        <v>57</v>
      </c>
      <c r="B103" t="s">
        <v>78</v>
      </c>
      <c r="C103" t="s">
        <v>79</v>
      </c>
      <c r="D103" t="s">
        <v>79</v>
      </c>
      <c r="E103" t="s">
        <v>80</v>
      </c>
      <c r="F103" t="s">
        <v>70</v>
      </c>
      <c r="G103" t="s">
        <v>2553</v>
      </c>
      <c r="H103" t="s">
        <v>2554</v>
      </c>
      <c r="I103" t="s">
        <v>547</v>
      </c>
      <c r="J103" t="s">
        <v>2555</v>
      </c>
      <c r="K103" t="s">
        <v>89</v>
      </c>
      <c r="L103" t="s">
        <v>2472</v>
      </c>
      <c r="M103" t="s">
        <v>2433</v>
      </c>
      <c r="N103" t="s">
        <v>89</v>
      </c>
      <c r="O103" t="s">
        <v>89</v>
      </c>
      <c r="P103" t="s">
        <v>278</v>
      </c>
      <c r="Q103" t="s">
        <v>2556</v>
      </c>
      <c r="R103" t="s">
        <v>2557</v>
      </c>
      <c r="S103" t="s">
        <v>93</v>
      </c>
      <c r="T103" t="s">
        <v>374</v>
      </c>
      <c r="U103" t="s">
        <v>2433</v>
      </c>
      <c r="V103" t="s">
        <v>89</v>
      </c>
      <c r="W103" t="s">
        <v>89</v>
      </c>
      <c r="X103" t="s">
        <v>278</v>
      </c>
      <c r="Y103" t="s">
        <v>2558</v>
      </c>
      <c r="Z103" t="s">
        <v>2559</v>
      </c>
      <c r="AA103" t="s">
        <v>93</v>
      </c>
      <c r="AB103" t="s">
        <v>109</v>
      </c>
      <c r="AC103" t="s">
        <v>2560</v>
      </c>
      <c r="AF103">
        <f>1*Tabela2[[#This Row],[kan_params]]</f>
        <v>12093</v>
      </c>
      <c r="AG103">
        <f>1*Tabela2[[#This Row],[kan_test_acc]]</f>
        <v>0.93333333730697599</v>
      </c>
      <c r="AH103">
        <f>1*Tabela2[[#This Row],[mlp_test_acc]]</f>
        <v>0.95555555555555505</v>
      </c>
      <c r="AI103">
        <f>1*Tabela2[[#This Row],[mlp2_test_acc]]</f>
        <v>0.95555555555555505</v>
      </c>
    </row>
    <row r="104" spans="1:35" x14ac:dyDescent="0.25">
      <c r="A104" t="s">
        <v>57</v>
      </c>
      <c r="B104" t="s">
        <v>814</v>
      </c>
      <c r="C104" t="s">
        <v>79</v>
      </c>
      <c r="D104" t="s">
        <v>898</v>
      </c>
      <c r="E104" t="s">
        <v>80</v>
      </c>
      <c r="F104" t="s">
        <v>76</v>
      </c>
      <c r="G104" t="s">
        <v>2802</v>
      </c>
      <c r="H104" t="s">
        <v>2803</v>
      </c>
      <c r="I104" t="s">
        <v>2804</v>
      </c>
      <c r="J104" t="s">
        <v>2546</v>
      </c>
      <c r="K104" t="s">
        <v>89</v>
      </c>
      <c r="L104" t="s">
        <v>2472</v>
      </c>
      <c r="M104" t="s">
        <v>2433</v>
      </c>
      <c r="N104" t="s">
        <v>89</v>
      </c>
      <c r="O104" t="s">
        <v>89</v>
      </c>
      <c r="P104" t="s">
        <v>2805</v>
      </c>
      <c r="Q104" t="s">
        <v>2806</v>
      </c>
      <c r="R104" t="s">
        <v>2807</v>
      </c>
      <c r="S104" t="s">
        <v>93</v>
      </c>
      <c r="T104" t="s">
        <v>1671</v>
      </c>
      <c r="U104" t="s">
        <v>2433</v>
      </c>
      <c r="V104" t="s">
        <v>89</v>
      </c>
      <c r="W104" t="s">
        <v>89</v>
      </c>
      <c r="X104" t="s">
        <v>278</v>
      </c>
      <c r="Y104" t="s">
        <v>2808</v>
      </c>
      <c r="Z104" t="s">
        <v>2809</v>
      </c>
      <c r="AA104" t="s">
        <v>93</v>
      </c>
      <c r="AB104" t="s">
        <v>1453</v>
      </c>
      <c r="AC104" t="s">
        <v>2810</v>
      </c>
      <c r="AF104">
        <f>1*Tabela2[[#This Row],[kan_params]]</f>
        <v>2748</v>
      </c>
      <c r="AG104">
        <f>1*Tabela2[[#This Row],[kan_test_acc]]</f>
        <v>0.93333333730697599</v>
      </c>
      <c r="AH104">
        <f>1*Tabela2[[#This Row],[mlp_test_acc]]</f>
        <v>0.95555555555555505</v>
      </c>
      <c r="AI104">
        <f>1*Tabela2[[#This Row],[mlp2_test_acc]]</f>
        <v>0.95555555555555505</v>
      </c>
    </row>
    <row r="105" spans="1:35" x14ac:dyDescent="0.25">
      <c r="A105" t="s">
        <v>57</v>
      </c>
      <c r="B105" t="s">
        <v>78</v>
      </c>
      <c r="C105" t="s">
        <v>666</v>
      </c>
      <c r="D105" t="s">
        <v>274</v>
      </c>
      <c r="E105" t="s">
        <v>80</v>
      </c>
      <c r="F105" t="s">
        <v>59</v>
      </c>
      <c r="G105" t="s">
        <v>3138</v>
      </c>
      <c r="H105" t="s">
        <v>3139</v>
      </c>
      <c r="I105" t="s">
        <v>3140</v>
      </c>
      <c r="J105" t="s">
        <v>89</v>
      </c>
      <c r="K105" t="s">
        <v>89</v>
      </c>
      <c r="L105" t="s">
        <v>2472</v>
      </c>
      <c r="M105" t="s">
        <v>2498</v>
      </c>
      <c r="N105" t="s">
        <v>2607</v>
      </c>
      <c r="O105" t="s">
        <v>89</v>
      </c>
      <c r="P105" t="s">
        <v>3141</v>
      </c>
      <c r="Q105" t="s">
        <v>3142</v>
      </c>
      <c r="R105" t="s">
        <v>2475</v>
      </c>
      <c r="S105" t="s">
        <v>93</v>
      </c>
      <c r="T105" t="s">
        <v>2476</v>
      </c>
      <c r="U105" t="s">
        <v>3133</v>
      </c>
      <c r="V105" t="s">
        <v>3143</v>
      </c>
      <c r="W105" t="s">
        <v>3135</v>
      </c>
      <c r="X105" t="s">
        <v>160</v>
      </c>
      <c r="Y105" t="s">
        <v>3144</v>
      </c>
      <c r="Z105" t="s">
        <v>2479</v>
      </c>
      <c r="AA105" t="s">
        <v>93</v>
      </c>
      <c r="AB105" t="s">
        <v>2198</v>
      </c>
      <c r="AC105" t="s">
        <v>3145</v>
      </c>
      <c r="AF105">
        <f>1*Tabela2[[#This Row],[kan_params]]</f>
        <v>6889</v>
      </c>
      <c r="AG105">
        <f>1*Tabela2[[#This Row],[kan_test_acc]]</f>
        <v>0.93333333730697599</v>
      </c>
      <c r="AH105">
        <f>1*Tabela2[[#This Row],[mlp_test_acc]]</f>
        <v>0.97777777777777697</v>
      </c>
      <c r="AI105">
        <f>1*Tabela2[[#This Row],[mlp2_test_acc]]</f>
        <v>0.28888888888888797</v>
      </c>
    </row>
    <row r="106" spans="1:35" x14ac:dyDescent="0.25">
      <c r="A106" t="s">
        <v>57</v>
      </c>
      <c r="B106" t="s">
        <v>78</v>
      </c>
      <c r="C106" t="s">
        <v>666</v>
      </c>
      <c r="D106" t="s">
        <v>274</v>
      </c>
      <c r="E106" t="s">
        <v>80</v>
      </c>
      <c r="F106" t="s">
        <v>63</v>
      </c>
      <c r="G106" t="s">
        <v>3164</v>
      </c>
      <c r="H106" t="s">
        <v>3165</v>
      </c>
      <c r="I106" t="s">
        <v>3166</v>
      </c>
      <c r="J106" t="s">
        <v>89</v>
      </c>
      <c r="K106" t="s">
        <v>89</v>
      </c>
      <c r="L106" t="s">
        <v>2472</v>
      </c>
      <c r="M106" t="s">
        <v>2498</v>
      </c>
      <c r="N106" t="s">
        <v>2607</v>
      </c>
      <c r="O106" t="s">
        <v>89</v>
      </c>
      <c r="P106" t="s">
        <v>3167</v>
      </c>
      <c r="Q106" t="s">
        <v>3168</v>
      </c>
      <c r="R106" t="s">
        <v>2448</v>
      </c>
      <c r="S106" t="s">
        <v>93</v>
      </c>
      <c r="T106" t="s">
        <v>2173</v>
      </c>
      <c r="U106" t="s">
        <v>3133</v>
      </c>
      <c r="V106" t="s">
        <v>3155</v>
      </c>
      <c r="W106" t="s">
        <v>3135</v>
      </c>
      <c r="X106" t="s">
        <v>160</v>
      </c>
      <c r="Y106" t="s">
        <v>3169</v>
      </c>
      <c r="Z106" t="s">
        <v>2511</v>
      </c>
      <c r="AA106" t="s">
        <v>93</v>
      </c>
      <c r="AB106" t="s">
        <v>2081</v>
      </c>
      <c r="AC106" t="s">
        <v>3170</v>
      </c>
      <c r="AF106">
        <f>1*Tabela2[[#This Row],[kan_params]]</f>
        <v>7821</v>
      </c>
      <c r="AG106">
        <f>1*Tabela2[[#This Row],[kan_test_acc]]</f>
        <v>0.93333333730697599</v>
      </c>
      <c r="AH106">
        <f>1*Tabela2[[#This Row],[mlp_test_acc]]</f>
        <v>0.97777777777777697</v>
      </c>
      <c r="AI106">
        <f>1*Tabela2[[#This Row],[mlp2_test_acc]]</f>
        <v>0.28888888888888797</v>
      </c>
    </row>
    <row r="107" spans="1:35" x14ac:dyDescent="0.25">
      <c r="A107" t="s">
        <v>57</v>
      </c>
      <c r="B107" t="s">
        <v>78</v>
      </c>
      <c r="C107" t="s">
        <v>666</v>
      </c>
      <c r="D107" t="s">
        <v>274</v>
      </c>
      <c r="E107" t="s">
        <v>80</v>
      </c>
      <c r="F107" t="s">
        <v>66</v>
      </c>
      <c r="G107" t="s">
        <v>3183</v>
      </c>
      <c r="H107" t="s">
        <v>3184</v>
      </c>
      <c r="I107" t="s">
        <v>1191</v>
      </c>
      <c r="J107" t="s">
        <v>3185</v>
      </c>
      <c r="K107" t="s">
        <v>89</v>
      </c>
      <c r="L107" t="s">
        <v>2472</v>
      </c>
      <c r="M107" t="s">
        <v>3006</v>
      </c>
      <c r="N107" t="s">
        <v>89</v>
      </c>
      <c r="O107" t="s">
        <v>3186</v>
      </c>
      <c r="P107" t="s">
        <v>3187</v>
      </c>
      <c r="Q107" t="s">
        <v>3188</v>
      </c>
      <c r="R107" t="s">
        <v>2456</v>
      </c>
      <c r="S107" t="s">
        <v>93</v>
      </c>
      <c r="T107" t="s">
        <v>2257</v>
      </c>
      <c r="U107" t="s">
        <v>3179</v>
      </c>
      <c r="V107" t="s">
        <v>89</v>
      </c>
      <c r="W107" t="s">
        <v>3186</v>
      </c>
      <c r="X107" t="s">
        <v>3189</v>
      </c>
      <c r="Y107" t="s">
        <v>3190</v>
      </c>
      <c r="Z107" t="s">
        <v>2459</v>
      </c>
      <c r="AA107" t="s">
        <v>93</v>
      </c>
      <c r="AB107" t="s">
        <v>2460</v>
      </c>
      <c r="AC107" t="s">
        <v>3191</v>
      </c>
      <c r="AF107">
        <f>1*Tabela2[[#This Row],[kan_params]]</f>
        <v>8753</v>
      </c>
      <c r="AG107">
        <f>1*Tabela2[[#This Row],[kan_test_acc]]</f>
        <v>0.93333333730697599</v>
      </c>
      <c r="AH107">
        <f>1*Tabela2[[#This Row],[mlp_test_acc]]</f>
        <v>0.88888888888888795</v>
      </c>
      <c r="AI107">
        <f>1*Tabela2[[#This Row],[mlp2_test_acc]]</f>
        <v>0.91111111111111098</v>
      </c>
    </row>
    <row r="108" spans="1:35" x14ac:dyDescent="0.25">
      <c r="A108" t="s">
        <v>57</v>
      </c>
      <c r="B108" t="s">
        <v>78</v>
      </c>
      <c r="C108" t="s">
        <v>666</v>
      </c>
      <c r="D108" t="s">
        <v>274</v>
      </c>
      <c r="E108" t="s">
        <v>80</v>
      </c>
      <c r="F108" t="s">
        <v>68</v>
      </c>
      <c r="G108" t="s">
        <v>3198</v>
      </c>
      <c r="H108" t="s">
        <v>3199</v>
      </c>
      <c r="I108" t="s">
        <v>278</v>
      </c>
      <c r="J108" t="s">
        <v>89</v>
      </c>
      <c r="K108" t="s">
        <v>89</v>
      </c>
      <c r="L108" t="s">
        <v>2472</v>
      </c>
      <c r="M108" t="s">
        <v>3179</v>
      </c>
      <c r="N108" t="s">
        <v>89</v>
      </c>
      <c r="O108" t="s">
        <v>3186</v>
      </c>
      <c r="P108" t="s">
        <v>3200</v>
      </c>
      <c r="Q108" t="s">
        <v>3201</v>
      </c>
      <c r="R108" t="s">
        <v>2511</v>
      </c>
      <c r="S108" t="s">
        <v>93</v>
      </c>
      <c r="T108" t="s">
        <v>2081</v>
      </c>
      <c r="U108" t="s">
        <v>3006</v>
      </c>
      <c r="V108" t="s">
        <v>89</v>
      </c>
      <c r="W108" t="s">
        <v>3186</v>
      </c>
      <c r="X108" t="s">
        <v>3202</v>
      </c>
      <c r="Y108" t="s">
        <v>3203</v>
      </c>
      <c r="Z108" t="s">
        <v>2486</v>
      </c>
      <c r="AA108" t="s">
        <v>93</v>
      </c>
      <c r="AB108" t="s">
        <v>281</v>
      </c>
      <c r="AC108" t="s">
        <v>3204</v>
      </c>
      <c r="AF108">
        <f>1*Tabela2[[#This Row],[kan_params]]</f>
        <v>8030</v>
      </c>
      <c r="AG108">
        <f>1*Tabela2[[#This Row],[kan_test_acc]]</f>
        <v>0.93333333730697599</v>
      </c>
      <c r="AH108">
        <f>1*Tabela2[[#This Row],[mlp_test_acc]]</f>
        <v>0.91111111111111098</v>
      </c>
      <c r="AI108">
        <f>1*Tabela2[[#This Row],[mlp2_test_acc]]</f>
        <v>0.88888888888888795</v>
      </c>
    </row>
    <row r="109" spans="1:35" x14ac:dyDescent="0.25">
      <c r="A109" t="s">
        <v>57</v>
      </c>
      <c r="B109" t="s">
        <v>78</v>
      </c>
      <c r="C109" t="s">
        <v>666</v>
      </c>
      <c r="D109" t="s">
        <v>274</v>
      </c>
      <c r="E109" t="s">
        <v>80</v>
      </c>
      <c r="F109" t="s">
        <v>69</v>
      </c>
      <c r="G109" t="s">
        <v>3205</v>
      </c>
      <c r="H109" t="s">
        <v>3206</v>
      </c>
      <c r="I109" t="s">
        <v>1113</v>
      </c>
      <c r="J109" t="s">
        <v>89</v>
      </c>
      <c r="K109" t="s">
        <v>89</v>
      </c>
      <c r="L109" t="s">
        <v>2472</v>
      </c>
      <c r="M109" t="s">
        <v>3006</v>
      </c>
      <c r="N109" t="s">
        <v>89</v>
      </c>
      <c r="O109" t="s">
        <v>89</v>
      </c>
      <c r="P109" t="s">
        <v>3207</v>
      </c>
      <c r="Q109" t="s">
        <v>3208</v>
      </c>
      <c r="R109" t="s">
        <v>2522</v>
      </c>
      <c r="S109" t="s">
        <v>93</v>
      </c>
      <c r="T109" t="s">
        <v>2523</v>
      </c>
      <c r="U109" t="s">
        <v>3006</v>
      </c>
      <c r="V109" t="s">
        <v>89</v>
      </c>
      <c r="W109" t="s">
        <v>3186</v>
      </c>
      <c r="X109" t="s">
        <v>3209</v>
      </c>
      <c r="Y109" t="s">
        <v>3210</v>
      </c>
      <c r="Z109" t="s">
        <v>2496</v>
      </c>
      <c r="AA109" t="s">
        <v>93</v>
      </c>
      <c r="AB109" t="s">
        <v>2497</v>
      </c>
      <c r="AC109" t="s">
        <v>3211</v>
      </c>
      <c r="AF109">
        <f>1*Tabela2[[#This Row],[kan_params]]</f>
        <v>9685</v>
      </c>
      <c r="AG109">
        <f>1*Tabela2[[#This Row],[kan_test_acc]]</f>
        <v>0.93333333730697599</v>
      </c>
      <c r="AH109">
        <f>1*Tabela2[[#This Row],[mlp_test_acc]]</f>
        <v>0.88888888888888795</v>
      </c>
      <c r="AI109">
        <f>1*Tabela2[[#This Row],[mlp2_test_acc]]</f>
        <v>0.88888888888888795</v>
      </c>
    </row>
    <row r="110" spans="1:35" x14ac:dyDescent="0.25">
      <c r="A110" t="s">
        <v>57</v>
      </c>
      <c r="B110" t="s">
        <v>814</v>
      </c>
      <c r="C110" t="s">
        <v>666</v>
      </c>
      <c r="D110" t="s">
        <v>79</v>
      </c>
      <c r="E110" t="s">
        <v>80</v>
      </c>
      <c r="F110" t="s">
        <v>66</v>
      </c>
      <c r="G110" t="s">
        <v>3305</v>
      </c>
      <c r="H110" t="s">
        <v>3306</v>
      </c>
      <c r="I110" t="s">
        <v>639</v>
      </c>
      <c r="J110" t="s">
        <v>2580</v>
      </c>
      <c r="K110" t="s">
        <v>89</v>
      </c>
      <c r="L110" t="s">
        <v>2472</v>
      </c>
      <c r="M110" t="s">
        <v>2433</v>
      </c>
      <c r="N110" t="s">
        <v>2443</v>
      </c>
      <c r="O110" t="s">
        <v>89</v>
      </c>
      <c r="P110" t="s">
        <v>3307</v>
      </c>
      <c r="Q110" t="s">
        <v>3308</v>
      </c>
      <c r="R110" t="s">
        <v>2548</v>
      </c>
      <c r="S110" t="s">
        <v>93</v>
      </c>
      <c r="T110" t="s">
        <v>101</v>
      </c>
      <c r="U110" t="s">
        <v>3133</v>
      </c>
      <c r="V110" t="s">
        <v>3241</v>
      </c>
      <c r="W110" t="s">
        <v>3229</v>
      </c>
      <c r="X110" t="s">
        <v>160</v>
      </c>
      <c r="Y110" t="s">
        <v>3309</v>
      </c>
      <c r="Z110" t="s">
        <v>2551</v>
      </c>
      <c r="AA110" t="s">
        <v>93</v>
      </c>
      <c r="AB110" t="s">
        <v>1860</v>
      </c>
      <c r="AC110" t="s">
        <v>3310</v>
      </c>
      <c r="AF110">
        <f>1*Tabela2[[#This Row],[kan_params]]</f>
        <v>10496</v>
      </c>
      <c r="AG110">
        <f>1*Tabela2[[#This Row],[kan_test_acc]]</f>
        <v>0.93333333730697599</v>
      </c>
      <c r="AH110">
        <f>1*Tabela2[[#This Row],[mlp_test_acc]]</f>
        <v>0.95555555555555505</v>
      </c>
      <c r="AI110">
        <f>1*Tabela2[[#This Row],[mlp2_test_acc]]</f>
        <v>0.28888888888888797</v>
      </c>
    </row>
    <row r="111" spans="1:35" x14ac:dyDescent="0.25">
      <c r="A111" t="s">
        <v>57</v>
      </c>
      <c r="B111" t="s">
        <v>814</v>
      </c>
      <c r="C111" t="s">
        <v>666</v>
      </c>
      <c r="D111" t="s">
        <v>79</v>
      </c>
      <c r="E111" t="s">
        <v>80</v>
      </c>
      <c r="F111" t="s">
        <v>67</v>
      </c>
      <c r="G111" t="s">
        <v>3311</v>
      </c>
      <c r="H111" t="s">
        <v>3312</v>
      </c>
      <c r="I111" t="s">
        <v>1113</v>
      </c>
      <c r="J111" t="s">
        <v>89</v>
      </c>
      <c r="K111" t="s">
        <v>89</v>
      </c>
      <c r="L111" t="s">
        <v>2472</v>
      </c>
      <c r="M111" t="s">
        <v>2498</v>
      </c>
      <c r="N111" t="s">
        <v>2443</v>
      </c>
      <c r="O111" t="s">
        <v>89</v>
      </c>
      <c r="P111" t="s">
        <v>3313</v>
      </c>
      <c r="Q111" t="s">
        <v>3314</v>
      </c>
      <c r="R111" t="s">
        <v>2557</v>
      </c>
      <c r="S111" t="s">
        <v>93</v>
      </c>
      <c r="T111" t="s">
        <v>374</v>
      </c>
      <c r="U111" t="s">
        <v>3133</v>
      </c>
      <c r="V111" t="s">
        <v>3254</v>
      </c>
      <c r="W111" t="s">
        <v>3315</v>
      </c>
      <c r="X111" t="s">
        <v>160</v>
      </c>
      <c r="Y111" t="s">
        <v>3316</v>
      </c>
      <c r="Z111" t="s">
        <v>2559</v>
      </c>
      <c r="AA111" t="s">
        <v>93</v>
      </c>
      <c r="AB111" t="s">
        <v>109</v>
      </c>
      <c r="AC111" t="s">
        <v>3317</v>
      </c>
      <c r="AF111">
        <f>1*Tabela2[[#This Row],[kan_params]]</f>
        <v>12301</v>
      </c>
      <c r="AG111">
        <f>1*Tabela2[[#This Row],[kan_test_acc]]</f>
        <v>0.93333333730697599</v>
      </c>
      <c r="AH111">
        <f>1*Tabela2[[#This Row],[mlp_test_acc]]</f>
        <v>0.97777777777777697</v>
      </c>
      <c r="AI111">
        <f>1*Tabela2[[#This Row],[mlp2_test_acc]]</f>
        <v>0.28888888888888797</v>
      </c>
    </row>
    <row r="112" spans="1:35" x14ac:dyDescent="0.25">
      <c r="A112" t="s">
        <v>57</v>
      </c>
      <c r="B112" t="s">
        <v>814</v>
      </c>
      <c r="C112" t="s">
        <v>666</v>
      </c>
      <c r="D112" t="s">
        <v>79</v>
      </c>
      <c r="E112" t="s">
        <v>80</v>
      </c>
      <c r="F112" t="s">
        <v>70</v>
      </c>
      <c r="G112" t="s">
        <v>3328</v>
      </c>
      <c r="H112" t="s">
        <v>3329</v>
      </c>
      <c r="I112" t="s">
        <v>544</v>
      </c>
      <c r="J112" t="s">
        <v>89</v>
      </c>
      <c r="K112" t="s">
        <v>89</v>
      </c>
      <c r="L112" t="s">
        <v>2472</v>
      </c>
      <c r="M112" t="s">
        <v>2433</v>
      </c>
      <c r="N112" t="s">
        <v>2443</v>
      </c>
      <c r="O112" t="s">
        <v>89</v>
      </c>
      <c r="P112" t="s">
        <v>3148</v>
      </c>
      <c r="Q112" t="s">
        <v>3330</v>
      </c>
      <c r="R112" t="s">
        <v>2596</v>
      </c>
      <c r="S112" t="s">
        <v>93</v>
      </c>
      <c r="T112" t="s">
        <v>2597</v>
      </c>
      <c r="U112" t="s">
        <v>3133</v>
      </c>
      <c r="V112" t="s">
        <v>3331</v>
      </c>
      <c r="W112" t="s">
        <v>3229</v>
      </c>
      <c r="X112" t="s">
        <v>160</v>
      </c>
      <c r="Y112" t="s">
        <v>3332</v>
      </c>
      <c r="Z112" t="s">
        <v>2778</v>
      </c>
      <c r="AA112" t="s">
        <v>93</v>
      </c>
      <c r="AB112" t="s">
        <v>2779</v>
      </c>
      <c r="AC112" t="s">
        <v>3333</v>
      </c>
      <c r="AF112">
        <f>1*Tabela2[[#This Row],[kan_params]]</f>
        <v>13599</v>
      </c>
      <c r="AG112">
        <f>1*Tabela2[[#This Row],[kan_test_acc]]</f>
        <v>0.93333333730697599</v>
      </c>
      <c r="AH112">
        <f>1*Tabela2[[#This Row],[mlp_test_acc]]</f>
        <v>0.95555555555555505</v>
      </c>
      <c r="AI112">
        <f>1*Tabela2[[#This Row],[mlp2_test_acc]]</f>
        <v>0.28888888888888797</v>
      </c>
    </row>
    <row r="113" spans="1:35" x14ac:dyDescent="0.25">
      <c r="A113" t="s">
        <v>57</v>
      </c>
      <c r="B113" t="s">
        <v>897</v>
      </c>
      <c r="C113" t="s">
        <v>666</v>
      </c>
      <c r="D113" t="s">
        <v>898</v>
      </c>
      <c r="E113" t="s">
        <v>80</v>
      </c>
      <c r="F113" t="s">
        <v>71</v>
      </c>
      <c r="G113" t="s">
        <v>3470</v>
      </c>
      <c r="H113" t="s">
        <v>3471</v>
      </c>
      <c r="I113" t="s">
        <v>3472</v>
      </c>
      <c r="J113" t="s">
        <v>89</v>
      </c>
      <c r="K113" t="s">
        <v>89</v>
      </c>
      <c r="L113" t="s">
        <v>2472</v>
      </c>
      <c r="M113" t="s">
        <v>2433</v>
      </c>
      <c r="N113" t="s">
        <v>2443</v>
      </c>
      <c r="O113" t="s">
        <v>89</v>
      </c>
      <c r="P113" t="s">
        <v>3260</v>
      </c>
      <c r="Q113" t="s">
        <v>3473</v>
      </c>
      <c r="R113" t="s">
        <v>3043</v>
      </c>
      <c r="S113" t="s">
        <v>93</v>
      </c>
      <c r="T113" t="s">
        <v>2140</v>
      </c>
      <c r="U113" t="s">
        <v>3133</v>
      </c>
      <c r="V113" t="s">
        <v>3290</v>
      </c>
      <c r="W113" t="s">
        <v>3229</v>
      </c>
      <c r="X113" t="s">
        <v>160</v>
      </c>
      <c r="Y113" t="s">
        <v>3474</v>
      </c>
      <c r="Z113" t="s">
        <v>2936</v>
      </c>
      <c r="AA113" t="s">
        <v>93</v>
      </c>
      <c r="AB113" t="s">
        <v>2937</v>
      </c>
      <c r="AC113" t="s">
        <v>3475</v>
      </c>
      <c r="AF113">
        <f>1*Tabela2[[#This Row],[kan_params]]</f>
        <v>6406</v>
      </c>
      <c r="AG113">
        <f>1*Tabela2[[#This Row],[kan_test_acc]]</f>
        <v>0.93333333730697599</v>
      </c>
      <c r="AH113">
        <f>1*Tabela2[[#This Row],[mlp_test_acc]]</f>
        <v>0.95555555555555505</v>
      </c>
      <c r="AI113">
        <f>1*Tabela2[[#This Row],[mlp2_test_acc]]</f>
        <v>0.28888888888888797</v>
      </c>
    </row>
    <row r="114" spans="1:35" x14ac:dyDescent="0.25">
      <c r="A114" t="s">
        <v>57</v>
      </c>
      <c r="B114" t="s">
        <v>897</v>
      </c>
      <c r="C114" t="s">
        <v>1026</v>
      </c>
      <c r="D114" t="s">
        <v>274</v>
      </c>
      <c r="E114" t="s">
        <v>80</v>
      </c>
      <c r="F114" t="s">
        <v>60</v>
      </c>
      <c r="G114" t="s">
        <v>2636</v>
      </c>
      <c r="H114" t="s">
        <v>3661</v>
      </c>
      <c r="I114" t="s">
        <v>2098</v>
      </c>
      <c r="J114" t="s">
        <v>89</v>
      </c>
      <c r="K114" t="s">
        <v>2431</v>
      </c>
      <c r="L114" t="s">
        <v>2472</v>
      </c>
      <c r="M114" t="s">
        <v>3006</v>
      </c>
      <c r="N114" t="s">
        <v>2607</v>
      </c>
      <c r="O114" t="s">
        <v>89</v>
      </c>
      <c r="P114" t="s">
        <v>3618</v>
      </c>
      <c r="Q114" t="s">
        <v>3662</v>
      </c>
      <c r="R114" t="s">
        <v>2501</v>
      </c>
      <c r="S114" t="s">
        <v>93</v>
      </c>
      <c r="T114" t="s">
        <v>94</v>
      </c>
      <c r="U114" t="s">
        <v>3440</v>
      </c>
      <c r="V114" t="s">
        <v>2607</v>
      </c>
      <c r="W114" t="s">
        <v>3395</v>
      </c>
      <c r="X114" t="s">
        <v>160</v>
      </c>
      <c r="Y114" t="s">
        <v>3663</v>
      </c>
      <c r="Z114" t="s">
        <v>2548</v>
      </c>
      <c r="AA114" t="s">
        <v>93</v>
      </c>
      <c r="AB114" t="s">
        <v>101</v>
      </c>
      <c r="AC114" t="s">
        <v>3664</v>
      </c>
      <c r="AF114">
        <f>1*Tabela2[[#This Row],[kan_params]]</f>
        <v>10242</v>
      </c>
      <c r="AG114">
        <f>1*Tabela2[[#This Row],[kan_test_acc]]</f>
        <v>0.93333333730697599</v>
      </c>
      <c r="AH114">
        <f>1*Tabela2[[#This Row],[mlp_test_acc]]</f>
        <v>0.88888888888888795</v>
      </c>
      <c r="AI114">
        <f>1*Tabela2[[#This Row],[mlp2_test_acc]]</f>
        <v>0.86666666666666603</v>
      </c>
    </row>
    <row r="115" spans="1:35" x14ac:dyDescent="0.25">
      <c r="A115" t="s">
        <v>57</v>
      </c>
      <c r="B115" t="s">
        <v>897</v>
      </c>
      <c r="C115" t="s">
        <v>1026</v>
      </c>
      <c r="D115" t="s">
        <v>274</v>
      </c>
      <c r="E115" t="s">
        <v>80</v>
      </c>
      <c r="F115" t="s">
        <v>61</v>
      </c>
      <c r="G115" t="s">
        <v>2647</v>
      </c>
      <c r="H115" t="s">
        <v>3665</v>
      </c>
      <c r="I115" t="s">
        <v>1705</v>
      </c>
      <c r="J115" t="s">
        <v>89</v>
      </c>
      <c r="K115" t="s">
        <v>2431</v>
      </c>
      <c r="L115" t="s">
        <v>2472</v>
      </c>
      <c r="M115" t="s">
        <v>3006</v>
      </c>
      <c r="N115" t="s">
        <v>2607</v>
      </c>
      <c r="O115" t="s">
        <v>89</v>
      </c>
      <c r="P115" t="s">
        <v>3666</v>
      </c>
      <c r="Q115" t="s">
        <v>3667</v>
      </c>
      <c r="R115" t="s">
        <v>2652</v>
      </c>
      <c r="S115" t="s">
        <v>93</v>
      </c>
      <c r="T115" t="s">
        <v>2021</v>
      </c>
      <c r="U115" t="s">
        <v>3668</v>
      </c>
      <c r="V115" t="s">
        <v>3134</v>
      </c>
      <c r="W115" t="s">
        <v>3669</v>
      </c>
      <c r="X115" t="s">
        <v>160</v>
      </c>
      <c r="Y115" t="s">
        <v>3670</v>
      </c>
      <c r="Z115" t="s">
        <v>2655</v>
      </c>
      <c r="AA115" t="s">
        <v>93</v>
      </c>
      <c r="AB115" t="s">
        <v>1702</v>
      </c>
      <c r="AC115" t="s">
        <v>3671</v>
      </c>
      <c r="AF115">
        <f>1*Tabela2[[#This Row],[kan_params]]</f>
        <v>4273</v>
      </c>
      <c r="AG115">
        <f>1*Tabela2[[#This Row],[kan_test_acc]]</f>
        <v>0.93333333730697599</v>
      </c>
      <c r="AH115">
        <f>1*Tabela2[[#This Row],[mlp_test_acc]]</f>
        <v>0.88888888888888795</v>
      </c>
      <c r="AI115">
        <f>1*Tabela2[[#This Row],[mlp2_test_acc]]</f>
        <v>0.62222222222222201</v>
      </c>
    </row>
    <row r="116" spans="1:35" x14ac:dyDescent="0.25">
      <c r="A116" t="s">
        <v>57</v>
      </c>
      <c r="B116" t="s">
        <v>959</v>
      </c>
      <c r="C116" t="s">
        <v>1026</v>
      </c>
      <c r="D116" t="s">
        <v>79</v>
      </c>
      <c r="E116" t="s">
        <v>80</v>
      </c>
      <c r="F116" t="s">
        <v>61</v>
      </c>
      <c r="G116" t="s">
        <v>2836</v>
      </c>
      <c r="H116" t="s">
        <v>3752</v>
      </c>
      <c r="I116" t="s">
        <v>2523</v>
      </c>
      <c r="J116" t="s">
        <v>89</v>
      </c>
      <c r="K116" t="s">
        <v>89</v>
      </c>
      <c r="L116" t="s">
        <v>2472</v>
      </c>
      <c r="M116" t="s">
        <v>3006</v>
      </c>
      <c r="N116" t="s">
        <v>2607</v>
      </c>
      <c r="O116" t="s">
        <v>89</v>
      </c>
      <c r="P116" t="s">
        <v>2211</v>
      </c>
      <c r="Q116" t="s">
        <v>3753</v>
      </c>
      <c r="R116" t="s">
        <v>2567</v>
      </c>
      <c r="S116" t="s">
        <v>93</v>
      </c>
      <c r="T116" t="s">
        <v>2108</v>
      </c>
      <c r="U116" t="s">
        <v>2885</v>
      </c>
      <c r="V116" t="s">
        <v>3754</v>
      </c>
      <c r="W116" t="s">
        <v>3755</v>
      </c>
      <c r="X116" t="s">
        <v>160</v>
      </c>
      <c r="Y116" t="s">
        <v>3756</v>
      </c>
      <c r="Z116" t="s">
        <v>2844</v>
      </c>
      <c r="AA116" t="s">
        <v>93</v>
      </c>
      <c r="AB116" t="s">
        <v>2299</v>
      </c>
      <c r="AC116" t="s">
        <v>3757</v>
      </c>
      <c r="AF116">
        <f>1*Tabela2[[#This Row],[kan_params]]</f>
        <v>4945</v>
      </c>
      <c r="AG116">
        <f>1*Tabela2[[#This Row],[kan_test_acc]]</f>
        <v>0.93333333730697599</v>
      </c>
      <c r="AH116">
        <f>1*Tabela2[[#This Row],[mlp_test_acc]]</f>
        <v>0.88888888888888795</v>
      </c>
      <c r="AI116">
        <f>1*Tabela2[[#This Row],[mlp2_test_acc]]</f>
        <v>0.71111111111111103</v>
      </c>
    </row>
    <row r="117" spans="1:35" x14ac:dyDescent="0.25">
      <c r="A117" t="s">
        <v>57</v>
      </c>
      <c r="B117" t="s">
        <v>959</v>
      </c>
      <c r="C117" t="s">
        <v>1026</v>
      </c>
      <c r="D117" t="s">
        <v>79</v>
      </c>
      <c r="E117" t="s">
        <v>80</v>
      </c>
      <c r="F117" t="s">
        <v>64</v>
      </c>
      <c r="G117" t="s">
        <v>2863</v>
      </c>
      <c r="H117" t="s">
        <v>3767</v>
      </c>
      <c r="I117" t="s">
        <v>554</v>
      </c>
      <c r="J117" t="s">
        <v>89</v>
      </c>
      <c r="K117" t="s">
        <v>2431</v>
      </c>
      <c r="L117" t="s">
        <v>2472</v>
      </c>
      <c r="M117" t="s">
        <v>3006</v>
      </c>
      <c r="N117" t="s">
        <v>2607</v>
      </c>
      <c r="O117" t="s">
        <v>89</v>
      </c>
      <c r="P117" t="s">
        <v>3618</v>
      </c>
      <c r="Q117" t="s">
        <v>3768</v>
      </c>
      <c r="R117" t="s">
        <v>2596</v>
      </c>
      <c r="S117" t="s">
        <v>93</v>
      </c>
      <c r="T117" t="s">
        <v>2597</v>
      </c>
      <c r="U117" t="s">
        <v>3440</v>
      </c>
      <c r="V117" t="s">
        <v>3006</v>
      </c>
      <c r="W117" t="s">
        <v>3395</v>
      </c>
      <c r="X117" t="s">
        <v>160</v>
      </c>
      <c r="Y117" t="s">
        <v>3769</v>
      </c>
      <c r="Z117" t="s">
        <v>2778</v>
      </c>
      <c r="AA117" t="s">
        <v>93</v>
      </c>
      <c r="AB117" t="s">
        <v>2779</v>
      </c>
      <c r="AC117" t="s">
        <v>3770</v>
      </c>
      <c r="AF117">
        <f>1*Tabela2[[#This Row],[kan_params]]</f>
        <v>13439</v>
      </c>
      <c r="AG117">
        <f>1*Tabela2[[#This Row],[kan_test_acc]]</f>
        <v>0.93333333730697599</v>
      </c>
      <c r="AH117">
        <f>1*Tabela2[[#This Row],[mlp_test_acc]]</f>
        <v>0.88888888888888795</v>
      </c>
      <c r="AI117">
        <f>1*Tabela2[[#This Row],[mlp2_test_acc]]</f>
        <v>0.86666666666666603</v>
      </c>
    </row>
    <row r="118" spans="1:35" x14ac:dyDescent="0.25">
      <c r="A118" t="s">
        <v>57</v>
      </c>
      <c r="B118" t="s">
        <v>1297</v>
      </c>
      <c r="C118" t="s">
        <v>1026</v>
      </c>
      <c r="D118" t="s">
        <v>898</v>
      </c>
      <c r="E118" t="s">
        <v>80</v>
      </c>
      <c r="F118" t="s">
        <v>61</v>
      </c>
      <c r="G118" t="s">
        <v>3838</v>
      </c>
      <c r="H118" t="s">
        <v>3839</v>
      </c>
      <c r="I118" t="s">
        <v>3840</v>
      </c>
      <c r="J118" t="s">
        <v>89</v>
      </c>
      <c r="K118" t="s">
        <v>89</v>
      </c>
      <c r="L118" t="s">
        <v>2472</v>
      </c>
      <c r="M118" t="s">
        <v>3006</v>
      </c>
      <c r="N118" t="s">
        <v>2607</v>
      </c>
      <c r="O118" t="s">
        <v>89</v>
      </c>
      <c r="P118" t="s">
        <v>2211</v>
      </c>
      <c r="Q118" t="s">
        <v>3841</v>
      </c>
      <c r="R118" t="s">
        <v>3017</v>
      </c>
      <c r="S118" t="s">
        <v>93</v>
      </c>
      <c r="T118" t="s">
        <v>2376</v>
      </c>
      <c r="U118" t="s">
        <v>3410</v>
      </c>
      <c r="V118" t="s">
        <v>2897</v>
      </c>
      <c r="W118" t="s">
        <v>3411</v>
      </c>
      <c r="X118" t="s">
        <v>160</v>
      </c>
      <c r="Y118" t="s">
        <v>3842</v>
      </c>
      <c r="Z118" t="s">
        <v>2714</v>
      </c>
      <c r="AA118" t="s">
        <v>93</v>
      </c>
      <c r="AB118" t="s">
        <v>2379</v>
      </c>
      <c r="AC118" t="s">
        <v>3843</v>
      </c>
      <c r="AF118">
        <f>1*Tabela2[[#This Row],[kan_params]]</f>
        <v>5617</v>
      </c>
      <c r="AG118">
        <f>1*Tabela2[[#This Row],[kan_test_acc]]</f>
        <v>0.93333333730697599</v>
      </c>
      <c r="AH118">
        <f>1*Tabela2[[#This Row],[mlp_test_acc]]</f>
        <v>0.88888888888888795</v>
      </c>
      <c r="AI118">
        <f>1*Tabela2[[#This Row],[mlp2_test_acc]]</f>
        <v>0.844444444444444</v>
      </c>
    </row>
    <row r="119" spans="1:35" x14ac:dyDescent="0.25">
      <c r="A119" t="s">
        <v>57</v>
      </c>
      <c r="B119" t="s">
        <v>897</v>
      </c>
      <c r="C119" t="s">
        <v>79</v>
      </c>
      <c r="D119" t="s">
        <v>666</v>
      </c>
      <c r="E119" t="s">
        <v>80</v>
      </c>
      <c r="F119" t="s">
        <v>75</v>
      </c>
      <c r="G119" t="s">
        <v>2963</v>
      </c>
      <c r="H119" t="s">
        <v>2964</v>
      </c>
      <c r="I119" t="s">
        <v>2965</v>
      </c>
      <c r="J119" t="s">
        <v>2893</v>
      </c>
      <c r="K119" t="s">
        <v>2705</v>
      </c>
      <c r="L119" t="s">
        <v>2966</v>
      </c>
      <c r="M119" t="s">
        <v>2433</v>
      </c>
      <c r="N119" t="s">
        <v>89</v>
      </c>
      <c r="O119" t="s">
        <v>89</v>
      </c>
      <c r="P119" t="s">
        <v>2967</v>
      </c>
      <c r="Q119" t="s">
        <v>2968</v>
      </c>
      <c r="R119" t="s">
        <v>2489</v>
      </c>
      <c r="S119" t="s">
        <v>93</v>
      </c>
      <c r="T119" t="s">
        <v>285</v>
      </c>
      <c r="U119" t="s">
        <v>2433</v>
      </c>
      <c r="V119" t="s">
        <v>89</v>
      </c>
      <c r="W119" t="s">
        <v>89</v>
      </c>
      <c r="X119" t="s">
        <v>2969</v>
      </c>
      <c r="Y119" t="s">
        <v>2970</v>
      </c>
      <c r="Z119" t="s">
        <v>2456</v>
      </c>
      <c r="AA119" t="s">
        <v>93</v>
      </c>
      <c r="AB119" t="s">
        <v>2257</v>
      </c>
      <c r="AC119" t="s">
        <v>2971</v>
      </c>
      <c r="AF119">
        <f>1*Tabela2[[#This Row],[kan_params]]</f>
        <v>8475</v>
      </c>
      <c r="AG119">
        <f>1*Tabela2[[#This Row],[kan_test_acc]]</f>
        <v>0.91111111640930098</v>
      </c>
      <c r="AH119">
        <f>1*Tabela2[[#This Row],[mlp_test_acc]]</f>
        <v>0.95555555555555505</v>
      </c>
      <c r="AI119">
        <f>1*Tabela2[[#This Row],[mlp2_test_acc]]</f>
        <v>0.95555555555555505</v>
      </c>
    </row>
    <row r="120" spans="1:35" x14ac:dyDescent="0.25">
      <c r="A120" t="s">
        <v>57</v>
      </c>
      <c r="B120" t="s">
        <v>78</v>
      </c>
      <c r="C120" t="s">
        <v>666</v>
      </c>
      <c r="D120" t="s">
        <v>274</v>
      </c>
      <c r="E120" t="s">
        <v>80</v>
      </c>
      <c r="F120" t="s">
        <v>58</v>
      </c>
      <c r="G120" t="s">
        <v>3128</v>
      </c>
      <c r="H120" t="s">
        <v>3129</v>
      </c>
      <c r="I120" t="s">
        <v>3130</v>
      </c>
      <c r="J120" t="s">
        <v>89</v>
      </c>
      <c r="K120" t="s">
        <v>89</v>
      </c>
      <c r="L120" t="s">
        <v>2966</v>
      </c>
      <c r="M120" t="s">
        <v>2498</v>
      </c>
      <c r="N120" t="s">
        <v>2443</v>
      </c>
      <c r="O120" t="s">
        <v>89</v>
      </c>
      <c r="P120" t="s">
        <v>3131</v>
      </c>
      <c r="Q120" t="s">
        <v>3132</v>
      </c>
      <c r="R120" t="s">
        <v>3017</v>
      </c>
      <c r="S120" t="s">
        <v>93</v>
      </c>
      <c r="T120" t="s">
        <v>2376</v>
      </c>
      <c r="U120" t="s">
        <v>3133</v>
      </c>
      <c r="V120" t="s">
        <v>3134</v>
      </c>
      <c r="W120" t="s">
        <v>3135</v>
      </c>
      <c r="X120" t="s">
        <v>160</v>
      </c>
      <c r="Y120" t="s">
        <v>3136</v>
      </c>
      <c r="Z120" t="s">
        <v>2714</v>
      </c>
      <c r="AA120" t="s">
        <v>93</v>
      </c>
      <c r="AB120" t="s">
        <v>2379</v>
      </c>
      <c r="AC120" t="s">
        <v>3137</v>
      </c>
      <c r="AF120">
        <f>1*Tabela2[[#This Row],[kan_params]]</f>
        <v>5684</v>
      </c>
      <c r="AG120">
        <f>1*Tabela2[[#This Row],[kan_test_acc]]</f>
        <v>0.91111111640930098</v>
      </c>
      <c r="AH120">
        <f>1*Tabela2[[#This Row],[mlp_test_acc]]</f>
        <v>0.97777777777777697</v>
      </c>
      <c r="AI120">
        <f>1*Tabela2[[#This Row],[mlp2_test_acc]]</f>
        <v>0.28888888888888797</v>
      </c>
    </row>
    <row r="121" spans="1:35" x14ac:dyDescent="0.25">
      <c r="A121" t="s">
        <v>57</v>
      </c>
      <c r="B121" t="s">
        <v>78</v>
      </c>
      <c r="C121" t="s">
        <v>666</v>
      </c>
      <c r="D121" t="s">
        <v>274</v>
      </c>
      <c r="E121" t="s">
        <v>80</v>
      </c>
      <c r="F121" t="s">
        <v>62</v>
      </c>
      <c r="G121" t="s">
        <v>1929</v>
      </c>
      <c r="H121" t="s">
        <v>3158</v>
      </c>
      <c r="I121" t="s">
        <v>3159</v>
      </c>
      <c r="J121" t="s">
        <v>89</v>
      </c>
      <c r="K121" t="s">
        <v>89</v>
      </c>
      <c r="L121" t="s">
        <v>2966</v>
      </c>
      <c r="M121" t="s">
        <v>2498</v>
      </c>
      <c r="N121" t="s">
        <v>2443</v>
      </c>
      <c r="O121" t="s">
        <v>89</v>
      </c>
      <c r="P121" t="s">
        <v>3160</v>
      </c>
      <c r="Q121" t="s">
        <v>3161</v>
      </c>
      <c r="R121" t="s">
        <v>3043</v>
      </c>
      <c r="S121" t="s">
        <v>93</v>
      </c>
      <c r="T121" t="s">
        <v>2140</v>
      </c>
      <c r="U121" t="s">
        <v>3133</v>
      </c>
      <c r="V121" t="s">
        <v>3143</v>
      </c>
      <c r="W121" t="s">
        <v>3135</v>
      </c>
      <c r="X121" t="s">
        <v>160</v>
      </c>
      <c r="Y121" t="s">
        <v>3162</v>
      </c>
      <c r="Z121" t="s">
        <v>2936</v>
      </c>
      <c r="AA121" t="s">
        <v>93</v>
      </c>
      <c r="AB121" t="s">
        <v>2937</v>
      </c>
      <c r="AC121" t="s">
        <v>3163</v>
      </c>
      <c r="AF121">
        <f>1*Tabela2[[#This Row],[kan_params]]</f>
        <v>6466</v>
      </c>
      <c r="AG121">
        <f>1*Tabela2[[#This Row],[kan_test_acc]]</f>
        <v>0.91111111640930098</v>
      </c>
      <c r="AH121">
        <f>1*Tabela2[[#This Row],[mlp_test_acc]]</f>
        <v>0.97777777777777697</v>
      </c>
      <c r="AI121">
        <f>1*Tabela2[[#This Row],[mlp2_test_acc]]</f>
        <v>0.28888888888888797</v>
      </c>
    </row>
    <row r="122" spans="1:35" x14ac:dyDescent="0.25">
      <c r="A122" t="s">
        <v>57</v>
      </c>
      <c r="B122" t="s">
        <v>78</v>
      </c>
      <c r="C122" t="s">
        <v>666</v>
      </c>
      <c r="D122" t="s">
        <v>274</v>
      </c>
      <c r="E122" t="s">
        <v>80</v>
      </c>
      <c r="F122" t="s">
        <v>65</v>
      </c>
      <c r="G122" t="s">
        <v>3176</v>
      </c>
      <c r="H122" t="s">
        <v>3177</v>
      </c>
      <c r="I122" t="s">
        <v>278</v>
      </c>
      <c r="J122" t="s">
        <v>89</v>
      </c>
      <c r="K122" t="s">
        <v>89</v>
      </c>
      <c r="L122" t="s">
        <v>2966</v>
      </c>
      <c r="M122" t="s">
        <v>3006</v>
      </c>
      <c r="N122" t="s">
        <v>89</v>
      </c>
      <c r="O122" t="s">
        <v>89</v>
      </c>
      <c r="P122" t="s">
        <v>1018</v>
      </c>
      <c r="Q122" t="s">
        <v>3178</v>
      </c>
      <c r="R122" t="s">
        <v>2479</v>
      </c>
      <c r="S122" t="s">
        <v>93</v>
      </c>
      <c r="T122" t="s">
        <v>2198</v>
      </c>
      <c r="U122" t="s">
        <v>3179</v>
      </c>
      <c r="V122" t="s">
        <v>89</v>
      </c>
      <c r="W122" t="s">
        <v>89</v>
      </c>
      <c r="X122" t="s">
        <v>3180</v>
      </c>
      <c r="Y122" t="s">
        <v>3181</v>
      </c>
      <c r="Z122" t="s">
        <v>2445</v>
      </c>
      <c r="AA122" t="s">
        <v>93</v>
      </c>
      <c r="AB122" t="s">
        <v>2446</v>
      </c>
      <c r="AC122" t="s">
        <v>3182</v>
      </c>
      <c r="AF122">
        <f>1*Tabela2[[#This Row],[kan_params]]</f>
        <v>7248</v>
      </c>
      <c r="AG122">
        <f>1*Tabela2[[#This Row],[kan_test_acc]]</f>
        <v>0.91111111640930098</v>
      </c>
      <c r="AH122">
        <f>1*Tabela2[[#This Row],[mlp_test_acc]]</f>
        <v>0.88888888888888795</v>
      </c>
      <c r="AI122">
        <f>1*Tabela2[[#This Row],[mlp2_test_acc]]</f>
        <v>0.91111111111111098</v>
      </c>
    </row>
    <row r="123" spans="1:35" x14ac:dyDescent="0.25">
      <c r="A123" t="s">
        <v>57</v>
      </c>
      <c r="B123" t="s">
        <v>78</v>
      </c>
      <c r="C123" t="s">
        <v>666</v>
      </c>
      <c r="D123" t="s">
        <v>274</v>
      </c>
      <c r="E123" t="s">
        <v>80</v>
      </c>
      <c r="F123" t="s">
        <v>71</v>
      </c>
      <c r="G123" t="s">
        <v>3219</v>
      </c>
      <c r="H123" t="s">
        <v>3220</v>
      </c>
      <c r="I123" t="s">
        <v>278</v>
      </c>
      <c r="J123" t="s">
        <v>89</v>
      </c>
      <c r="K123" t="s">
        <v>89</v>
      </c>
      <c r="L123" t="s">
        <v>2966</v>
      </c>
      <c r="M123" t="s">
        <v>2498</v>
      </c>
      <c r="N123" t="s">
        <v>2443</v>
      </c>
      <c r="O123" t="s">
        <v>89</v>
      </c>
      <c r="P123" t="s">
        <v>3221</v>
      </c>
      <c r="Q123" t="s">
        <v>3222</v>
      </c>
      <c r="R123" t="s">
        <v>3223</v>
      </c>
      <c r="S123" t="s">
        <v>93</v>
      </c>
      <c r="T123" t="s">
        <v>1705</v>
      </c>
      <c r="U123" t="s">
        <v>3133</v>
      </c>
      <c r="V123" t="s">
        <v>3143</v>
      </c>
      <c r="W123" t="s">
        <v>3135</v>
      </c>
      <c r="X123" t="s">
        <v>160</v>
      </c>
      <c r="Y123" t="s">
        <v>3224</v>
      </c>
      <c r="Z123" t="s">
        <v>2565</v>
      </c>
      <c r="AA123" t="s">
        <v>93</v>
      </c>
      <c r="AB123" t="s">
        <v>2089</v>
      </c>
      <c r="AC123" t="s">
        <v>3225</v>
      </c>
      <c r="AF123">
        <f>1*Tabela2[[#This Row],[kan_params]]</f>
        <v>4582</v>
      </c>
      <c r="AG123">
        <f>1*Tabela2[[#This Row],[kan_test_acc]]</f>
        <v>0.91111111640930098</v>
      </c>
      <c r="AH123">
        <f>1*Tabela2[[#This Row],[mlp_test_acc]]</f>
        <v>0.97777777777777697</v>
      </c>
      <c r="AI123">
        <f>1*Tabela2[[#This Row],[mlp2_test_acc]]</f>
        <v>0.28888888888888797</v>
      </c>
    </row>
    <row r="124" spans="1:35" x14ac:dyDescent="0.25">
      <c r="A124" t="s">
        <v>57</v>
      </c>
      <c r="B124" t="s">
        <v>78</v>
      </c>
      <c r="C124" t="s">
        <v>666</v>
      </c>
      <c r="D124" t="s">
        <v>274</v>
      </c>
      <c r="E124" t="s">
        <v>80</v>
      </c>
      <c r="F124" t="s">
        <v>75</v>
      </c>
      <c r="G124" t="s">
        <v>3244</v>
      </c>
      <c r="H124" t="s">
        <v>3245</v>
      </c>
      <c r="I124" t="s">
        <v>127</v>
      </c>
      <c r="J124" t="s">
        <v>89</v>
      </c>
      <c r="K124" t="s">
        <v>89</v>
      </c>
      <c r="L124" t="s">
        <v>2966</v>
      </c>
      <c r="M124" t="s">
        <v>2498</v>
      </c>
      <c r="N124" t="s">
        <v>2607</v>
      </c>
      <c r="O124" t="s">
        <v>89</v>
      </c>
      <c r="P124" t="s">
        <v>3246</v>
      </c>
      <c r="Q124" t="s">
        <v>3247</v>
      </c>
      <c r="R124" t="s">
        <v>2714</v>
      </c>
      <c r="S124" t="s">
        <v>93</v>
      </c>
      <c r="T124" t="s">
        <v>2379</v>
      </c>
      <c r="U124" t="s">
        <v>3133</v>
      </c>
      <c r="V124" t="s">
        <v>3155</v>
      </c>
      <c r="W124" t="s">
        <v>3135</v>
      </c>
      <c r="X124" t="s">
        <v>160</v>
      </c>
      <c r="Y124" t="s">
        <v>3248</v>
      </c>
      <c r="Z124" t="s">
        <v>2435</v>
      </c>
      <c r="AA124" t="s">
        <v>93</v>
      </c>
      <c r="AB124" t="s">
        <v>1950</v>
      </c>
      <c r="AC124" t="s">
        <v>3249</v>
      </c>
      <c r="AF124">
        <f>1*Tabela2[[#This Row],[kan_params]]</f>
        <v>5787</v>
      </c>
      <c r="AG124">
        <f>1*Tabela2[[#This Row],[kan_test_acc]]</f>
        <v>0.91111111640930098</v>
      </c>
      <c r="AH124">
        <f>1*Tabela2[[#This Row],[mlp_test_acc]]</f>
        <v>0.97777777777777697</v>
      </c>
      <c r="AI124">
        <f>1*Tabela2[[#This Row],[mlp2_test_acc]]</f>
        <v>0.28888888888888797</v>
      </c>
    </row>
    <row r="125" spans="1:35" x14ac:dyDescent="0.25">
      <c r="A125" t="s">
        <v>57</v>
      </c>
      <c r="B125" t="s">
        <v>897</v>
      </c>
      <c r="C125" t="s">
        <v>666</v>
      </c>
      <c r="D125" t="s">
        <v>898</v>
      </c>
      <c r="E125" t="s">
        <v>80</v>
      </c>
      <c r="F125" t="s">
        <v>76</v>
      </c>
      <c r="G125" t="s">
        <v>3506</v>
      </c>
      <c r="H125" t="s">
        <v>3507</v>
      </c>
      <c r="I125" t="s">
        <v>3508</v>
      </c>
      <c r="J125" t="s">
        <v>2797</v>
      </c>
      <c r="K125" t="s">
        <v>89</v>
      </c>
      <c r="L125" t="s">
        <v>2966</v>
      </c>
      <c r="M125" t="s">
        <v>89</v>
      </c>
      <c r="N125" t="s">
        <v>2443</v>
      </c>
      <c r="O125" t="s">
        <v>89</v>
      </c>
      <c r="P125" t="s">
        <v>3371</v>
      </c>
      <c r="Q125" t="s">
        <v>3509</v>
      </c>
      <c r="R125" t="s">
        <v>3011</v>
      </c>
      <c r="S125" t="s">
        <v>93</v>
      </c>
      <c r="T125" t="s">
        <v>1320</v>
      </c>
      <c r="U125" t="s">
        <v>3133</v>
      </c>
      <c r="V125" t="s">
        <v>3254</v>
      </c>
      <c r="W125" t="s">
        <v>3229</v>
      </c>
      <c r="X125" t="s">
        <v>160</v>
      </c>
      <c r="Y125" t="s">
        <v>3510</v>
      </c>
      <c r="Z125" t="s">
        <v>1996</v>
      </c>
      <c r="AA125" t="s">
        <v>93</v>
      </c>
      <c r="AB125" t="s">
        <v>1473</v>
      </c>
      <c r="AC125" t="s">
        <v>3511</v>
      </c>
      <c r="AF125">
        <f>1*Tabela2[[#This Row],[kan_params]]</f>
        <v>3036</v>
      </c>
      <c r="AG125">
        <f>1*Tabela2[[#This Row],[kan_test_acc]]</f>
        <v>0.91111111640930098</v>
      </c>
      <c r="AH125">
        <f>1*Tabela2[[#This Row],[mlp_test_acc]]</f>
        <v>1</v>
      </c>
      <c r="AI125">
        <f>1*Tabela2[[#This Row],[mlp2_test_acc]]</f>
        <v>0.28888888888888797</v>
      </c>
    </row>
    <row r="126" spans="1:35" x14ac:dyDescent="0.25">
      <c r="A126" t="s">
        <v>57</v>
      </c>
      <c r="B126" t="s">
        <v>897</v>
      </c>
      <c r="C126" t="s">
        <v>1026</v>
      </c>
      <c r="D126" t="s">
        <v>274</v>
      </c>
      <c r="E126" t="s">
        <v>80</v>
      </c>
      <c r="F126" t="s">
        <v>66</v>
      </c>
      <c r="G126" t="s">
        <v>2701</v>
      </c>
      <c r="H126" t="s">
        <v>3691</v>
      </c>
      <c r="I126" t="s">
        <v>1118</v>
      </c>
      <c r="J126" t="s">
        <v>89</v>
      </c>
      <c r="K126" t="s">
        <v>89</v>
      </c>
      <c r="L126" t="s">
        <v>2966</v>
      </c>
      <c r="M126" t="s">
        <v>3006</v>
      </c>
      <c r="N126" t="s">
        <v>2607</v>
      </c>
      <c r="O126" t="s">
        <v>89</v>
      </c>
      <c r="P126" t="s">
        <v>3618</v>
      </c>
      <c r="Q126" t="s">
        <v>3692</v>
      </c>
      <c r="R126" t="s">
        <v>2531</v>
      </c>
      <c r="S126" t="s">
        <v>93</v>
      </c>
      <c r="T126" t="s">
        <v>2098</v>
      </c>
      <c r="U126" t="s">
        <v>3006</v>
      </c>
      <c r="V126" t="s">
        <v>2607</v>
      </c>
      <c r="W126" t="s">
        <v>3448</v>
      </c>
      <c r="X126" t="s">
        <v>160</v>
      </c>
      <c r="Y126" t="s">
        <v>3693</v>
      </c>
      <c r="Z126" t="s">
        <v>2533</v>
      </c>
      <c r="AA126" t="s">
        <v>93</v>
      </c>
      <c r="AB126" t="s">
        <v>2534</v>
      </c>
      <c r="AC126" t="s">
        <v>3694</v>
      </c>
      <c r="AF126">
        <f>1*Tabela2[[#This Row],[kan_params]]</f>
        <v>11077</v>
      </c>
      <c r="AG126">
        <f>1*Tabela2[[#This Row],[kan_test_acc]]</f>
        <v>0.91111111640930098</v>
      </c>
      <c r="AH126">
        <f>1*Tabela2[[#This Row],[mlp_test_acc]]</f>
        <v>0.88888888888888795</v>
      </c>
      <c r="AI126">
        <f>1*Tabela2[[#This Row],[mlp2_test_acc]]</f>
        <v>0.88888888888888795</v>
      </c>
    </row>
    <row r="127" spans="1:35" x14ac:dyDescent="0.25">
      <c r="A127" t="s">
        <v>57</v>
      </c>
      <c r="B127" t="s">
        <v>78</v>
      </c>
      <c r="C127" t="s">
        <v>666</v>
      </c>
      <c r="D127" t="s">
        <v>274</v>
      </c>
      <c r="E127" t="s">
        <v>80</v>
      </c>
      <c r="F127" t="s">
        <v>61</v>
      </c>
      <c r="G127" t="s">
        <v>3152</v>
      </c>
      <c r="H127" t="s">
        <v>3153</v>
      </c>
      <c r="I127" t="s">
        <v>1702</v>
      </c>
      <c r="J127" t="s">
        <v>2516</v>
      </c>
      <c r="K127" t="s">
        <v>89</v>
      </c>
      <c r="L127" t="s">
        <v>2640</v>
      </c>
      <c r="M127" t="s">
        <v>2433</v>
      </c>
      <c r="N127" t="s">
        <v>2443</v>
      </c>
      <c r="O127" t="s">
        <v>89</v>
      </c>
      <c r="P127" t="s">
        <v>3141</v>
      </c>
      <c r="Q127" t="s">
        <v>3154</v>
      </c>
      <c r="R127" t="s">
        <v>2981</v>
      </c>
      <c r="S127" t="s">
        <v>93</v>
      </c>
      <c r="T127" t="s">
        <v>1309</v>
      </c>
      <c r="U127" t="s">
        <v>3133</v>
      </c>
      <c r="V127" t="s">
        <v>3155</v>
      </c>
      <c r="W127" t="s">
        <v>3135</v>
      </c>
      <c r="X127" t="s">
        <v>160</v>
      </c>
      <c r="Y127" t="s">
        <v>3156</v>
      </c>
      <c r="Z127" t="s">
        <v>2465</v>
      </c>
      <c r="AA127" t="s">
        <v>93</v>
      </c>
      <c r="AB127" t="s">
        <v>1568</v>
      </c>
      <c r="AC127" t="s">
        <v>3157</v>
      </c>
      <c r="AF127">
        <f>1*Tabela2[[#This Row],[kan_params]]</f>
        <v>3377</v>
      </c>
      <c r="AG127">
        <f>1*Tabela2[[#This Row],[kan_test_acc]]</f>
        <v>0.88888889551162698</v>
      </c>
      <c r="AH127">
        <f>1*Tabela2[[#This Row],[mlp_test_acc]]</f>
        <v>0.95555555555555505</v>
      </c>
      <c r="AI127">
        <f>1*Tabela2[[#This Row],[mlp2_test_acc]]</f>
        <v>0.28888888888888797</v>
      </c>
    </row>
    <row r="128" spans="1:35" x14ac:dyDescent="0.25">
      <c r="A128" t="s">
        <v>57</v>
      </c>
      <c r="B128" t="s">
        <v>897</v>
      </c>
      <c r="C128" t="s">
        <v>666</v>
      </c>
      <c r="D128" t="s">
        <v>898</v>
      </c>
      <c r="E128" t="s">
        <v>80</v>
      </c>
      <c r="F128" t="s">
        <v>75</v>
      </c>
      <c r="G128" t="s">
        <v>237</v>
      </c>
      <c r="H128" t="s">
        <v>3501</v>
      </c>
      <c r="I128" t="s">
        <v>3502</v>
      </c>
      <c r="J128" t="s">
        <v>3259</v>
      </c>
      <c r="K128" t="s">
        <v>89</v>
      </c>
      <c r="L128" t="s">
        <v>2640</v>
      </c>
      <c r="M128" t="s">
        <v>2433</v>
      </c>
      <c r="N128" t="s">
        <v>2443</v>
      </c>
      <c r="O128" t="s">
        <v>89</v>
      </c>
      <c r="P128" t="s">
        <v>3167</v>
      </c>
      <c r="Q128" t="s">
        <v>3503</v>
      </c>
      <c r="R128" t="s">
        <v>2486</v>
      </c>
      <c r="S128" t="s">
        <v>93</v>
      </c>
      <c r="T128" t="s">
        <v>281</v>
      </c>
      <c r="U128" t="s">
        <v>3133</v>
      </c>
      <c r="V128" t="s">
        <v>3155</v>
      </c>
      <c r="W128" t="s">
        <v>3229</v>
      </c>
      <c r="X128" t="s">
        <v>160</v>
      </c>
      <c r="Y128" t="s">
        <v>3504</v>
      </c>
      <c r="Z128" t="s">
        <v>2489</v>
      </c>
      <c r="AA128" t="s">
        <v>93</v>
      </c>
      <c r="AB128" t="s">
        <v>285</v>
      </c>
      <c r="AC128" t="s">
        <v>3505</v>
      </c>
      <c r="AF128">
        <f>1*Tabela2[[#This Row],[kan_params]]</f>
        <v>8091</v>
      </c>
      <c r="AG128">
        <f>1*Tabela2[[#This Row],[kan_test_acc]]</f>
        <v>0.88888889551162698</v>
      </c>
      <c r="AH128">
        <f>1*Tabela2[[#This Row],[mlp_test_acc]]</f>
        <v>0.95555555555555505</v>
      </c>
      <c r="AI128">
        <f>1*Tabela2[[#This Row],[mlp2_test_acc]]</f>
        <v>0.28888888888888797</v>
      </c>
    </row>
    <row r="129" spans="1:35" x14ac:dyDescent="0.25">
      <c r="A129" t="s">
        <v>57</v>
      </c>
      <c r="B129" t="s">
        <v>959</v>
      </c>
      <c r="C129" t="s">
        <v>666</v>
      </c>
      <c r="D129" t="s">
        <v>666</v>
      </c>
      <c r="E129" t="s">
        <v>80</v>
      </c>
      <c r="F129" t="s">
        <v>76</v>
      </c>
      <c r="G129" t="s">
        <v>3645</v>
      </c>
      <c r="H129" t="s">
        <v>3646</v>
      </c>
      <c r="I129" t="s">
        <v>3647</v>
      </c>
      <c r="J129" t="s">
        <v>3648</v>
      </c>
      <c r="K129" t="s">
        <v>89</v>
      </c>
      <c r="L129" t="s">
        <v>2640</v>
      </c>
      <c r="M129" t="s">
        <v>89</v>
      </c>
      <c r="N129" t="s">
        <v>2443</v>
      </c>
      <c r="O129" t="s">
        <v>89</v>
      </c>
      <c r="P129" t="s">
        <v>3589</v>
      </c>
      <c r="Q129" t="s">
        <v>3649</v>
      </c>
      <c r="R129" t="s">
        <v>2465</v>
      </c>
      <c r="S129" t="s">
        <v>93</v>
      </c>
      <c r="T129" t="s">
        <v>1568</v>
      </c>
      <c r="U129" t="s">
        <v>2916</v>
      </c>
      <c r="V129" t="s">
        <v>3542</v>
      </c>
      <c r="W129" t="s">
        <v>3650</v>
      </c>
      <c r="X129" t="s">
        <v>160</v>
      </c>
      <c r="Y129" t="s">
        <v>3651</v>
      </c>
      <c r="Z129" t="s">
        <v>2467</v>
      </c>
      <c r="AA129" t="s">
        <v>93</v>
      </c>
      <c r="AB129" t="s">
        <v>1945</v>
      </c>
      <c r="AC129" t="s">
        <v>3652</v>
      </c>
      <c r="AF129">
        <f>1*Tabela2[[#This Row],[kan_params]]</f>
        <v>3468</v>
      </c>
      <c r="AG129">
        <f>1*Tabela2[[#This Row],[kan_test_acc]]</f>
        <v>0.88888889551162698</v>
      </c>
      <c r="AH129">
        <f>1*Tabela2[[#This Row],[mlp_test_acc]]</f>
        <v>1</v>
      </c>
      <c r="AI129">
        <f>1*Tabela2[[#This Row],[mlp2_test_acc]]</f>
        <v>0.688888888888888</v>
      </c>
    </row>
    <row r="130" spans="1:35" x14ac:dyDescent="0.25">
      <c r="A130" t="s">
        <v>57</v>
      </c>
      <c r="B130" t="s">
        <v>897</v>
      </c>
      <c r="C130" t="s">
        <v>79</v>
      </c>
      <c r="D130" t="s">
        <v>666</v>
      </c>
      <c r="E130" t="s">
        <v>80</v>
      </c>
      <c r="F130" t="s">
        <v>76</v>
      </c>
      <c r="G130" t="s">
        <v>2972</v>
      </c>
      <c r="H130" t="s">
        <v>2973</v>
      </c>
      <c r="I130" t="s">
        <v>2974</v>
      </c>
      <c r="J130" t="s">
        <v>2975</v>
      </c>
      <c r="K130" t="s">
        <v>89</v>
      </c>
      <c r="L130" t="s">
        <v>2976</v>
      </c>
      <c r="M130" t="s">
        <v>2433</v>
      </c>
      <c r="N130" t="s">
        <v>89</v>
      </c>
      <c r="O130" t="s">
        <v>89</v>
      </c>
      <c r="P130" t="s">
        <v>2977</v>
      </c>
      <c r="Q130" t="s">
        <v>2978</v>
      </c>
      <c r="R130" t="s">
        <v>1996</v>
      </c>
      <c r="S130" t="s">
        <v>93</v>
      </c>
      <c r="T130" t="s">
        <v>1473</v>
      </c>
      <c r="U130" t="s">
        <v>2433</v>
      </c>
      <c r="V130" t="s">
        <v>89</v>
      </c>
      <c r="W130" t="s">
        <v>89</v>
      </c>
      <c r="X130" t="s">
        <v>2979</v>
      </c>
      <c r="Y130" t="s">
        <v>2980</v>
      </c>
      <c r="Z130" t="s">
        <v>2981</v>
      </c>
      <c r="AA130" t="s">
        <v>93</v>
      </c>
      <c r="AB130" t="s">
        <v>1309</v>
      </c>
      <c r="AC130" t="s">
        <v>2982</v>
      </c>
      <c r="AF130">
        <f>1*Tabela2[[#This Row],[kan_params]]</f>
        <v>3180</v>
      </c>
      <c r="AG130">
        <f>1*Tabela2[[#This Row],[kan_test_acc]]</f>
        <v>0.84444445371627797</v>
      </c>
      <c r="AH130">
        <f>1*Tabela2[[#This Row],[mlp_test_acc]]</f>
        <v>0.95555555555555505</v>
      </c>
      <c r="AI130">
        <f>1*Tabela2[[#This Row],[mlp2_test_acc]]</f>
        <v>0.95555555555555505</v>
      </c>
    </row>
    <row r="131" spans="1:35" x14ac:dyDescent="0.25">
      <c r="A131" t="s">
        <v>57</v>
      </c>
      <c r="B131" t="s">
        <v>959</v>
      </c>
      <c r="C131" t="s">
        <v>666</v>
      </c>
      <c r="D131" t="s">
        <v>666</v>
      </c>
      <c r="E131" t="s">
        <v>80</v>
      </c>
      <c r="F131" t="s">
        <v>71</v>
      </c>
      <c r="G131" t="s">
        <v>3608</v>
      </c>
      <c r="H131" t="s">
        <v>3609</v>
      </c>
      <c r="I131" t="s">
        <v>3610</v>
      </c>
      <c r="J131" t="s">
        <v>3611</v>
      </c>
      <c r="K131" t="s">
        <v>2431</v>
      </c>
      <c r="L131" t="s">
        <v>3612</v>
      </c>
      <c r="M131" t="s">
        <v>89</v>
      </c>
      <c r="N131" t="s">
        <v>2443</v>
      </c>
      <c r="O131" t="s">
        <v>89</v>
      </c>
      <c r="P131" t="s">
        <v>3131</v>
      </c>
      <c r="Q131" t="s">
        <v>3613</v>
      </c>
      <c r="R131" t="s">
        <v>2479</v>
      </c>
      <c r="S131" t="s">
        <v>93</v>
      </c>
      <c r="T131" t="s">
        <v>2198</v>
      </c>
      <c r="U131" t="s">
        <v>3488</v>
      </c>
      <c r="V131" t="s">
        <v>2607</v>
      </c>
      <c r="W131" t="s">
        <v>3395</v>
      </c>
      <c r="X131" t="s">
        <v>160</v>
      </c>
      <c r="Y131" t="s">
        <v>3614</v>
      </c>
      <c r="Z131" t="s">
        <v>2445</v>
      </c>
      <c r="AA131" t="s">
        <v>93</v>
      </c>
      <c r="AB131" t="s">
        <v>2446</v>
      </c>
      <c r="AC131" t="s">
        <v>3615</v>
      </c>
      <c r="AF131">
        <f>1*Tabela2[[#This Row],[kan_params]]</f>
        <v>7318</v>
      </c>
      <c r="AG131">
        <f>1*Tabela2[[#This Row],[kan_test_acc]]</f>
        <v>0.82222223281860296</v>
      </c>
      <c r="AH131">
        <f>1*Tabela2[[#This Row],[mlp_test_acc]]</f>
        <v>1</v>
      </c>
      <c r="AI131">
        <f>1*Tabela2[[#This Row],[mlp2_test_acc]]</f>
        <v>0.82222222222222197</v>
      </c>
    </row>
    <row r="132" spans="1:35" x14ac:dyDescent="0.25">
      <c r="A132" t="s">
        <v>57</v>
      </c>
      <c r="B132" t="s">
        <v>959</v>
      </c>
      <c r="C132" t="s">
        <v>666</v>
      </c>
      <c r="D132" t="s">
        <v>666</v>
      </c>
      <c r="E132" t="s">
        <v>80</v>
      </c>
      <c r="F132" t="s">
        <v>75</v>
      </c>
      <c r="G132" t="s">
        <v>3637</v>
      </c>
      <c r="H132" t="s">
        <v>3638</v>
      </c>
      <c r="I132" t="s">
        <v>3639</v>
      </c>
      <c r="J132" t="s">
        <v>3640</v>
      </c>
      <c r="K132" t="s">
        <v>89</v>
      </c>
      <c r="L132" t="s">
        <v>3612</v>
      </c>
      <c r="M132" t="s">
        <v>89</v>
      </c>
      <c r="N132" t="s">
        <v>2443</v>
      </c>
      <c r="O132" t="s">
        <v>89</v>
      </c>
      <c r="P132" t="s">
        <v>3167</v>
      </c>
      <c r="Q132" t="s">
        <v>3641</v>
      </c>
      <c r="R132" t="s">
        <v>2519</v>
      </c>
      <c r="S132" t="s">
        <v>93</v>
      </c>
      <c r="T132" t="s">
        <v>2187</v>
      </c>
      <c r="U132" t="s">
        <v>3525</v>
      </c>
      <c r="V132" t="s">
        <v>2897</v>
      </c>
      <c r="W132" t="s">
        <v>3642</v>
      </c>
      <c r="X132" t="s">
        <v>160</v>
      </c>
      <c r="Y132" t="s">
        <v>3643</v>
      </c>
      <c r="Z132" t="s">
        <v>2522</v>
      </c>
      <c r="AA132" t="s">
        <v>93</v>
      </c>
      <c r="AB132" t="s">
        <v>2523</v>
      </c>
      <c r="AC132" t="s">
        <v>3644</v>
      </c>
      <c r="AF132">
        <f>1*Tabela2[[#This Row],[kan_params]]</f>
        <v>9243</v>
      </c>
      <c r="AG132">
        <f>1*Tabela2[[#This Row],[kan_test_acc]]</f>
        <v>0.82222223281860296</v>
      </c>
      <c r="AH132">
        <f>1*Tabela2[[#This Row],[mlp_test_acc]]</f>
        <v>1</v>
      </c>
      <c r="AI132">
        <f>1*Tabela2[[#This Row],[mlp2_test_acc]]</f>
        <v>0.77777777777777701</v>
      </c>
    </row>
    <row r="133" spans="1:35" x14ac:dyDescent="0.25">
      <c r="A133" t="s">
        <v>57</v>
      </c>
      <c r="B133" t="s">
        <v>814</v>
      </c>
      <c r="C133" t="s">
        <v>79</v>
      </c>
      <c r="D133" t="s">
        <v>898</v>
      </c>
      <c r="E133" t="s">
        <v>80</v>
      </c>
      <c r="F133" t="s">
        <v>72</v>
      </c>
      <c r="G133" t="s">
        <v>2761</v>
      </c>
      <c r="H133" t="s">
        <v>2762</v>
      </c>
      <c r="I133" t="s">
        <v>2763</v>
      </c>
      <c r="J133" t="s">
        <v>2764</v>
      </c>
      <c r="K133" t="s">
        <v>2682</v>
      </c>
      <c r="L133" t="s">
        <v>2765</v>
      </c>
      <c r="M133" t="s">
        <v>2433</v>
      </c>
      <c r="N133" t="s">
        <v>2443</v>
      </c>
      <c r="O133" t="s">
        <v>89</v>
      </c>
      <c r="P133" t="s">
        <v>2766</v>
      </c>
      <c r="Q133" t="s">
        <v>2767</v>
      </c>
      <c r="R133" t="s">
        <v>2533</v>
      </c>
      <c r="S133" t="s">
        <v>93</v>
      </c>
      <c r="T133" t="s">
        <v>2534</v>
      </c>
      <c r="U133" t="s">
        <v>2436</v>
      </c>
      <c r="V133" t="s">
        <v>2443</v>
      </c>
      <c r="W133" t="s">
        <v>89</v>
      </c>
      <c r="X133" t="s">
        <v>2768</v>
      </c>
      <c r="Y133" t="s">
        <v>2769</v>
      </c>
      <c r="Z133" t="s">
        <v>2585</v>
      </c>
      <c r="AA133" t="s">
        <v>93</v>
      </c>
      <c r="AB133" t="s">
        <v>820</v>
      </c>
      <c r="AC133" t="s">
        <v>2770</v>
      </c>
      <c r="AF133">
        <f>1*Tabela2[[#This Row],[kan_params]]</f>
        <v>11152</v>
      </c>
      <c r="AG133">
        <f>1*Tabela2[[#This Row],[kan_test_acc]]</f>
        <v>0.80000001192092896</v>
      </c>
      <c r="AH133">
        <f>1*Tabela2[[#This Row],[mlp_test_acc]]</f>
        <v>0.95555555555555505</v>
      </c>
      <c r="AI133">
        <f>1*Tabela2[[#This Row],[mlp2_test_acc]]</f>
        <v>0.93333333333333302</v>
      </c>
    </row>
    <row r="134" spans="1:35" x14ac:dyDescent="0.25">
      <c r="A134" t="s">
        <v>57</v>
      </c>
      <c r="B134" t="s">
        <v>897</v>
      </c>
      <c r="C134" t="s">
        <v>79</v>
      </c>
      <c r="D134" t="s">
        <v>666</v>
      </c>
      <c r="E134" t="s">
        <v>80</v>
      </c>
      <c r="F134" t="s">
        <v>67</v>
      </c>
      <c r="G134" t="s">
        <v>2890</v>
      </c>
      <c r="H134" t="s">
        <v>2891</v>
      </c>
      <c r="I134" t="s">
        <v>2892</v>
      </c>
      <c r="J134" t="s">
        <v>2893</v>
      </c>
      <c r="K134" t="s">
        <v>2431</v>
      </c>
      <c r="L134" t="s">
        <v>2694</v>
      </c>
      <c r="M134" t="s">
        <v>2433</v>
      </c>
      <c r="N134" t="s">
        <v>2607</v>
      </c>
      <c r="O134" t="s">
        <v>89</v>
      </c>
      <c r="P134" t="s">
        <v>2894</v>
      </c>
      <c r="Q134" t="s">
        <v>2895</v>
      </c>
      <c r="R134" t="s">
        <v>2896</v>
      </c>
      <c r="S134" t="s">
        <v>93</v>
      </c>
      <c r="T134" t="s">
        <v>123</v>
      </c>
      <c r="U134" t="s">
        <v>2885</v>
      </c>
      <c r="V134" t="s">
        <v>2897</v>
      </c>
      <c r="W134" t="s">
        <v>2887</v>
      </c>
      <c r="X134" t="s">
        <v>160</v>
      </c>
      <c r="Y134" t="s">
        <v>2898</v>
      </c>
      <c r="Z134" t="s">
        <v>2899</v>
      </c>
      <c r="AA134" t="s">
        <v>93</v>
      </c>
      <c r="AB134" t="s">
        <v>127</v>
      </c>
      <c r="AC134" t="s">
        <v>2900</v>
      </c>
      <c r="AF134">
        <f>1*Tabela2[[#This Row],[kan_params]]</f>
        <v>15025</v>
      </c>
      <c r="AG134">
        <f>1*Tabela2[[#This Row],[kan_test_acc]]</f>
        <v>0.77777779102325395</v>
      </c>
      <c r="AH134">
        <f>1*Tabela2[[#This Row],[mlp_test_acc]]</f>
        <v>0.95555555555555505</v>
      </c>
      <c r="AI134">
        <f>1*Tabela2[[#This Row],[mlp2_test_acc]]</f>
        <v>0.71111111111111103</v>
      </c>
    </row>
    <row r="135" spans="1:35" x14ac:dyDescent="0.25">
      <c r="A135" t="s">
        <v>57</v>
      </c>
      <c r="B135" t="s">
        <v>814</v>
      </c>
      <c r="C135" t="s">
        <v>79</v>
      </c>
      <c r="D135" t="s">
        <v>898</v>
      </c>
      <c r="E135" t="s">
        <v>80</v>
      </c>
      <c r="F135" t="s">
        <v>66</v>
      </c>
      <c r="G135" t="s">
        <v>2701</v>
      </c>
      <c r="H135" t="s">
        <v>2702</v>
      </c>
      <c r="I135" t="s">
        <v>2703</v>
      </c>
      <c r="J135" t="s">
        <v>2704</v>
      </c>
      <c r="K135" t="s">
        <v>2705</v>
      </c>
      <c r="L135" t="s">
        <v>2706</v>
      </c>
      <c r="M135" t="s">
        <v>2433</v>
      </c>
      <c r="N135" t="s">
        <v>2443</v>
      </c>
      <c r="O135" t="s">
        <v>89</v>
      </c>
      <c r="P135" t="s">
        <v>2707</v>
      </c>
      <c r="Q135" t="s">
        <v>2708</v>
      </c>
      <c r="R135" t="s">
        <v>2531</v>
      </c>
      <c r="S135" t="s">
        <v>93</v>
      </c>
      <c r="T135" t="s">
        <v>2098</v>
      </c>
      <c r="U135" t="s">
        <v>2433</v>
      </c>
      <c r="V135" t="s">
        <v>2443</v>
      </c>
      <c r="W135" t="s">
        <v>89</v>
      </c>
      <c r="X135" t="s">
        <v>2709</v>
      </c>
      <c r="Y135" t="s">
        <v>2710</v>
      </c>
      <c r="Z135" t="s">
        <v>2533</v>
      </c>
      <c r="AA135" t="s">
        <v>93</v>
      </c>
      <c r="AB135" t="s">
        <v>2534</v>
      </c>
      <c r="AC135" t="s">
        <v>2711</v>
      </c>
      <c r="AF135">
        <f>1*Tabela2[[#This Row],[kan_params]]</f>
        <v>11077</v>
      </c>
      <c r="AG135">
        <f>1*Tabela2[[#This Row],[kan_test_acc]]</f>
        <v>0.75555557012557895</v>
      </c>
      <c r="AH135">
        <f>1*Tabela2[[#This Row],[mlp_test_acc]]</f>
        <v>0.95555555555555505</v>
      </c>
      <c r="AI135">
        <f>1*Tabela2[[#This Row],[mlp2_test_acc]]</f>
        <v>0.95555555555555505</v>
      </c>
    </row>
    <row r="136" spans="1:35" x14ac:dyDescent="0.25">
      <c r="A136" t="s">
        <v>57</v>
      </c>
      <c r="B136" t="s">
        <v>2351</v>
      </c>
      <c r="C136" t="s">
        <v>1026</v>
      </c>
      <c r="D136" t="s">
        <v>666</v>
      </c>
      <c r="E136" t="s">
        <v>80</v>
      </c>
      <c r="F136" t="s">
        <v>61</v>
      </c>
      <c r="G136" t="s">
        <v>3970</v>
      </c>
      <c r="H136" t="s">
        <v>3971</v>
      </c>
      <c r="I136" t="s">
        <v>3972</v>
      </c>
      <c r="J136" t="s">
        <v>2893</v>
      </c>
      <c r="K136" t="s">
        <v>89</v>
      </c>
      <c r="L136" t="s">
        <v>2706</v>
      </c>
      <c r="M136" t="s">
        <v>3179</v>
      </c>
      <c r="N136" t="s">
        <v>2443</v>
      </c>
      <c r="O136" t="s">
        <v>89</v>
      </c>
      <c r="P136" t="s">
        <v>3973</v>
      </c>
      <c r="Q136" t="s">
        <v>3974</v>
      </c>
      <c r="R136" t="s">
        <v>2438</v>
      </c>
      <c r="S136" t="s">
        <v>93</v>
      </c>
      <c r="T136" t="s">
        <v>160</v>
      </c>
      <c r="U136" t="s">
        <v>3179</v>
      </c>
      <c r="V136" t="s">
        <v>2607</v>
      </c>
      <c r="W136" t="s">
        <v>89</v>
      </c>
      <c r="X136" t="s">
        <v>3975</v>
      </c>
      <c r="Y136" t="s">
        <v>3976</v>
      </c>
      <c r="Z136" t="s">
        <v>3043</v>
      </c>
      <c r="AA136" t="s">
        <v>93</v>
      </c>
      <c r="AB136" t="s">
        <v>2140</v>
      </c>
      <c r="AC136" t="s">
        <v>3977</v>
      </c>
      <c r="AF136">
        <f>1*Tabela2[[#This Row],[kan_params]]</f>
        <v>6289</v>
      </c>
      <c r="AG136">
        <f>1*Tabela2[[#This Row],[kan_test_acc]]</f>
        <v>0.75555557012557895</v>
      </c>
      <c r="AH136">
        <f>1*Tabela2[[#This Row],[mlp_test_acc]]</f>
        <v>0.91111111111111098</v>
      </c>
      <c r="AI136">
        <f>1*Tabela2[[#This Row],[mlp2_test_acc]]</f>
        <v>0.91111111111111098</v>
      </c>
    </row>
    <row r="137" spans="1:35" x14ac:dyDescent="0.25">
      <c r="A137" t="s">
        <v>57</v>
      </c>
      <c r="B137" t="s">
        <v>897</v>
      </c>
      <c r="C137" t="s">
        <v>79</v>
      </c>
      <c r="D137" t="s">
        <v>666</v>
      </c>
      <c r="E137" t="s">
        <v>80</v>
      </c>
      <c r="F137" t="s">
        <v>71</v>
      </c>
      <c r="G137" t="s">
        <v>2929</v>
      </c>
      <c r="H137" t="s">
        <v>2930</v>
      </c>
      <c r="I137" t="s">
        <v>2931</v>
      </c>
      <c r="J137" t="s">
        <v>2932</v>
      </c>
      <c r="K137" t="s">
        <v>2431</v>
      </c>
      <c r="L137" t="s">
        <v>2933</v>
      </c>
      <c r="M137" t="s">
        <v>2433</v>
      </c>
      <c r="N137" t="s">
        <v>89</v>
      </c>
      <c r="O137" t="s">
        <v>89</v>
      </c>
      <c r="P137" t="s">
        <v>2934</v>
      </c>
      <c r="Q137" t="s">
        <v>2935</v>
      </c>
      <c r="R137" t="s">
        <v>2936</v>
      </c>
      <c r="S137" t="s">
        <v>93</v>
      </c>
      <c r="T137" t="s">
        <v>2937</v>
      </c>
      <c r="U137" t="s">
        <v>2433</v>
      </c>
      <c r="V137" t="s">
        <v>89</v>
      </c>
      <c r="W137" t="s">
        <v>89</v>
      </c>
      <c r="X137" t="s">
        <v>2938</v>
      </c>
      <c r="Y137" t="s">
        <v>2939</v>
      </c>
      <c r="Z137" t="s">
        <v>2475</v>
      </c>
      <c r="AA137" t="s">
        <v>93</v>
      </c>
      <c r="AB137" t="s">
        <v>2476</v>
      </c>
      <c r="AC137" t="s">
        <v>2940</v>
      </c>
      <c r="AF137">
        <f>1*Tabela2[[#This Row],[kan_params]]</f>
        <v>6710</v>
      </c>
      <c r="AG137">
        <f>1*Tabela2[[#This Row],[kan_test_acc]]</f>
        <v>0.73333334922790505</v>
      </c>
      <c r="AH137">
        <f>1*Tabela2[[#This Row],[mlp_test_acc]]</f>
        <v>0.95555555555555505</v>
      </c>
      <c r="AI137">
        <f>1*Tabela2[[#This Row],[mlp2_test_acc]]</f>
        <v>0.95555555555555505</v>
      </c>
    </row>
    <row r="138" spans="1:35" x14ac:dyDescent="0.25">
      <c r="A138" t="s">
        <v>57</v>
      </c>
      <c r="B138" t="s">
        <v>959</v>
      </c>
      <c r="C138" t="s">
        <v>666</v>
      </c>
      <c r="D138" t="s">
        <v>666</v>
      </c>
      <c r="E138" t="s">
        <v>80</v>
      </c>
      <c r="F138" t="s">
        <v>61</v>
      </c>
      <c r="G138" t="s">
        <v>3537</v>
      </c>
      <c r="H138" t="s">
        <v>3538</v>
      </c>
      <c r="I138" t="s">
        <v>3539</v>
      </c>
      <c r="J138" t="s">
        <v>2839</v>
      </c>
      <c r="K138" t="s">
        <v>2431</v>
      </c>
      <c r="L138" t="s">
        <v>2933</v>
      </c>
      <c r="M138" t="s">
        <v>2498</v>
      </c>
      <c r="N138" t="s">
        <v>2443</v>
      </c>
      <c r="O138" t="s">
        <v>89</v>
      </c>
      <c r="P138" t="s">
        <v>3540</v>
      </c>
      <c r="Q138" t="s">
        <v>3541</v>
      </c>
      <c r="R138" t="s">
        <v>3338</v>
      </c>
      <c r="S138" t="s">
        <v>93</v>
      </c>
      <c r="T138" t="s">
        <v>3339</v>
      </c>
      <c r="U138" t="s">
        <v>3480</v>
      </c>
      <c r="V138" t="s">
        <v>3542</v>
      </c>
      <c r="W138" t="s">
        <v>3526</v>
      </c>
      <c r="X138" t="s">
        <v>160</v>
      </c>
      <c r="Y138" t="s">
        <v>3543</v>
      </c>
      <c r="Z138" t="s">
        <v>3017</v>
      </c>
      <c r="AA138" t="s">
        <v>93</v>
      </c>
      <c r="AB138" t="s">
        <v>2376</v>
      </c>
      <c r="AC138" t="s">
        <v>3544</v>
      </c>
      <c r="AF138">
        <f>1*Tabela2[[#This Row],[kan_params]]</f>
        <v>5393</v>
      </c>
      <c r="AG138">
        <f>1*Tabela2[[#This Row],[kan_test_acc]]</f>
        <v>0.73333334922790505</v>
      </c>
      <c r="AH138">
        <f>1*Tabela2[[#This Row],[mlp_test_acc]]</f>
        <v>0.97777777777777697</v>
      </c>
      <c r="AI138">
        <f>1*Tabela2[[#This Row],[mlp2_test_acc]]</f>
        <v>0.73333333333333295</v>
      </c>
    </row>
    <row r="139" spans="1:35" x14ac:dyDescent="0.25">
      <c r="A139" t="s">
        <v>57</v>
      </c>
      <c r="B139" t="s">
        <v>814</v>
      </c>
      <c r="C139" t="s">
        <v>79</v>
      </c>
      <c r="D139" t="s">
        <v>898</v>
      </c>
      <c r="E139" t="s">
        <v>80</v>
      </c>
      <c r="F139" t="s">
        <v>74</v>
      </c>
      <c r="G139" t="s">
        <v>2781</v>
      </c>
      <c r="H139" t="s">
        <v>2782</v>
      </c>
      <c r="I139" t="s">
        <v>2783</v>
      </c>
      <c r="J139" t="s">
        <v>2784</v>
      </c>
      <c r="K139" t="s">
        <v>2640</v>
      </c>
      <c r="L139" t="s">
        <v>2785</v>
      </c>
      <c r="M139" t="s">
        <v>2433</v>
      </c>
      <c r="N139" t="s">
        <v>89</v>
      </c>
      <c r="O139" t="s">
        <v>89</v>
      </c>
      <c r="P139" t="s">
        <v>2786</v>
      </c>
      <c r="Q139" t="s">
        <v>2787</v>
      </c>
      <c r="R139" t="s">
        <v>2788</v>
      </c>
      <c r="S139" t="s">
        <v>93</v>
      </c>
      <c r="T139" t="s">
        <v>2789</v>
      </c>
      <c r="U139" t="s">
        <v>2433</v>
      </c>
      <c r="V139" t="s">
        <v>89</v>
      </c>
      <c r="W139" t="s">
        <v>89</v>
      </c>
      <c r="X139" t="s">
        <v>2790</v>
      </c>
      <c r="Y139" t="s">
        <v>2791</v>
      </c>
      <c r="Z139" t="s">
        <v>2792</v>
      </c>
      <c r="AA139" t="s">
        <v>93</v>
      </c>
      <c r="AB139" t="s">
        <v>624</v>
      </c>
      <c r="AC139" t="s">
        <v>2793</v>
      </c>
      <c r="AF139">
        <f>1*Tabela2[[#This Row],[kan_params]]</f>
        <v>15722</v>
      </c>
      <c r="AG139">
        <f>1*Tabela2[[#This Row],[kan_test_acc]]</f>
        <v>0.71111112833023005</v>
      </c>
      <c r="AH139">
        <f>1*Tabela2[[#This Row],[mlp_test_acc]]</f>
        <v>0.95555555555555505</v>
      </c>
      <c r="AI139">
        <f>1*Tabela2[[#This Row],[mlp2_test_acc]]</f>
        <v>0.95555555555555505</v>
      </c>
    </row>
    <row r="140" spans="1:35" x14ac:dyDescent="0.25">
      <c r="A140" t="s">
        <v>57</v>
      </c>
      <c r="B140" t="s">
        <v>897</v>
      </c>
      <c r="C140" t="s">
        <v>79</v>
      </c>
      <c r="D140" t="s">
        <v>666</v>
      </c>
      <c r="E140" t="s">
        <v>80</v>
      </c>
      <c r="F140" t="s">
        <v>61</v>
      </c>
      <c r="G140" t="s">
        <v>2836</v>
      </c>
      <c r="H140" t="s">
        <v>2837</v>
      </c>
      <c r="I140" t="s">
        <v>2838</v>
      </c>
      <c r="J140" t="s">
        <v>2839</v>
      </c>
      <c r="K140" t="s">
        <v>2431</v>
      </c>
      <c r="L140" t="s">
        <v>2785</v>
      </c>
      <c r="M140" t="s">
        <v>2433</v>
      </c>
      <c r="N140" t="s">
        <v>89</v>
      </c>
      <c r="O140" t="s">
        <v>89</v>
      </c>
      <c r="P140" t="s">
        <v>2840</v>
      </c>
      <c r="Q140" t="s">
        <v>2841</v>
      </c>
      <c r="R140" t="s">
        <v>2567</v>
      </c>
      <c r="S140" t="s">
        <v>93</v>
      </c>
      <c r="T140" t="s">
        <v>2108</v>
      </c>
      <c r="U140" t="s">
        <v>2433</v>
      </c>
      <c r="V140" t="s">
        <v>89</v>
      </c>
      <c r="W140" t="s">
        <v>89</v>
      </c>
      <c r="X140" t="s">
        <v>2842</v>
      </c>
      <c r="Y140" t="s">
        <v>2843</v>
      </c>
      <c r="Z140" t="s">
        <v>2844</v>
      </c>
      <c r="AA140" t="s">
        <v>93</v>
      </c>
      <c r="AB140" t="s">
        <v>2299</v>
      </c>
      <c r="AC140" t="s">
        <v>2845</v>
      </c>
      <c r="AF140">
        <f>1*Tabela2[[#This Row],[kan_params]]</f>
        <v>4945</v>
      </c>
      <c r="AG140">
        <f>1*Tabela2[[#This Row],[kan_test_acc]]</f>
        <v>0.71111112833023005</v>
      </c>
      <c r="AH140">
        <f>1*Tabela2[[#This Row],[mlp_test_acc]]</f>
        <v>0.95555555555555505</v>
      </c>
      <c r="AI140">
        <f>1*Tabela2[[#This Row],[mlp2_test_acc]]</f>
        <v>0.95555555555555505</v>
      </c>
    </row>
    <row r="141" spans="1:35" x14ac:dyDescent="0.25">
      <c r="A141" t="s">
        <v>57</v>
      </c>
      <c r="B141" t="s">
        <v>897</v>
      </c>
      <c r="C141" t="s">
        <v>666</v>
      </c>
      <c r="D141" t="s">
        <v>898</v>
      </c>
      <c r="E141" t="s">
        <v>80</v>
      </c>
      <c r="F141" t="s">
        <v>74</v>
      </c>
      <c r="G141" t="s">
        <v>3492</v>
      </c>
      <c r="H141" t="s">
        <v>3493</v>
      </c>
      <c r="I141" t="s">
        <v>3494</v>
      </c>
      <c r="J141" t="s">
        <v>2681</v>
      </c>
      <c r="K141" t="s">
        <v>2619</v>
      </c>
      <c r="L141" t="s">
        <v>3495</v>
      </c>
      <c r="M141" t="s">
        <v>89</v>
      </c>
      <c r="N141" t="s">
        <v>2443</v>
      </c>
      <c r="O141" t="s">
        <v>89</v>
      </c>
      <c r="P141" t="s">
        <v>3295</v>
      </c>
      <c r="Q141" t="s">
        <v>3496</v>
      </c>
      <c r="R141" t="s">
        <v>3497</v>
      </c>
      <c r="S141" t="s">
        <v>93</v>
      </c>
      <c r="T141" t="s">
        <v>857</v>
      </c>
      <c r="U141" t="s">
        <v>3488</v>
      </c>
      <c r="V141" t="s">
        <v>2443</v>
      </c>
      <c r="W141" t="s">
        <v>3448</v>
      </c>
      <c r="X141" t="s">
        <v>160</v>
      </c>
      <c r="Y141" t="s">
        <v>3498</v>
      </c>
      <c r="Z141" t="s">
        <v>3499</v>
      </c>
      <c r="AA141" t="s">
        <v>93</v>
      </c>
      <c r="AB141" t="s">
        <v>216</v>
      </c>
      <c r="AC141" t="s">
        <v>3500</v>
      </c>
      <c r="AF141">
        <f>1*Tabela2[[#This Row],[kan_params]]</f>
        <v>17372</v>
      </c>
      <c r="AG141">
        <f>1*Tabela2[[#This Row],[kan_test_acc]]</f>
        <v>0.68888890743255604</v>
      </c>
      <c r="AH141">
        <f>1*Tabela2[[#This Row],[mlp_test_acc]]</f>
        <v>1</v>
      </c>
      <c r="AI141">
        <f>1*Tabela2[[#This Row],[mlp2_test_acc]]</f>
        <v>0.82222222222222197</v>
      </c>
    </row>
    <row r="142" spans="1:35" x14ac:dyDescent="0.25">
      <c r="A142" t="s">
        <v>57</v>
      </c>
      <c r="B142" t="s">
        <v>2351</v>
      </c>
      <c r="C142" t="s">
        <v>1026</v>
      </c>
      <c r="D142" t="s">
        <v>666</v>
      </c>
      <c r="E142" t="s">
        <v>80</v>
      </c>
      <c r="F142" t="s">
        <v>75</v>
      </c>
      <c r="G142" t="s">
        <v>4076</v>
      </c>
      <c r="H142" t="s">
        <v>4077</v>
      </c>
      <c r="I142" t="s">
        <v>4078</v>
      </c>
      <c r="J142" t="s">
        <v>2744</v>
      </c>
      <c r="K142" t="s">
        <v>2619</v>
      </c>
      <c r="L142" t="s">
        <v>3495</v>
      </c>
      <c r="M142" t="s">
        <v>3179</v>
      </c>
      <c r="N142" t="s">
        <v>89</v>
      </c>
      <c r="O142" t="s">
        <v>89</v>
      </c>
      <c r="P142" t="s">
        <v>4079</v>
      </c>
      <c r="Q142" t="s">
        <v>4080</v>
      </c>
      <c r="R142" t="s">
        <v>2551</v>
      </c>
      <c r="S142" t="s">
        <v>93</v>
      </c>
      <c r="T142" t="s">
        <v>1860</v>
      </c>
      <c r="U142" t="s">
        <v>3179</v>
      </c>
      <c r="V142" t="s">
        <v>89</v>
      </c>
      <c r="W142" t="s">
        <v>89</v>
      </c>
      <c r="X142" t="s">
        <v>2360</v>
      </c>
      <c r="Y142" t="s">
        <v>4081</v>
      </c>
      <c r="Z142" t="s">
        <v>2531</v>
      </c>
      <c r="AA142" t="s">
        <v>93</v>
      </c>
      <c r="AB142" t="s">
        <v>2098</v>
      </c>
      <c r="AC142" t="s">
        <v>4082</v>
      </c>
      <c r="AF142">
        <f>1*Tabela2[[#This Row],[kan_params]]</f>
        <v>10779</v>
      </c>
      <c r="AG142">
        <f>1*Tabela2[[#This Row],[kan_test_acc]]</f>
        <v>0.68888890743255604</v>
      </c>
      <c r="AH142">
        <f>1*Tabela2[[#This Row],[mlp_test_acc]]</f>
        <v>0.91111111111111098</v>
      </c>
      <c r="AI142">
        <f>1*Tabela2[[#This Row],[mlp2_test_acc]]</f>
        <v>0.91111111111111098</v>
      </c>
    </row>
    <row r="143" spans="1:35" x14ac:dyDescent="0.25">
      <c r="A143" t="s">
        <v>57</v>
      </c>
      <c r="B143" t="s">
        <v>814</v>
      </c>
      <c r="C143" t="s">
        <v>79</v>
      </c>
      <c r="D143" t="s">
        <v>898</v>
      </c>
      <c r="E143" t="s">
        <v>80</v>
      </c>
      <c r="F143" t="s">
        <v>60</v>
      </c>
      <c r="G143" t="s">
        <v>2636</v>
      </c>
      <c r="H143" t="s">
        <v>2637</v>
      </c>
      <c r="I143" t="s">
        <v>2638</v>
      </c>
      <c r="J143" t="s">
        <v>2639</v>
      </c>
      <c r="K143" t="s">
        <v>2640</v>
      </c>
      <c r="L143" t="s">
        <v>2641</v>
      </c>
      <c r="M143" t="s">
        <v>2433</v>
      </c>
      <c r="N143" t="s">
        <v>2607</v>
      </c>
      <c r="O143" t="s">
        <v>89</v>
      </c>
      <c r="P143" t="s">
        <v>2642</v>
      </c>
      <c r="Q143" t="s">
        <v>2643</v>
      </c>
      <c r="R143" t="s">
        <v>2501</v>
      </c>
      <c r="S143" t="s">
        <v>93</v>
      </c>
      <c r="T143" t="s">
        <v>94</v>
      </c>
      <c r="U143" t="s">
        <v>2433</v>
      </c>
      <c r="V143" t="s">
        <v>2607</v>
      </c>
      <c r="W143" t="s">
        <v>89</v>
      </c>
      <c r="X143" t="s">
        <v>2644</v>
      </c>
      <c r="Y143" t="s">
        <v>2645</v>
      </c>
      <c r="Z143" t="s">
        <v>2548</v>
      </c>
      <c r="AA143" t="s">
        <v>93</v>
      </c>
      <c r="AB143" t="s">
        <v>101</v>
      </c>
      <c r="AC143" t="s">
        <v>2646</v>
      </c>
      <c r="AF143">
        <f>1*Tabela2[[#This Row],[kan_params]]</f>
        <v>10242</v>
      </c>
      <c r="AG143">
        <f>1*Tabela2[[#This Row],[kan_test_acc]]</f>
        <v>0.66666668653488104</v>
      </c>
      <c r="AH143">
        <f>1*Tabela2[[#This Row],[mlp_test_acc]]</f>
        <v>0.95555555555555505</v>
      </c>
      <c r="AI143">
        <f>1*Tabela2[[#This Row],[mlp2_test_acc]]</f>
        <v>0.95555555555555505</v>
      </c>
    </row>
    <row r="144" spans="1:35" x14ac:dyDescent="0.25">
      <c r="A144" t="s">
        <v>57</v>
      </c>
      <c r="B144" t="s">
        <v>814</v>
      </c>
      <c r="C144" t="s">
        <v>79</v>
      </c>
      <c r="D144" t="s">
        <v>898</v>
      </c>
      <c r="E144" t="s">
        <v>80</v>
      </c>
      <c r="F144" t="s">
        <v>70</v>
      </c>
      <c r="G144" t="s">
        <v>2741</v>
      </c>
      <c r="H144" t="s">
        <v>2742</v>
      </c>
      <c r="I144" t="s">
        <v>2743</v>
      </c>
      <c r="J144" t="s">
        <v>2744</v>
      </c>
      <c r="K144" t="s">
        <v>2671</v>
      </c>
      <c r="L144" t="s">
        <v>2641</v>
      </c>
      <c r="M144" t="s">
        <v>2433</v>
      </c>
      <c r="N144" t="s">
        <v>2443</v>
      </c>
      <c r="O144" t="s">
        <v>89</v>
      </c>
      <c r="P144" t="s">
        <v>2745</v>
      </c>
      <c r="Q144" t="s">
        <v>2746</v>
      </c>
      <c r="R144" t="s">
        <v>2747</v>
      </c>
      <c r="S144" t="s">
        <v>93</v>
      </c>
      <c r="T144" t="s">
        <v>558</v>
      </c>
      <c r="U144" t="s">
        <v>2436</v>
      </c>
      <c r="V144" t="s">
        <v>2443</v>
      </c>
      <c r="W144" t="s">
        <v>89</v>
      </c>
      <c r="X144" t="s">
        <v>2748</v>
      </c>
      <c r="Y144" t="s">
        <v>2749</v>
      </c>
      <c r="Z144" t="s">
        <v>2750</v>
      </c>
      <c r="AA144" t="s">
        <v>93</v>
      </c>
      <c r="AB144" t="s">
        <v>2751</v>
      </c>
      <c r="AC144" t="s">
        <v>2752</v>
      </c>
      <c r="AF144">
        <f>1*Tabela2[[#This Row],[kan_params]]</f>
        <v>14352</v>
      </c>
      <c r="AG144">
        <f>1*Tabela2[[#This Row],[kan_test_acc]]</f>
        <v>0.66666668653488104</v>
      </c>
      <c r="AH144">
        <f>1*Tabela2[[#This Row],[mlp_test_acc]]</f>
        <v>0.95555555555555505</v>
      </c>
      <c r="AI144">
        <f>1*Tabela2[[#This Row],[mlp2_test_acc]]</f>
        <v>0.93333333333333302</v>
      </c>
    </row>
    <row r="145" spans="1:35" x14ac:dyDescent="0.25">
      <c r="A145" t="s">
        <v>57</v>
      </c>
      <c r="B145" t="s">
        <v>897</v>
      </c>
      <c r="C145" t="s">
        <v>79</v>
      </c>
      <c r="D145" t="s">
        <v>666</v>
      </c>
      <c r="E145" t="s">
        <v>80</v>
      </c>
      <c r="F145" t="s">
        <v>64</v>
      </c>
      <c r="G145" t="s">
        <v>2863</v>
      </c>
      <c r="H145" t="s">
        <v>2864</v>
      </c>
      <c r="I145" t="s">
        <v>2865</v>
      </c>
      <c r="J145" t="s">
        <v>2681</v>
      </c>
      <c r="K145" t="s">
        <v>2682</v>
      </c>
      <c r="L145" t="s">
        <v>2641</v>
      </c>
      <c r="M145" t="s">
        <v>2436</v>
      </c>
      <c r="N145" t="s">
        <v>2443</v>
      </c>
      <c r="O145" t="s">
        <v>89</v>
      </c>
      <c r="P145" t="s">
        <v>2866</v>
      </c>
      <c r="Q145" t="s">
        <v>2867</v>
      </c>
      <c r="R145" t="s">
        <v>2596</v>
      </c>
      <c r="S145" t="s">
        <v>93</v>
      </c>
      <c r="T145" t="s">
        <v>2597</v>
      </c>
      <c r="U145" t="s">
        <v>2436</v>
      </c>
      <c r="V145" t="s">
        <v>2607</v>
      </c>
      <c r="W145" t="s">
        <v>89</v>
      </c>
      <c r="X145" t="s">
        <v>2868</v>
      </c>
      <c r="Y145" t="s">
        <v>2869</v>
      </c>
      <c r="Z145" t="s">
        <v>2778</v>
      </c>
      <c r="AA145" t="s">
        <v>93</v>
      </c>
      <c r="AB145" t="s">
        <v>2779</v>
      </c>
      <c r="AC145" t="s">
        <v>2870</v>
      </c>
      <c r="AF145">
        <f>1*Tabela2[[#This Row],[kan_params]]</f>
        <v>13439</v>
      </c>
      <c r="AG145">
        <f>1*Tabela2[[#This Row],[kan_test_acc]]</f>
        <v>0.66666668653488104</v>
      </c>
      <c r="AH145">
        <f>1*Tabela2[[#This Row],[mlp_test_acc]]</f>
        <v>0.93333333333333302</v>
      </c>
      <c r="AI145">
        <f>1*Tabela2[[#This Row],[mlp2_test_acc]]</f>
        <v>0.93333333333333302</v>
      </c>
    </row>
    <row r="146" spans="1:35" x14ac:dyDescent="0.25">
      <c r="A146" t="s">
        <v>57</v>
      </c>
      <c r="B146" t="s">
        <v>897</v>
      </c>
      <c r="C146" t="s">
        <v>666</v>
      </c>
      <c r="D146" t="s">
        <v>898</v>
      </c>
      <c r="E146" t="s">
        <v>80</v>
      </c>
      <c r="F146" t="s">
        <v>60</v>
      </c>
      <c r="G146" t="s">
        <v>3391</v>
      </c>
      <c r="H146" t="s">
        <v>3392</v>
      </c>
      <c r="I146" t="s">
        <v>3393</v>
      </c>
      <c r="J146" t="s">
        <v>2660</v>
      </c>
      <c r="K146" t="s">
        <v>2619</v>
      </c>
      <c r="L146" t="s">
        <v>2641</v>
      </c>
      <c r="M146" t="s">
        <v>2498</v>
      </c>
      <c r="N146" t="s">
        <v>2443</v>
      </c>
      <c r="O146" t="s">
        <v>89</v>
      </c>
      <c r="P146" t="s">
        <v>3295</v>
      </c>
      <c r="Q146" t="s">
        <v>3394</v>
      </c>
      <c r="R146" t="s">
        <v>2533</v>
      </c>
      <c r="S146" t="s">
        <v>93</v>
      </c>
      <c r="T146" t="s">
        <v>2534</v>
      </c>
      <c r="U146" t="s">
        <v>3179</v>
      </c>
      <c r="V146" t="s">
        <v>2607</v>
      </c>
      <c r="W146" t="s">
        <v>3395</v>
      </c>
      <c r="X146" t="s">
        <v>160</v>
      </c>
      <c r="Y146" t="s">
        <v>3396</v>
      </c>
      <c r="Z146" t="s">
        <v>2585</v>
      </c>
      <c r="AA146" t="s">
        <v>93</v>
      </c>
      <c r="AB146" t="s">
        <v>820</v>
      </c>
      <c r="AC146" t="s">
        <v>3397</v>
      </c>
      <c r="AF146">
        <f>1*Tabela2[[#This Row],[kan_params]]</f>
        <v>11316</v>
      </c>
      <c r="AG146">
        <f>1*Tabela2[[#This Row],[kan_test_acc]]</f>
        <v>0.66666668653488104</v>
      </c>
      <c r="AH146">
        <f>1*Tabela2[[#This Row],[mlp_test_acc]]</f>
        <v>0.97777777777777697</v>
      </c>
      <c r="AI146">
        <f>1*Tabela2[[#This Row],[mlp2_test_acc]]</f>
        <v>0.91111111111111098</v>
      </c>
    </row>
    <row r="147" spans="1:35" x14ac:dyDescent="0.25">
      <c r="A147" t="s">
        <v>57</v>
      </c>
      <c r="B147" t="s">
        <v>897</v>
      </c>
      <c r="C147" t="s">
        <v>666</v>
      </c>
      <c r="D147" t="s">
        <v>898</v>
      </c>
      <c r="E147" t="s">
        <v>80</v>
      </c>
      <c r="F147" t="s">
        <v>70</v>
      </c>
      <c r="G147" t="s">
        <v>3463</v>
      </c>
      <c r="H147" t="s">
        <v>3464</v>
      </c>
      <c r="I147" t="s">
        <v>3465</v>
      </c>
      <c r="J147" t="s">
        <v>3423</v>
      </c>
      <c r="K147" t="s">
        <v>2619</v>
      </c>
      <c r="L147" t="s">
        <v>2641</v>
      </c>
      <c r="M147" t="s">
        <v>2498</v>
      </c>
      <c r="N147" t="s">
        <v>2443</v>
      </c>
      <c r="O147" t="s">
        <v>89</v>
      </c>
      <c r="P147" t="s">
        <v>3466</v>
      </c>
      <c r="Q147" t="s">
        <v>3467</v>
      </c>
      <c r="R147" t="s">
        <v>2788</v>
      </c>
      <c r="S147" t="s">
        <v>93</v>
      </c>
      <c r="T147" t="s">
        <v>2789</v>
      </c>
      <c r="U147" t="s">
        <v>3179</v>
      </c>
      <c r="V147" t="s">
        <v>2443</v>
      </c>
      <c r="W147" t="s">
        <v>3448</v>
      </c>
      <c r="X147" t="s">
        <v>160</v>
      </c>
      <c r="Y147" t="s">
        <v>3468</v>
      </c>
      <c r="Z147" t="s">
        <v>2792</v>
      </c>
      <c r="AA147" t="s">
        <v>93</v>
      </c>
      <c r="AB147" t="s">
        <v>624</v>
      </c>
      <c r="AC147" t="s">
        <v>3469</v>
      </c>
      <c r="AF147">
        <f>1*Tabela2[[#This Row],[kan_params]]</f>
        <v>15858</v>
      </c>
      <c r="AG147">
        <f>1*Tabela2[[#This Row],[kan_test_acc]]</f>
        <v>0.66666668653488104</v>
      </c>
      <c r="AH147">
        <f>1*Tabela2[[#This Row],[mlp_test_acc]]</f>
        <v>0.97777777777777697</v>
      </c>
      <c r="AI147">
        <f>1*Tabela2[[#This Row],[mlp2_test_acc]]</f>
        <v>0.91111111111111098</v>
      </c>
    </row>
    <row r="148" spans="1:35" x14ac:dyDescent="0.25">
      <c r="A148" t="s">
        <v>57</v>
      </c>
      <c r="B148" t="s">
        <v>2351</v>
      </c>
      <c r="C148" t="s">
        <v>1026</v>
      </c>
      <c r="D148" t="s">
        <v>666</v>
      </c>
      <c r="E148" t="s">
        <v>80</v>
      </c>
      <c r="F148" t="s">
        <v>71</v>
      </c>
      <c r="G148" t="s">
        <v>4044</v>
      </c>
      <c r="H148" t="s">
        <v>4045</v>
      </c>
      <c r="I148" t="s">
        <v>4046</v>
      </c>
      <c r="J148" t="s">
        <v>2681</v>
      </c>
      <c r="K148" t="s">
        <v>2705</v>
      </c>
      <c r="L148" t="s">
        <v>2641</v>
      </c>
      <c r="M148" t="s">
        <v>3179</v>
      </c>
      <c r="N148" t="s">
        <v>89</v>
      </c>
      <c r="O148" t="s">
        <v>89</v>
      </c>
      <c r="P148" t="s">
        <v>4047</v>
      </c>
      <c r="Q148" t="s">
        <v>4048</v>
      </c>
      <c r="R148" t="s">
        <v>2489</v>
      </c>
      <c r="S148" t="s">
        <v>93</v>
      </c>
      <c r="T148" t="s">
        <v>285</v>
      </c>
      <c r="U148" t="s">
        <v>3179</v>
      </c>
      <c r="V148" t="s">
        <v>89</v>
      </c>
      <c r="W148" t="s">
        <v>89</v>
      </c>
      <c r="X148" t="s">
        <v>4049</v>
      </c>
      <c r="Y148" t="s">
        <v>4050</v>
      </c>
      <c r="Z148" t="s">
        <v>2456</v>
      </c>
      <c r="AA148" t="s">
        <v>93</v>
      </c>
      <c r="AB148" t="s">
        <v>2257</v>
      </c>
      <c r="AC148" t="s">
        <v>4051</v>
      </c>
      <c r="AF148">
        <f>1*Tabela2[[#This Row],[kan_params]]</f>
        <v>8534</v>
      </c>
      <c r="AG148">
        <f>1*Tabela2[[#This Row],[kan_test_acc]]</f>
        <v>0.66666668653488104</v>
      </c>
      <c r="AH148">
        <f>1*Tabela2[[#This Row],[mlp_test_acc]]</f>
        <v>0.91111111111111098</v>
      </c>
      <c r="AI148">
        <f>1*Tabela2[[#This Row],[mlp2_test_acc]]</f>
        <v>0.91111111111111098</v>
      </c>
    </row>
    <row r="149" spans="1:35" x14ac:dyDescent="0.25">
      <c r="A149" t="s">
        <v>57</v>
      </c>
      <c r="B149" t="s">
        <v>897</v>
      </c>
      <c r="C149" t="s">
        <v>666</v>
      </c>
      <c r="D149" t="s">
        <v>898</v>
      </c>
      <c r="E149" t="s">
        <v>80</v>
      </c>
      <c r="F149" t="s">
        <v>62</v>
      </c>
      <c r="G149" t="s">
        <v>3405</v>
      </c>
      <c r="H149" t="s">
        <v>3406</v>
      </c>
      <c r="I149" t="s">
        <v>3407</v>
      </c>
      <c r="J149" t="s">
        <v>2660</v>
      </c>
      <c r="K149" t="s">
        <v>2619</v>
      </c>
      <c r="L149" t="s">
        <v>3408</v>
      </c>
      <c r="M149" t="s">
        <v>2498</v>
      </c>
      <c r="N149" t="s">
        <v>2443</v>
      </c>
      <c r="O149" t="s">
        <v>89</v>
      </c>
      <c r="P149" t="s">
        <v>3307</v>
      </c>
      <c r="Q149" t="s">
        <v>3409</v>
      </c>
      <c r="R149" t="s">
        <v>2459</v>
      </c>
      <c r="S149" t="s">
        <v>93</v>
      </c>
      <c r="T149" t="s">
        <v>2460</v>
      </c>
      <c r="U149" t="s">
        <v>3410</v>
      </c>
      <c r="V149" t="s">
        <v>2607</v>
      </c>
      <c r="W149" t="s">
        <v>3411</v>
      </c>
      <c r="X149" t="s">
        <v>160</v>
      </c>
      <c r="Y149" t="s">
        <v>3412</v>
      </c>
      <c r="Z149" t="s">
        <v>2519</v>
      </c>
      <c r="AA149" t="s">
        <v>93</v>
      </c>
      <c r="AB149" t="s">
        <v>2187</v>
      </c>
      <c r="AC149" t="s">
        <v>3413</v>
      </c>
      <c r="AF149">
        <f>1*Tabela2[[#This Row],[kan_params]]</f>
        <v>9040</v>
      </c>
      <c r="AG149">
        <f>1*Tabela2[[#This Row],[kan_test_acc]]</f>
        <v>0.64444446563720703</v>
      </c>
      <c r="AH149">
        <f>1*Tabela2[[#This Row],[mlp_test_acc]]</f>
        <v>0.97777777777777697</v>
      </c>
      <c r="AI149">
        <f>1*Tabela2[[#This Row],[mlp2_test_acc]]</f>
        <v>0.844444444444444</v>
      </c>
    </row>
    <row r="150" spans="1:35" x14ac:dyDescent="0.25">
      <c r="A150" t="s">
        <v>57</v>
      </c>
      <c r="B150" t="s">
        <v>814</v>
      </c>
      <c r="C150" t="s">
        <v>79</v>
      </c>
      <c r="D150" t="s">
        <v>898</v>
      </c>
      <c r="E150" t="s">
        <v>80</v>
      </c>
      <c r="F150" t="s">
        <v>65</v>
      </c>
      <c r="G150" t="s">
        <v>2690</v>
      </c>
      <c r="H150" t="s">
        <v>2691</v>
      </c>
      <c r="I150" t="s">
        <v>2692</v>
      </c>
      <c r="J150" t="s">
        <v>2693</v>
      </c>
      <c r="K150" t="s">
        <v>2694</v>
      </c>
      <c r="L150" t="s">
        <v>2695</v>
      </c>
      <c r="M150" t="s">
        <v>2433</v>
      </c>
      <c r="N150" t="s">
        <v>2443</v>
      </c>
      <c r="O150" t="s">
        <v>89</v>
      </c>
      <c r="P150" t="s">
        <v>2696</v>
      </c>
      <c r="Q150" t="s">
        <v>2697</v>
      </c>
      <c r="R150" t="s">
        <v>2519</v>
      </c>
      <c r="S150" t="s">
        <v>93</v>
      </c>
      <c r="T150" t="s">
        <v>2187</v>
      </c>
      <c r="U150" t="s">
        <v>2433</v>
      </c>
      <c r="V150" t="s">
        <v>2607</v>
      </c>
      <c r="W150" t="s">
        <v>89</v>
      </c>
      <c r="X150" t="s">
        <v>2698</v>
      </c>
      <c r="Y150" t="s">
        <v>2699</v>
      </c>
      <c r="Z150" t="s">
        <v>2522</v>
      </c>
      <c r="AA150" t="s">
        <v>93</v>
      </c>
      <c r="AB150" t="s">
        <v>2523</v>
      </c>
      <c r="AC150" t="s">
        <v>2700</v>
      </c>
      <c r="AF150">
        <f>1*Tabela2[[#This Row],[kan_params]]</f>
        <v>9172</v>
      </c>
      <c r="AG150">
        <f>1*Tabela2[[#This Row],[kan_test_acc]]</f>
        <v>0.62222224473953203</v>
      </c>
      <c r="AH150">
        <f>1*Tabela2[[#This Row],[mlp_test_acc]]</f>
        <v>0.95555555555555505</v>
      </c>
      <c r="AI150">
        <f>1*Tabela2[[#This Row],[mlp2_test_acc]]</f>
        <v>0.95555555555555505</v>
      </c>
    </row>
    <row r="151" spans="1:35" x14ac:dyDescent="0.25">
      <c r="A151" t="s">
        <v>57</v>
      </c>
      <c r="B151" t="s">
        <v>897</v>
      </c>
      <c r="C151" t="s">
        <v>79</v>
      </c>
      <c r="D151" t="s">
        <v>666</v>
      </c>
      <c r="E151" t="s">
        <v>80</v>
      </c>
      <c r="F151" t="s">
        <v>60</v>
      </c>
      <c r="G151" t="s">
        <v>2828</v>
      </c>
      <c r="H151" t="s">
        <v>2829</v>
      </c>
      <c r="I151" t="s">
        <v>2830</v>
      </c>
      <c r="J151" t="s">
        <v>2681</v>
      </c>
      <c r="K151" t="s">
        <v>2619</v>
      </c>
      <c r="L151" t="s">
        <v>2695</v>
      </c>
      <c r="M151" t="s">
        <v>2436</v>
      </c>
      <c r="N151" t="s">
        <v>2443</v>
      </c>
      <c r="O151" t="s">
        <v>89</v>
      </c>
      <c r="P151" t="s">
        <v>2831</v>
      </c>
      <c r="Q151" t="s">
        <v>2832</v>
      </c>
      <c r="R151" t="s">
        <v>2688</v>
      </c>
      <c r="S151" t="s">
        <v>93</v>
      </c>
      <c r="T151" t="s">
        <v>823</v>
      </c>
      <c r="U151" t="s">
        <v>2436</v>
      </c>
      <c r="V151" t="s">
        <v>2607</v>
      </c>
      <c r="W151" t="s">
        <v>89</v>
      </c>
      <c r="X151" t="s">
        <v>2833</v>
      </c>
      <c r="Y151" t="s">
        <v>2834</v>
      </c>
      <c r="Z151" t="s">
        <v>2557</v>
      </c>
      <c r="AA151" t="s">
        <v>93</v>
      </c>
      <c r="AB151" t="s">
        <v>374</v>
      </c>
      <c r="AC151" t="s">
        <v>2835</v>
      </c>
      <c r="AF151">
        <f>1*Tabela2[[#This Row],[kan_params]]</f>
        <v>11853</v>
      </c>
      <c r="AG151">
        <f>1*Tabela2[[#This Row],[kan_test_acc]]</f>
        <v>0.62222224473953203</v>
      </c>
      <c r="AH151">
        <f>1*Tabela2[[#This Row],[mlp_test_acc]]</f>
        <v>0.93333333333333302</v>
      </c>
      <c r="AI151">
        <f>1*Tabela2[[#This Row],[mlp2_test_acc]]</f>
        <v>0.93333333333333302</v>
      </c>
    </row>
    <row r="152" spans="1:35" x14ac:dyDescent="0.25">
      <c r="A152" t="s">
        <v>57</v>
      </c>
      <c r="B152" t="s">
        <v>897</v>
      </c>
      <c r="C152" t="s">
        <v>666</v>
      </c>
      <c r="D152" t="s">
        <v>898</v>
      </c>
      <c r="E152" t="s">
        <v>80</v>
      </c>
      <c r="F152" t="s">
        <v>58</v>
      </c>
      <c r="G152" t="s">
        <v>3376</v>
      </c>
      <c r="H152" t="s">
        <v>3377</v>
      </c>
      <c r="I152" t="s">
        <v>3378</v>
      </c>
      <c r="J152" t="s">
        <v>2670</v>
      </c>
      <c r="K152" t="s">
        <v>2682</v>
      </c>
      <c r="L152" t="s">
        <v>2695</v>
      </c>
      <c r="M152" t="s">
        <v>2433</v>
      </c>
      <c r="N152" t="s">
        <v>2443</v>
      </c>
      <c r="O152" t="s">
        <v>89</v>
      </c>
      <c r="P152" t="s">
        <v>3379</v>
      </c>
      <c r="Q152" t="s">
        <v>3380</v>
      </c>
      <c r="R152" t="s">
        <v>2511</v>
      </c>
      <c r="S152" t="s">
        <v>93</v>
      </c>
      <c r="T152" t="s">
        <v>2081</v>
      </c>
      <c r="U152" t="s">
        <v>3133</v>
      </c>
      <c r="V152" t="s">
        <v>3345</v>
      </c>
      <c r="W152" t="s">
        <v>3229</v>
      </c>
      <c r="X152" t="s">
        <v>160</v>
      </c>
      <c r="Y152" t="s">
        <v>3381</v>
      </c>
      <c r="Z152" t="s">
        <v>2486</v>
      </c>
      <c r="AA152" t="s">
        <v>93</v>
      </c>
      <c r="AB152" t="s">
        <v>281</v>
      </c>
      <c r="AC152" t="s">
        <v>3382</v>
      </c>
      <c r="AF152">
        <f>1*Tabela2[[#This Row],[kan_params]]</f>
        <v>7946</v>
      </c>
      <c r="AG152">
        <f>1*Tabela2[[#This Row],[kan_test_acc]]</f>
        <v>0.62222224473953203</v>
      </c>
      <c r="AH152">
        <f>1*Tabela2[[#This Row],[mlp_test_acc]]</f>
        <v>0.95555555555555505</v>
      </c>
      <c r="AI152">
        <f>1*Tabela2[[#This Row],[mlp2_test_acc]]</f>
        <v>0.28888888888888797</v>
      </c>
    </row>
    <row r="153" spans="1:35" x14ac:dyDescent="0.25">
      <c r="A153" t="s">
        <v>57</v>
      </c>
      <c r="B153" t="s">
        <v>897</v>
      </c>
      <c r="C153" t="s">
        <v>666</v>
      </c>
      <c r="D153" t="s">
        <v>898</v>
      </c>
      <c r="E153" t="s">
        <v>80</v>
      </c>
      <c r="F153" t="s">
        <v>65</v>
      </c>
      <c r="G153" t="s">
        <v>3427</v>
      </c>
      <c r="H153" t="s">
        <v>3428</v>
      </c>
      <c r="I153" t="s">
        <v>3429</v>
      </c>
      <c r="J153" t="s">
        <v>3430</v>
      </c>
      <c r="K153" t="s">
        <v>2619</v>
      </c>
      <c r="L153" t="s">
        <v>2695</v>
      </c>
      <c r="M153" t="s">
        <v>2498</v>
      </c>
      <c r="N153" t="s">
        <v>2443</v>
      </c>
      <c r="O153" t="s">
        <v>89</v>
      </c>
      <c r="P153" t="s">
        <v>3431</v>
      </c>
      <c r="Q153" t="s">
        <v>3432</v>
      </c>
      <c r="R153" t="s">
        <v>2501</v>
      </c>
      <c r="S153" t="s">
        <v>93</v>
      </c>
      <c r="T153" t="s">
        <v>94</v>
      </c>
      <c r="U153" t="s">
        <v>3410</v>
      </c>
      <c r="V153" t="s">
        <v>2607</v>
      </c>
      <c r="W153" t="s">
        <v>3411</v>
      </c>
      <c r="X153" t="s">
        <v>160</v>
      </c>
      <c r="Y153" t="s">
        <v>3433</v>
      </c>
      <c r="Z153" t="s">
        <v>2548</v>
      </c>
      <c r="AA153" t="s">
        <v>93</v>
      </c>
      <c r="AB153" t="s">
        <v>101</v>
      </c>
      <c r="AC153" t="s">
        <v>3434</v>
      </c>
      <c r="AF153">
        <f>1*Tabela2[[#This Row],[kan_params]]</f>
        <v>10134</v>
      </c>
      <c r="AG153">
        <f>1*Tabela2[[#This Row],[kan_test_acc]]</f>
        <v>0.62222224473953203</v>
      </c>
      <c r="AH153">
        <f>1*Tabela2[[#This Row],[mlp_test_acc]]</f>
        <v>0.97777777777777697</v>
      </c>
      <c r="AI153">
        <f>1*Tabela2[[#This Row],[mlp2_test_acc]]</f>
        <v>0.844444444444444</v>
      </c>
    </row>
    <row r="154" spans="1:35" x14ac:dyDescent="0.25">
      <c r="A154" t="s">
        <v>57</v>
      </c>
      <c r="B154" t="s">
        <v>814</v>
      </c>
      <c r="C154" t="s">
        <v>79</v>
      </c>
      <c r="D154" t="s">
        <v>898</v>
      </c>
      <c r="E154" t="s">
        <v>80</v>
      </c>
      <c r="F154" t="s">
        <v>62</v>
      </c>
      <c r="G154" t="s">
        <v>2657</v>
      </c>
      <c r="H154" t="s">
        <v>2658</v>
      </c>
      <c r="I154" t="s">
        <v>2659</v>
      </c>
      <c r="J154" t="s">
        <v>2660</v>
      </c>
      <c r="K154" t="s">
        <v>2619</v>
      </c>
      <c r="L154" t="s">
        <v>2661</v>
      </c>
      <c r="M154" t="s">
        <v>2433</v>
      </c>
      <c r="N154" t="s">
        <v>2607</v>
      </c>
      <c r="O154" t="s">
        <v>89</v>
      </c>
      <c r="P154" t="s">
        <v>2662</v>
      </c>
      <c r="Q154" t="s">
        <v>2663</v>
      </c>
      <c r="R154" t="s">
        <v>2486</v>
      </c>
      <c r="S154" t="s">
        <v>93</v>
      </c>
      <c r="T154" t="s">
        <v>281</v>
      </c>
      <c r="U154" t="s">
        <v>2433</v>
      </c>
      <c r="V154" t="s">
        <v>2443</v>
      </c>
      <c r="W154" t="s">
        <v>89</v>
      </c>
      <c r="X154" t="s">
        <v>2664</v>
      </c>
      <c r="Y154" t="s">
        <v>2665</v>
      </c>
      <c r="Z154" t="s">
        <v>2489</v>
      </c>
      <c r="AA154" t="s">
        <v>93</v>
      </c>
      <c r="AB154" t="s">
        <v>285</v>
      </c>
      <c r="AC154" t="s">
        <v>2666</v>
      </c>
      <c r="AF154">
        <f>1*Tabela2[[#This Row],[kan_params]]</f>
        <v>8182</v>
      </c>
      <c r="AG154">
        <f>1*Tabela2[[#This Row],[kan_test_acc]]</f>
        <v>0.60000002384185702</v>
      </c>
      <c r="AH154">
        <f>1*Tabela2[[#This Row],[mlp_test_acc]]</f>
        <v>0.95555555555555505</v>
      </c>
      <c r="AI154">
        <f>1*Tabela2[[#This Row],[mlp2_test_acc]]</f>
        <v>0.95555555555555505</v>
      </c>
    </row>
    <row r="155" spans="1:35" x14ac:dyDescent="0.25">
      <c r="A155" t="s">
        <v>57</v>
      </c>
      <c r="B155" t="s">
        <v>897</v>
      </c>
      <c r="C155" t="s">
        <v>79</v>
      </c>
      <c r="D155" t="s">
        <v>666</v>
      </c>
      <c r="E155" t="s">
        <v>80</v>
      </c>
      <c r="F155" t="s">
        <v>72</v>
      </c>
      <c r="G155" t="s">
        <v>2941</v>
      </c>
      <c r="H155" t="s">
        <v>2942</v>
      </c>
      <c r="I155" t="s">
        <v>2738</v>
      </c>
      <c r="J155" t="s">
        <v>2693</v>
      </c>
      <c r="K155" t="s">
        <v>2682</v>
      </c>
      <c r="L155" t="s">
        <v>2661</v>
      </c>
      <c r="M155" t="s">
        <v>2498</v>
      </c>
      <c r="N155" t="s">
        <v>2607</v>
      </c>
      <c r="O155" t="s">
        <v>89</v>
      </c>
      <c r="P155" t="s">
        <v>2883</v>
      </c>
      <c r="Q155" t="s">
        <v>2943</v>
      </c>
      <c r="R155" t="s">
        <v>2719</v>
      </c>
      <c r="S155" t="s">
        <v>93</v>
      </c>
      <c r="T155" t="s">
        <v>113</v>
      </c>
      <c r="U155" t="s">
        <v>2885</v>
      </c>
      <c r="V155" t="s">
        <v>2897</v>
      </c>
      <c r="W155" t="s">
        <v>2944</v>
      </c>
      <c r="X155" t="s">
        <v>160</v>
      </c>
      <c r="Y155" t="s">
        <v>2945</v>
      </c>
      <c r="Z155" t="s">
        <v>2592</v>
      </c>
      <c r="AA155" t="s">
        <v>93</v>
      </c>
      <c r="AB155" t="s">
        <v>2593</v>
      </c>
      <c r="AC155" t="s">
        <v>2946</v>
      </c>
      <c r="AF155">
        <f>1*Tabela2[[#This Row],[kan_params]]</f>
        <v>12907</v>
      </c>
      <c r="AG155">
        <f>1*Tabela2[[#This Row],[kan_test_acc]]</f>
        <v>0.60000002384185702</v>
      </c>
      <c r="AH155">
        <f>1*Tabela2[[#This Row],[mlp_test_acc]]</f>
        <v>0.97777777777777697</v>
      </c>
      <c r="AI155">
        <f>1*Tabela2[[#This Row],[mlp2_test_acc]]</f>
        <v>0.71111111111111103</v>
      </c>
    </row>
    <row r="156" spans="1:35" x14ac:dyDescent="0.25">
      <c r="A156" t="s">
        <v>57</v>
      </c>
      <c r="B156" t="s">
        <v>897</v>
      </c>
      <c r="C156" t="s">
        <v>666</v>
      </c>
      <c r="D156" t="s">
        <v>898</v>
      </c>
      <c r="E156" t="s">
        <v>80</v>
      </c>
      <c r="F156" t="s">
        <v>72</v>
      </c>
      <c r="G156" t="s">
        <v>3476</v>
      </c>
      <c r="H156" t="s">
        <v>3477</v>
      </c>
      <c r="I156" t="s">
        <v>3478</v>
      </c>
      <c r="J156" t="s">
        <v>2726</v>
      </c>
      <c r="K156" t="s">
        <v>2682</v>
      </c>
      <c r="L156" t="s">
        <v>2661</v>
      </c>
      <c r="M156" t="s">
        <v>3179</v>
      </c>
      <c r="N156" t="s">
        <v>2443</v>
      </c>
      <c r="O156" t="s">
        <v>89</v>
      </c>
      <c r="P156" t="s">
        <v>3466</v>
      </c>
      <c r="Q156" t="s">
        <v>3479</v>
      </c>
      <c r="R156" t="s">
        <v>2557</v>
      </c>
      <c r="S156" t="s">
        <v>93</v>
      </c>
      <c r="T156" t="s">
        <v>374</v>
      </c>
      <c r="U156" t="s">
        <v>3480</v>
      </c>
      <c r="V156" t="s">
        <v>2897</v>
      </c>
      <c r="W156" t="s">
        <v>3441</v>
      </c>
      <c r="X156" t="s">
        <v>160</v>
      </c>
      <c r="Y156" t="s">
        <v>3481</v>
      </c>
      <c r="Z156" t="s">
        <v>2559</v>
      </c>
      <c r="AA156" t="s">
        <v>93</v>
      </c>
      <c r="AB156" t="s">
        <v>109</v>
      </c>
      <c r="AC156" t="s">
        <v>3482</v>
      </c>
      <c r="AF156">
        <f>1*Tabela2[[#This Row],[kan_params]]</f>
        <v>12322</v>
      </c>
      <c r="AG156">
        <f>1*Tabela2[[#This Row],[kan_test_acc]]</f>
        <v>0.60000002384185702</v>
      </c>
      <c r="AH156">
        <f>1*Tabela2[[#This Row],[mlp_test_acc]]</f>
        <v>0.91111111111111098</v>
      </c>
      <c r="AI156">
        <f>1*Tabela2[[#This Row],[mlp2_test_acc]]</f>
        <v>0.73333333333333295</v>
      </c>
    </row>
    <row r="157" spans="1:35" x14ac:dyDescent="0.25">
      <c r="A157" t="s">
        <v>57</v>
      </c>
      <c r="B157" t="s">
        <v>959</v>
      </c>
      <c r="C157" t="s">
        <v>666</v>
      </c>
      <c r="D157" t="s">
        <v>666</v>
      </c>
      <c r="E157" t="s">
        <v>80</v>
      </c>
      <c r="F157" t="s">
        <v>64</v>
      </c>
      <c r="G157" t="s">
        <v>3559</v>
      </c>
      <c r="H157" t="s">
        <v>3560</v>
      </c>
      <c r="I157" t="s">
        <v>3561</v>
      </c>
      <c r="J157" t="s">
        <v>2715</v>
      </c>
      <c r="K157" t="s">
        <v>2705</v>
      </c>
      <c r="L157" t="s">
        <v>2661</v>
      </c>
      <c r="M157" t="s">
        <v>2436</v>
      </c>
      <c r="N157" t="s">
        <v>89</v>
      </c>
      <c r="O157" t="s">
        <v>89</v>
      </c>
      <c r="P157" t="s">
        <v>3485</v>
      </c>
      <c r="Q157" t="s">
        <v>3562</v>
      </c>
      <c r="R157" t="s">
        <v>2747</v>
      </c>
      <c r="S157" t="s">
        <v>93</v>
      </c>
      <c r="T157" t="s">
        <v>558</v>
      </c>
      <c r="U157" t="s">
        <v>3179</v>
      </c>
      <c r="V157" t="s">
        <v>89</v>
      </c>
      <c r="W157" t="s">
        <v>3518</v>
      </c>
      <c r="X157" t="s">
        <v>160</v>
      </c>
      <c r="Y157" t="s">
        <v>3563</v>
      </c>
      <c r="Z157" t="s">
        <v>2750</v>
      </c>
      <c r="AA157" t="s">
        <v>93</v>
      </c>
      <c r="AB157" t="s">
        <v>2751</v>
      </c>
      <c r="AC157" t="s">
        <v>3564</v>
      </c>
      <c r="AF157">
        <f>1*Tabela2[[#This Row],[kan_params]]</f>
        <v>14657</v>
      </c>
      <c r="AG157">
        <f>1*Tabela2[[#This Row],[kan_test_acc]]</f>
        <v>0.60000002384185702</v>
      </c>
      <c r="AH157">
        <f>1*Tabela2[[#This Row],[mlp_test_acc]]</f>
        <v>0.93333333333333302</v>
      </c>
      <c r="AI157">
        <f>1*Tabela2[[#This Row],[mlp2_test_acc]]</f>
        <v>0.91111111111111098</v>
      </c>
    </row>
    <row r="158" spans="1:35" x14ac:dyDescent="0.25">
      <c r="A158" t="s">
        <v>57</v>
      </c>
      <c r="B158" t="s">
        <v>814</v>
      </c>
      <c r="C158" t="s">
        <v>79</v>
      </c>
      <c r="D158" t="s">
        <v>898</v>
      </c>
      <c r="E158" t="s">
        <v>80</v>
      </c>
      <c r="F158" t="s">
        <v>64</v>
      </c>
      <c r="G158" t="s">
        <v>2678</v>
      </c>
      <c r="H158" t="s">
        <v>2679</v>
      </c>
      <c r="I158" t="s">
        <v>2680</v>
      </c>
      <c r="J158" t="s">
        <v>2681</v>
      </c>
      <c r="K158" t="s">
        <v>2682</v>
      </c>
      <c r="L158" t="s">
        <v>2683</v>
      </c>
      <c r="M158" t="s">
        <v>2433</v>
      </c>
      <c r="N158" t="s">
        <v>2607</v>
      </c>
      <c r="O158" t="s">
        <v>89</v>
      </c>
      <c r="P158" t="s">
        <v>2684</v>
      </c>
      <c r="Q158" t="s">
        <v>2685</v>
      </c>
      <c r="R158" t="s">
        <v>2585</v>
      </c>
      <c r="S158" t="s">
        <v>93</v>
      </c>
      <c r="T158" t="s">
        <v>820</v>
      </c>
      <c r="U158" t="s">
        <v>2433</v>
      </c>
      <c r="V158" t="s">
        <v>2443</v>
      </c>
      <c r="W158" t="s">
        <v>89</v>
      </c>
      <c r="X158" t="s">
        <v>2686</v>
      </c>
      <c r="Y158" t="s">
        <v>2687</v>
      </c>
      <c r="Z158" t="s">
        <v>2688</v>
      </c>
      <c r="AA158" t="s">
        <v>93</v>
      </c>
      <c r="AB158" t="s">
        <v>823</v>
      </c>
      <c r="AC158" t="s">
        <v>2689</v>
      </c>
      <c r="AF158">
        <f>1*Tabela2[[#This Row],[kan_params]]</f>
        <v>11612</v>
      </c>
      <c r="AG158">
        <f>1*Tabela2[[#This Row],[kan_test_acc]]</f>
        <v>0.57777780294418302</v>
      </c>
      <c r="AH158">
        <f>1*Tabela2[[#This Row],[mlp_test_acc]]</f>
        <v>0.95555555555555505</v>
      </c>
      <c r="AI158">
        <f>1*Tabela2[[#This Row],[mlp2_test_acc]]</f>
        <v>0.95555555555555505</v>
      </c>
    </row>
    <row r="159" spans="1:35" x14ac:dyDescent="0.25">
      <c r="A159" t="s">
        <v>57</v>
      </c>
      <c r="B159" t="s">
        <v>814</v>
      </c>
      <c r="C159" t="s">
        <v>79</v>
      </c>
      <c r="D159" t="s">
        <v>898</v>
      </c>
      <c r="E159" t="s">
        <v>80</v>
      </c>
      <c r="F159" t="s">
        <v>73</v>
      </c>
      <c r="G159" t="s">
        <v>2771</v>
      </c>
      <c r="H159" t="s">
        <v>2772</v>
      </c>
      <c r="I159" t="s">
        <v>2773</v>
      </c>
      <c r="J159" t="s">
        <v>2660</v>
      </c>
      <c r="K159" t="s">
        <v>2682</v>
      </c>
      <c r="L159" t="s">
        <v>2683</v>
      </c>
      <c r="M159" t="s">
        <v>2433</v>
      </c>
      <c r="N159" t="s">
        <v>89</v>
      </c>
      <c r="O159" t="s">
        <v>89</v>
      </c>
      <c r="P159" t="s">
        <v>2774</v>
      </c>
      <c r="Q159" t="s">
        <v>2775</v>
      </c>
      <c r="R159" t="s">
        <v>2596</v>
      </c>
      <c r="S159" t="s">
        <v>93</v>
      </c>
      <c r="T159" t="s">
        <v>2597</v>
      </c>
      <c r="U159" t="s">
        <v>2433</v>
      </c>
      <c r="V159" t="s">
        <v>89</v>
      </c>
      <c r="W159" t="s">
        <v>89</v>
      </c>
      <c r="X159" t="s">
        <v>2776</v>
      </c>
      <c r="Y159" t="s">
        <v>2777</v>
      </c>
      <c r="Z159" t="s">
        <v>2778</v>
      </c>
      <c r="AA159" t="s">
        <v>93</v>
      </c>
      <c r="AB159" t="s">
        <v>2779</v>
      </c>
      <c r="AC159" t="s">
        <v>2780</v>
      </c>
      <c r="AF159">
        <f>1*Tabela2[[#This Row],[kan_params]]</f>
        <v>13437</v>
      </c>
      <c r="AG159">
        <f>1*Tabela2[[#This Row],[kan_test_acc]]</f>
        <v>0.57777780294418302</v>
      </c>
      <c r="AH159">
        <f>1*Tabela2[[#This Row],[mlp_test_acc]]</f>
        <v>0.95555555555555505</v>
      </c>
      <c r="AI159">
        <f>1*Tabela2[[#This Row],[mlp2_test_acc]]</f>
        <v>0.95555555555555505</v>
      </c>
    </row>
    <row r="160" spans="1:35" x14ac:dyDescent="0.25">
      <c r="A160" t="s">
        <v>57</v>
      </c>
      <c r="B160" t="s">
        <v>897</v>
      </c>
      <c r="C160" t="s">
        <v>79</v>
      </c>
      <c r="D160" t="s">
        <v>666</v>
      </c>
      <c r="E160" t="s">
        <v>80</v>
      </c>
      <c r="F160" t="s">
        <v>74</v>
      </c>
      <c r="G160" t="s">
        <v>2953</v>
      </c>
      <c r="H160" t="s">
        <v>2954</v>
      </c>
      <c r="I160" t="s">
        <v>2955</v>
      </c>
      <c r="J160" t="s">
        <v>2956</v>
      </c>
      <c r="K160" t="s">
        <v>2619</v>
      </c>
      <c r="L160" t="s">
        <v>2683</v>
      </c>
      <c r="M160" t="s">
        <v>2433</v>
      </c>
      <c r="N160" t="s">
        <v>2607</v>
      </c>
      <c r="O160" t="s">
        <v>89</v>
      </c>
      <c r="P160" t="s">
        <v>2957</v>
      </c>
      <c r="Q160" t="s">
        <v>2958</v>
      </c>
      <c r="R160" t="s">
        <v>2959</v>
      </c>
      <c r="S160" t="s">
        <v>93</v>
      </c>
      <c r="T160" t="s">
        <v>221</v>
      </c>
      <c r="U160" t="s">
        <v>2885</v>
      </c>
      <c r="V160" t="s">
        <v>2897</v>
      </c>
      <c r="W160" t="s">
        <v>2906</v>
      </c>
      <c r="X160" t="s">
        <v>160</v>
      </c>
      <c r="Y160" t="s">
        <v>2960</v>
      </c>
      <c r="Z160" t="s">
        <v>2961</v>
      </c>
      <c r="AA160" t="s">
        <v>93</v>
      </c>
      <c r="AB160" t="s">
        <v>639</v>
      </c>
      <c r="AC160" t="s">
        <v>2962</v>
      </c>
      <c r="AF160">
        <f>1*Tabela2[[#This Row],[kan_params]]</f>
        <v>18197</v>
      </c>
      <c r="AG160">
        <f>1*Tabela2[[#This Row],[kan_test_acc]]</f>
        <v>0.57777780294418302</v>
      </c>
      <c r="AH160">
        <f>1*Tabela2[[#This Row],[mlp_test_acc]]</f>
        <v>0.95555555555555505</v>
      </c>
      <c r="AI160">
        <f>1*Tabela2[[#This Row],[mlp2_test_acc]]</f>
        <v>0.71111111111111103</v>
      </c>
    </row>
    <row r="161" spans="1:35" x14ac:dyDescent="0.25">
      <c r="A161" t="s">
        <v>57</v>
      </c>
      <c r="B161" t="s">
        <v>897</v>
      </c>
      <c r="C161" t="s">
        <v>666</v>
      </c>
      <c r="D161" t="s">
        <v>898</v>
      </c>
      <c r="E161" t="s">
        <v>80</v>
      </c>
      <c r="F161" t="s">
        <v>66</v>
      </c>
      <c r="G161" t="s">
        <v>3435</v>
      </c>
      <c r="H161" t="s">
        <v>3436</v>
      </c>
      <c r="I161" t="s">
        <v>3437</v>
      </c>
      <c r="J161" t="s">
        <v>2814</v>
      </c>
      <c r="K161" t="s">
        <v>2682</v>
      </c>
      <c r="L161" t="s">
        <v>2683</v>
      </c>
      <c r="M161" t="s">
        <v>2498</v>
      </c>
      <c r="N161" t="s">
        <v>2443</v>
      </c>
      <c r="O161" t="s">
        <v>89</v>
      </c>
      <c r="P161" t="s">
        <v>3438</v>
      </c>
      <c r="Q161" t="s">
        <v>3439</v>
      </c>
      <c r="R161" t="s">
        <v>2557</v>
      </c>
      <c r="S161" t="s">
        <v>93</v>
      </c>
      <c r="T161" t="s">
        <v>374</v>
      </c>
      <c r="U161" t="s">
        <v>3440</v>
      </c>
      <c r="V161" t="s">
        <v>2607</v>
      </c>
      <c r="W161" t="s">
        <v>3441</v>
      </c>
      <c r="X161" t="s">
        <v>160</v>
      </c>
      <c r="Y161" t="s">
        <v>3442</v>
      </c>
      <c r="Z161" t="s">
        <v>2559</v>
      </c>
      <c r="AA161" t="s">
        <v>93</v>
      </c>
      <c r="AB161" t="s">
        <v>109</v>
      </c>
      <c r="AC161" t="s">
        <v>3443</v>
      </c>
      <c r="AF161">
        <f>1*Tabela2[[#This Row],[kan_params]]</f>
        <v>12239</v>
      </c>
      <c r="AG161">
        <f>1*Tabela2[[#This Row],[kan_test_acc]]</f>
        <v>0.57777780294418302</v>
      </c>
      <c r="AH161">
        <f>1*Tabela2[[#This Row],[mlp_test_acc]]</f>
        <v>0.97777777777777697</v>
      </c>
      <c r="AI161">
        <f>1*Tabela2[[#This Row],[mlp2_test_acc]]</f>
        <v>0.86666666666666603</v>
      </c>
    </row>
    <row r="162" spans="1:35" x14ac:dyDescent="0.25">
      <c r="A162" t="s">
        <v>57</v>
      </c>
      <c r="B162" t="s">
        <v>897</v>
      </c>
      <c r="C162" t="s">
        <v>666</v>
      </c>
      <c r="D162" t="s">
        <v>898</v>
      </c>
      <c r="E162" t="s">
        <v>80</v>
      </c>
      <c r="F162" t="s">
        <v>68</v>
      </c>
      <c r="G162" t="s">
        <v>3451</v>
      </c>
      <c r="H162" t="s">
        <v>3452</v>
      </c>
      <c r="I162" t="s">
        <v>3453</v>
      </c>
      <c r="J162" t="s">
        <v>3430</v>
      </c>
      <c r="K162" t="s">
        <v>2619</v>
      </c>
      <c r="L162" t="s">
        <v>2683</v>
      </c>
      <c r="M162" t="s">
        <v>2498</v>
      </c>
      <c r="N162" t="s">
        <v>2443</v>
      </c>
      <c r="O162" t="s">
        <v>89</v>
      </c>
      <c r="P162" t="s">
        <v>3438</v>
      </c>
      <c r="Q162" t="s">
        <v>3454</v>
      </c>
      <c r="R162" t="s">
        <v>2533</v>
      </c>
      <c r="S162" t="s">
        <v>93</v>
      </c>
      <c r="T162" t="s">
        <v>2534</v>
      </c>
      <c r="U162" t="s">
        <v>3179</v>
      </c>
      <c r="V162" t="s">
        <v>2607</v>
      </c>
      <c r="W162" t="s">
        <v>3441</v>
      </c>
      <c r="X162" t="s">
        <v>160</v>
      </c>
      <c r="Y162" t="s">
        <v>3455</v>
      </c>
      <c r="Z162" t="s">
        <v>2585</v>
      </c>
      <c r="AA162" t="s">
        <v>93</v>
      </c>
      <c r="AB162" t="s">
        <v>820</v>
      </c>
      <c r="AC162" t="s">
        <v>3456</v>
      </c>
      <c r="AF162">
        <f>1*Tabela2[[#This Row],[kan_params]]</f>
        <v>11228</v>
      </c>
      <c r="AG162">
        <f>1*Tabela2[[#This Row],[kan_test_acc]]</f>
        <v>0.57777780294418302</v>
      </c>
      <c r="AH162">
        <f>1*Tabela2[[#This Row],[mlp_test_acc]]</f>
        <v>0.97777777777777697</v>
      </c>
      <c r="AI162">
        <f>1*Tabela2[[#This Row],[mlp2_test_acc]]</f>
        <v>0.91111111111111098</v>
      </c>
    </row>
    <row r="163" spans="1:35" x14ac:dyDescent="0.25">
      <c r="A163" t="s">
        <v>57</v>
      </c>
      <c r="B163" t="s">
        <v>897</v>
      </c>
      <c r="C163" t="s">
        <v>666</v>
      </c>
      <c r="D163" t="s">
        <v>898</v>
      </c>
      <c r="E163" t="s">
        <v>80</v>
      </c>
      <c r="F163" t="s">
        <v>69</v>
      </c>
      <c r="G163" t="s">
        <v>3457</v>
      </c>
      <c r="H163" t="s">
        <v>3458</v>
      </c>
      <c r="I163" t="s">
        <v>3355</v>
      </c>
      <c r="J163" t="s">
        <v>3459</v>
      </c>
      <c r="K163" t="s">
        <v>2619</v>
      </c>
      <c r="L163" t="s">
        <v>2683</v>
      </c>
      <c r="M163" t="s">
        <v>2498</v>
      </c>
      <c r="N163" t="s">
        <v>2443</v>
      </c>
      <c r="O163" t="s">
        <v>89</v>
      </c>
      <c r="P163" t="s">
        <v>2883</v>
      </c>
      <c r="Q163" t="s">
        <v>3460</v>
      </c>
      <c r="R163" t="s">
        <v>2596</v>
      </c>
      <c r="S163" t="s">
        <v>93</v>
      </c>
      <c r="T163" t="s">
        <v>2597</v>
      </c>
      <c r="U163" t="s">
        <v>3440</v>
      </c>
      <c r="V163" t="s">
        <v>2607</v>
      </c>
      <c r="W163" t="s">
        <v>3441</v>
      </c>
      <c r="X163" t="s">
        <v>160</v>
      </c>
      <c r="Y163" t="s">
        <v>3461</v>
      </c>
      <c r="Z163" t="s">
        <v>2778</v>
      </c>
      <c r="AA163" t="s">
        <v>93</v>
      </c>
      <c r="AB163" t="s">
        <v>2779</v>
      </c>
      <c r="AC163" t="s">
        <v>3462</v>
      </c>
      <c r="AF163">
        <f>1*Tabela2[[#This Row],[kan_params]]</f>
        <v>13543</v>
      </c>
      <c r="AG163">
        <f>1*Tabela2[[#This Row],[kan_test_acc]]</f>
        <v>0.57777780294418302</v>
      </c>
      <c r="AH163">
        <f>1*Tabela2[[#This Row],[mlp_test_acc]]</f>
        <v>0.97777777777777697</v>
      </c>
      <c r="AI163">
        <f>1*Tabela2[[#This Row],[mlp2_test_acc]]</f>
        <v>0.86666666666666603</v>
      </c>
    </row>
    <row r="164" spans="1:35" x14ac:dyDescent="0.25">
      <c r="A164" t="s">
        <v>57</v>
      </c>
      <c r="B164" t="s">
        <v>2351</v>
      </c>
      <c r="C164" t="s">
        <v>1026</v>
      </c>
      <c r="D164" t="s">
        <v>666</v>
      </c>
      <c r="E164" t="s">
        <v>80</v>
      </c>
      <c r="F164" t="s">
        <v>74</v>
      </c>
      <c r="G164" t="s">
        <v>4067</v>
      </c>
      <c r="H164" t="s">
        <v>4068</v>
      </c>
      <c r="I164" t="s">
        <v>4069</v>
      </c>
      <c r="J164" t="s">
        <v>3603</v>
      </c>
      <c r="K164" t="s">
        <v>2671</v>
      </c>
      <c r="L164" t="s">
        <v>2683</v>
      </c>
      <c r="M164" t="s">
        <v>2433</v>
      </c>
      <c r="N164" t="s">
        <v>89</v>
      </c>
      <c r="O164" t="s">
        <v>89</v>
      </c>
      <c r="P164" t="s">
        <v>3618</v>
      </c>
      <c r="Q164" t="s">
        <v>4070</v>
      </c>
      <c r="R164" t="s">
        <v>4071</v>
      </c>
      <c r="S164" t="s">
        <v>93</v>
      </c>
      <c r="T164" t="s">
        <v>246</v>
      </c>
      <c r="U164" t="s">
        <v>2436</v>
      </c>
      <c r="V164" t="s">
        <v>89</v>
      </c>
      <c r="W164" t="s">
        <v>2453</v>
      </c>
      <c r="X164" t="s">
        <v>481</v>
      </c>
      <c r="Y164" t="s">
        <v>4072</v>
      </c>
      <c r="Z164" t="s">
        <v>4073</v>
      </c>
      <c r="AA164" t="s">
        <v>93</v>
      </c>
      <c r="AB164" t="s">
        <v>4074</v>
      </c>
      <c r="AC164" t="s">
        <v>4075</v>
      </c>
      <c r="AF164">
        <f>1*Tabela2[[#This Row],[kan_params]]</f>
        <v>23147</v>
      </c>
      <c r="AG164">
        <f>1*Tabela2[[#This Row],[kan_test_acc]]</f>
        <v>0.57777780294418302</v>
      </c>
      <c r="AH164">
        <f>1*Tabela2[[#This Row],[mlp_test_acc]]</f>
        <v>0.95555555555555505</v>
      </c>
      <c r="AI164">
        <f>1*Tabela2[[#This Row],[mlp2_test_acc]]</f>
        <v>0.93333333333333302</v>
      </c>
    </row>
    <row r="165" spans="1:35" x14ac:dyDescent="0.25">
      <c r="A165" t="s">
        <v>57</v>
      </c>
      <c r="B165" t="s">
        <v>897</v>
      </c>
      <c r="C165" t="s">
        <v>666</v>
      </c>
      <c r="D165" t="s">
        <v>898</v>
      </c>
      <c r="E165" t="s">
        <v>80</v>
      </c>
      <c r="F165" t="s">
        <v>73</v>
      </c>
      <c r="G165" t="s">
        <v>3483</v>
      </c>
      <c r="H165" t="s">
        <v>3484</v>
      </c>
      <c r="I165" t="s">
        <v>3485</v>
      </c>
      <c r="J165" t="s">
        <v>3446</v>
      </c>
      <c r="K165" t="s">
        <v>2682</v>
      </c>
      <c r="L165" t="s">
        <v>3486</v>
      </c>
      <c r="M165" t="s">
        <v>3179</v>
      </c>
      <c r="N165" t="s">
        <v>2443</v>
      </c>
      <c r="O165" t="s">
        <v>89</v>
      </c>
      <c r="P165" t="s">
        <v>965</v>
      </c>
      <c r="Q165" t="s">
        <v>3487</v>
      </c>
      <c r="R165" t="s">
        <v>2750</v>
      </c>
      <c r="S165" t="s">
        <v>93</v>
      </c>
      <c r="T165" t="s">
        <v>2751</v>
      </c>
      <c r="U165" t="s">
        <v>3488</v>
      </c>
      <c r="V165" t="s">
        <v>2443</v>
      </c>
      <c r="W165" t="s">
        <v>3489</v>
      </c>
      <c r="X165" t="s">
        <v>160</v>
      </c>
      <c r="Y165" t="s">
        <v>3490</v>
      </c>
      <c r="Z165" t="s">
        <v>2896</v>
      </c>
      <c r="AA165" t="s">
        <v>93</v>
      </c>
      <c r="AB165" t="s">
        <v>123</v>
      </c>
      <c r="AC165" t="s">
        <v>3491</v>
      </c>
      <c r="AF165">
        <f>1*Tabela2[[#This Row],[kan_params]]</f>
        <v>14847</v>
      </c>
      <c r="AG165">
        <f>1*Tabela2[[#This Row],[kan_test_acc]]</f>
        <v>0.55555558204650801</v>
      </c>
      <c r="AH165">
        <f>1*Tabela2[[#This Row],[mlp_test_acc]]</f>
        <v>0.91111111111111098</v>
      </c>
      <c r="AI165">
        <f>1*Tabela2[[#This Row],[mlp2_test_acc]]</f>
        <v>0.82222222222222197</v>
      </c>
    </row>
    <row r="166" spans="1:35" x14ac:dyDescent="0.25">
      <c r="A166" t="s">
        <v>57</v>
      </c>
      <c r="B166" t="s">
        <v>1297</v>
      </c>
      <c r="C166" t="s">
        <v>1026</v>
      </c>
      <c r="D166" t="s">
        <v>898</v>
      </c>
      <c r="E166" t="s">
        <v>80</v>
      </c>
      <c r="F166" t="s">
        <v>69</v>
      </c>
      <c r="G166" t="s">
        <v>3891</v>
      </c>
      <c r="H166" t="s">
        <v>3892</v>
      </c>
      <c r="I166" t="s">
        <v>3893</v>
      </c>
      <c r="J166" t="s">
        <v>2618</v>
      </c>
      <c r="K166" t="s">
        <v>2694</v>
      </c>
      <c r="L166" t="s">
        <v>3486</v>
      </c>
      <c r="M166" t="s">
        <v>89</v>
      </c>
      <c r="N166" t="s">
        <v>89</v>
      </c>
      <c r="O166" t="s">
        <v>89</v>
      </c>
      <c r="P166" t="s">
        <v>3894</v>
      </c>
      <c r="Q166" t="s">
        <v>3895</v>
      </c>
      <c r="R166" t="s">
        <v>2792</v>
      </c>
      <c r="S166" t="s">
        <v>93</v>
      </c>
      <c r="T166" t="s">
        <v>624</v>
      </c>
      <c r="U166" t="s">
        <v>2436</v>
      </c>
      <c r="V166" t="s">
        <v>89</v>
      </c>
      <c r="W166" t="s">
        <v>3896</v>
      </c>
      <c r="X166" t="s">
        <v>2187</v>
      </c>
      <c r="Y166" t="s">
        <v>3897</v>
      </c>
      <c r="Z166" t="s">
        <v>2925</v>
      </c>
      <c r="AA166" t="s">
        <v>93</v>
      </c>
      <c r="AB166" t="s">
        <v>629</v>
      </c>
      <c r="AC166" t="s">
        <v>3898</v>
      </c>
      <c r="AF166">
        <f>1*Tabela2[[#This Row],[kan_params]]</f>
        <v>16115</v>
      </c>
      <c r="AG166">
        <f>1*Tabela2[[#This Row],[kan_test_acc]]</f>
        <v>0.55555558204650801</v>
      </c>
      <c r="AH166">
        <f>1*Tabela2[[#This Row],[mlp_test_acc]]</f>
        <v>1</v>
      </c>
      <c r="AI166">
        <f>1*Tabela2[[#This Row],[mlp2_test_acc]]</f>
        <v>0.93333333333333302</v>
      </c>
    </row>
    <row r="167" spans="1:35" x14ac:dyDescent="0.25">
      <c r="A167" t="s">
        <v>57</v>
      </c>
      <c r="B167" t="s">
        <v>2351</v>
      </c>
      <c r="C167" t="s">
        <v>1026</v>
      </c>
      <c r="D167" t="s">
        <v>666</v>
      </c>
      <c r="E167" t="s">
        <v>80</v>
      </c>
      <c r="F167" t="s">
        <v>68</v>
      </c>
      <c r="G167" t="s">
        <v>4019</v>
      </c>
      <c r="H167" t="s">
        <v>4020</v>
      </c>
      <c r="I167" t="s">
        <v>4021</v>
      </c>
      <c r="J167" t="s">
        <v>3532</v>
      </c>
      <c r="K167" t="s">
        <v>2705</v>
      </c>
      <c r="L167" t="s">
        <v>3486</v>
      </c>
      <c r="M167" t="s">
        <v>3179</v>
      </c>
      <c r="N167" t="s">
        <v>89</v>
      </c>
      <c r="O167" t="s">
        <v>89</v>
      </c>
      <c r="P167" t="s">
        <v>3618</v>
      </c>
      <c r="Q167" t="s">
        <v>4022</v>
      </c>
      <c r="R167" t="s">
        <v>2750</v>
      </c>
      <c r="S167" t="s">
        <v>93</v>
      </c>
      <c r="T167" t="s">
        <v>2751</v>
      </c>
      <c r="U167" t="s">
        <v>3179</v>
      </c>
      <c r="V167" t="s">
        <v>89</v>
      </c>
      <c r="W167" t="s">
        <v>3441</v>
      </c>
      <c r="X167" t="s">
        <v>2140</v>
      </c>
      <c r="Y167" t="s">
        <v>4023</v>
      </c>
      <c r="Z167" t="s">
        <v>2896</v>
      </c>
      <c r="AA167" t="s">
        <v>93</v>
      </c>
      <c r="AB167" t="s">
        <v>123</v>
      </c>
      <c r="AC167" t="s">
        <v>4024</v>
      </c>
      <c r="AF167">
        <f>1*Tabela2[[#This Row],[kan_params]]</f>
        <v>14959</v>
      </c>
      <c r="AG167">
        <f>1*Tabela2[[#This Row],[kan_test_acc]]</f>
        <v>0.55555558204650801</v>
      </c>
      <c r="AH167">
        <f>1*Tabela2[[#This Row],[mlp_test_acc]]</f>
        <v>0.91111111111111098</v>
      </c>
      <c r="AI167">
        <f>1*Tabela2[[#This Row],[mlp2_test_acc]]</f>
        <v>0.91111111111111098</v>
      </c>
    </row>
    <row r="168" spans="1:35" x14ac:dyDescent="0.25">
      <c r="A168" t="s">
        <v>57</v>
      </c>
      <c r="B168" t="s">
        <v>2351</v>
      </c>
      <c r="C168" t="s">
        <v>1026</v>
      </c>
      <c r="D168" t="s">
        <v>666</v>
      </c>
      <c r="E168" t="s">
        <v>80</v>
      </c>
      <c r="F168" t="s">
        <v>69</v>
      </c>
      <c r="G168" t="s">
        <v>4025</v>
      </c>
      <c r="H168" t="s">
        <v>4026</v>
      </c>
      <c r="I168" t="s">
        <v>4027</v>
      </c>
      <c r="J168" t="s">
        <v>3603</v>
      </c>
      <c r="K168" t="s">
        <v>2694</v>
      </c>
      <c r="L168" t="s">
        <v>3486</v>
      </c>
      <c r="M168" t="s">
        <v>2436</v>
      </c>
      <c r="N168" t="s">
        <v>89</v>
      </c>
      <c r="O168" t="s">
        <v>89</v>
      </c>
      <c r="P168" t="s">
        <v>4028</v>
      </c>
      <c r="Q168" t="s">
        <v>4029</v>
      </c>
      <c r="R168" t="s">
        <v>2959</v>
      </c>
      <c r="S168" t="s">
        <v>93</v>
      </c>
      <c r="T168" t="s">
        <v>221</v>
      </c>
      <c r="U168" t="s">
        <v>2436</v>
      </c>
      <c r="V168" t="s">
        <v>89</v>
      </c>
      <c r="W168" t="s">
        <v>89</v>
      </c>
      <c r="X168" t="s">
        <v>4030</v>
      </c>
      <c r="Y168" t="s">
        <v>4031</v>
      </c>
      <c r="Z168" t="s">
        <v>2961</v>
      </c>
      <c r="AA168" t="s">
        <v>93</v>
      </c>
      <c r="AB168" t="s">
        <v>639</v>
      </c>
      <c r="AC168" t="s">
        <v>4032</v>
      </c>
      <c r="AF168">
        <f>1*Tabela2[[#This Row],[kan_params]]</f>
        <v>18044</v>
      </c>
      <c r="AG168">
        <f>1*Tabela2[[#This Row],[kan_test_acc]]</f>
        <v>0.55555558204650801</v>
      </c>
      <c r="AH168">
        <f>1*Tabela2[[#This Row],[mlp_test_acc]]</f>
        <v>0.93333333333333302</v>
      </c>
      <c r="AI168">
        <f>1*Tabela2[[#This Row],[mlp2_test_acc]]</f>
        <v>0.93333333333333302</v>
      </c>
    </row>
    <row r="169" spans="1:35" x14ac:dyDescent="0.25">
      <c r="A169" t="s">
        <v>57</v>
      </c>
      <c r="B169" t="s">
        <v>2351</v>
      </c>
      <c r="C169" t="s">
        <v>1026</v>
      </c>
      <c r="D169" t="s">
        <v>666</v>
      </c>
      <c r="E169" t="s">
        <v>80</v>
      </c>
      <c r="F169" t="s">
        <v>76</v>
      </c>
      <c r="G169" t="s">
        <v>4083</v>
      </c>
      <c r="H169" t="s">
        <v>4084</v>
      </c>
      <c r="I169" t="s">
        <v>4085</v>
      </c>
      <c r="J169" t="s">
        <v>3430</v>
      </c>
      <c r="K169" t="s">
        <v>2431</v>
      </c>
      <c r="L169" t="s">
        <v>3486</v>
      </c>
      <c r="M169" t="s">
        <v>3179</v>
      </c>
      <c r="N169" t="s">
        <v>2443</v>
      </c>
      <c r="O169" t="s">
        <v>89</v>
      </c>
      <c r="P169" t="s">
        <v>4086</v>
      </c>
      <c r="Q169" t="s">
        <v>4087</v>
      </c>
      <c r="R169" t="s">
        <v>3089</v>
      </c>
      <c r="S169" t="s">
        <v>93</v>
      </c>
      <c r="T169" t="s">
        <v>1592</v>
      </c>
      <c r="U169" t="s">
        <v>3179</v>
      </c>
      <c r="V169" t="s">
        <v>2607</v>
      </c>
      <c r="W169" t="s">
        <v>89</v>
      </c>
      <c r="X169" t="s">
        <v>4088</v>
      </c>
      <c r="Y169" t="s">
        <v>4089</v>
      </c>
      <c r="Z169" t="s">
        <v>2652</v>
      </c>
      <c r="AA169" t="s">
        <v>93</v>
      </c>
      <c r="AB169" t="s">
        <v>2021</v>
      </c>
      <c r="AC169" t="s">
        <v>4090</v>
      </c>
      <c r="AF169">
        <f>1*Tabela2[[#This Row],[kan_params]]</f>
        <v>4044</v>
      </c>
      <c r="AG169">
        <f>1*Tabela2[[#This Row],[kan_test_acc]]</f>
        <v>0.55555558204650801</v>
      </c>
      <c r="AH169">
        <f>1*Tabela2[[#This Row],[mlp_test_acc]]</f>
        <v>0.91111111111111098</v>
      </c>
      <c r="AI169">
        <f>1*Tabela2[[#This Row],[mlp2_test_acc]]</f>
        <v>0.91111111111111098</v>
      </c>
    </row>
    <row r="170" spans="1:35" x14ac:dyDescent="0.25">
      <c r="A170" t="s">
        <v>57</v>
      </c>
      <c r="B170" t="s">
        <v>897</v>
      </c>
      <c r="C170" t="s">
        <v>79</v>
      </c>
      <c r="D170" t="s">
        <v>666</v>
      </c>
      <c r="E170" t="s">
        <v>80</v>
      </c>
      <c r="F170" t="s">
        <v>58</v>
      </c>
      <c r="G170" t="s">
        <v>2811</v>
      </c>
      <c r="H170" t="s">
        <v>2812</v>
      </c>
      <c r="I170" t="s">
        <v>2813</v>
      </c>
      <c r="J170" t="s">
        <v>2814</v>
      </c>
      <c r="K170" t="s">
        <v>2640</v>
      </c>
      <c r="L170" t="s">
        <v>2815</v>
      </c>
      <c r="M170" t="s">
        <v>2433</v>
      </c>
      <c r="N170" t="s">
        <v>89</v>
      </c>
      <c r="O170" t="s">
        <v>89</v>
      </c>
      <c r="P170" t="s">
        <v>2816</v>
      </c>
      <c r="Q170" t="s">
        <v>2817</v>
      </c>
      <c r="R170" t="s">
        <v>2486</v>
      </c>
      <c r="S170" t="s">
        <v>93</v>
      </c>
      <c r="T170" t="s">
        <v>281</v>
      </c>
      <c r="U170" t="s">
        <v>2433</v>
      </c>
      <c r="V170" t="s">
        <v>89</v>
      </c>
      <c r="W170" t="s">
        <v>89</v>
      </c>
      <c r="X170" t="s">
        <v>2818</v>
      </c>
      <c r="Y170" t="s">
        <v>2819</v>
      </c>
      <c r="Z170" t="s">
        <v>2489</v>
      </c>
      <c r="AA170" t="s">
        <v>93</v>
      </c>
      <c r="AB170" t="s">
        <v>285</v>
      </c>
      <c r="AC170" t="s">
        <v>2820</v>
      </c>
      <c r="AF170">
        <f>1*Tabela2[[#This Row],[kan_params]]</f>
        <v>8323</v>
      </c>
      <c r="AG170">
        <f>1*Tabela2[[#This Row],[kan_test_acc]]</f>
        <v>0.53333336114883401</v>
      </c>
      <c r="AH170">
        <f>1*Tabela2[[#This Row],[mlp_test_acc]]</f>
        <v>0.95555555555555505</v>
      </c>
      <c r="AI170">
        <f>1*Tabela2[[#This Row],[mlp2_test_acc]]</f>
        <v>0.95555555555555505</v>
      </c>
    </row>
    <row r="171" spans="1:35" x14ac:dyDescent="0.25">
      <c r="A171" t="s">
        <v>57</v>
      </c>
      <c r="B171" t="s">
        <v>897</v>
      </c>
      <c r="C171" t="s">
        <v>79</v>
      </c>
      <c r="D171" t="s">
        <v>666</v>
      </c>
      <c r="E171" t="s">
        <v>80</v>
      </c>
      <c r="F171" t="s">
        <v>66</v>
      </c>
      <c r="G171" t="s">
        <v>2880</v>
      </c>
      <c r="H171" t="s">
        <v>2881</v>
      </c>
      <c r="I171" t="s">
        <v>2882</v>
      </c>
      <c r="J171" t="s">
        <v>2670</v>
      </c>
      <c r="K171" t="s">
        <v>2682</v>
      </c>
      <c r="L171" t="s">
        <v>2815</v>
      </c>
      <c r="M171" t="s">
        <v>2498</v>
      </c>
      <c r="N171" t="s">
        <v>2607</v>
      </c>
      <c r="O171" t="s">
        <v>89</v>
      </c>
      <c r="P171" t="s">
        <v>2883</v>
      </c>
      <c r="Q171" t="s">
        <v>2884</v>
      </c>
      <c r="R171" t="s">
        <v>2719</v>
      </c>
      <c r="S171" t="s">
        <v>93</v>
      </c>
      <c r="T171" t="s">
        <v>113</v>
      </c>
      <c r="U171" t="s">
        <v>2885</v>
      </c>
      <c r="V171" t="s">
        <v>2886</v>
      </c>
      <c r="W171" t="s">
        <v>2887</v>
      </c>
      <c r="X171" t="s">
        <v>160</v>
      </c>
      <c r="Y171" t="s">
        <v>2888</v>
      </c>
      <c r="Z171" t="s">
        <v>2592</v>
      </c>
      <c r="AA171" t="s">
        <v>93</v>
      </c>
      <c r="AB171" t="s">
        <v>2593</v>
      </c>
      <c r="AC171" t="s">
        <v>2889</v>
      </c>
      <c r="AF171">
        <f>1*Tabela2[[#This Row],[kan_params]]</f>
        <v>12820</v>
      </c>
      <c r="AG171">
        <f>1*Tabela2[[#This Row],[kan_test_acc]]</f>
        <v>0.53333336114883401</v>
      </c>
      <c r="AH171">
        <f>1*Tabela2[[#This Row],[mlp_test_acc]]</f>
        <v>0.97777777777777697</v>
      </c>
      <c r="AI171">
        <f>1*Tabela2[[#This Row],[mlp2_test_acc]]</f>
        <v>0.71111111111111103</v>
      </c>
    </row>
    <row r="172" spans="1:35" x14ac:dyDescent="0.25">
      <c r="A172" t="s">
        <v>57</v>
      </c>
      <c r="B172" t="s">
        <v>897</v>
      </c>
      <c r="C172" t="s">
        <v>666</v>
      </c>
      <c r="D172" t="s">
        <v>898</v>
      </c>
      <c r="E172" t="s">
        <v>80</v>
      </c>
      <c r="F172" t="s">
        <v>64</v>
      </c>
      <c r="G172" t="s">
        <v>3420</v>
      </c>
      <c r="H172" t="s">
        <v>3421</v>
      </c>
      <c r="I172" t="s">
        <v>3422</v>
      </c>
      <c r="J172" t="s">
        <v>3423</v>
      </c>
      <c r="K172" t="s">
        <v>2682</v>
      </c>
      <c r="L172" t="s">
        <v>2815</v>
      </c>
      <c r="M172" t="s">
        <v>2498</v>
      </c>
      <c r="N172" t="s">
        <v>2443</v>
      </c>
      <c r="O172" t="s">
        <v>89</v>
      </c>
      <c r="P172" t="s">
        <v>2883</v>
      </c>
      <c r="Q172" t="s">
        <v>3424</v>
      </c>
      <c r="R172" t="s">
        <v>2719</v>
      </c>
      <c r="S172" t="s">
        <v>93</v>
      </c>
      <c r="T172" t="s">
        <v>113</v>
      </c>
      <c r="U172" t="s">
        <v>2436</v>
      </c>
      <c r="V172" t="s">
        <v>2607</v>
      </c>
      <c r="W172" t="s">
        <v>3395</v>
      </c>
      <c r="X172" t="s">
        <v>160</v>
      </c>
      <c r="Y172" t="s">
        <v>3425</v>
      </c>
      <c r="Z172" t="s">
        <v>2592</v>
      </c>
      <c r="AA172" t="s">
        <v>93</v>
      </c>
      <c r="AB172" t="s">
        <v>2593</v>
      </c>
      <c r="AC172" t="s">
        <v>3426</v>
      </c>
      <c r="AF172">
        <f>1*Tabela2[[#This Row],[kan_params]]</f>
        <v>12830</v>
      </c>
      <c r="AG172">
        <f>1*Tabela2[[#This Row],[kan_test_acc]]</f>
        <v>0.53333336114883401</v>
      </c>
      <c r="AH172">
        <f>1*Tabela2[[#This Row],[mlp_test_acc]]</f>
        <v>0.97777777777777697</v>
      </c>
      <c r="AI172">
        <f>1*Tabela2[[#This Row],[mlp2_test_acc]]</f>
        <v>0.93333333333333302</v>
      </c>
    </row>
    <row r="173" spans="1:35" x14ac:dyDescent="0.25">
      <c r="A173" t="s">
        <v>57</v>
      </c>
      <c r="B173" t="s">
        <v>897</v>
      </c>
      <c r="C173" t="s">
        <v>666</v>
      </c>
      <c r="D173" t="s">
        <v>898</v>
      </c>
      <c r="E173" t="s">
        <v>80</v>
      </c>
      <c r="F173" t="s">
        <v>67</v>
      </c>
      <c r="G173" t="s">
        <v>3444</v>
      </c>
      <c r="H173" t="s">
        <v>3445</v>
      </c>
      <c r="I173" t="s">
        <v>3338</v>
      </c>
      <c r="J173" t="s">
        <v>3446</v>
      </c>
      <c r="K173" t="s">
        <v>2640</v>
      </c>
      <c r="L173" t="s">
        <v>2815</v>
      </c>
      <c r="M173" t="s">
        <v>2498</v>
      </c>
      <c r="N173" t="s">
        <v>2443</v>
      </c>
      <c r="O173" t="s">
        <v>89</v>
      </c>
      <c r="P173" t="s">
        <v>1007</v>
      </c>
      <c r="Q173" t="s">
        <v>3447</v>
      </c>
      <c r="R173" t="s">
        <v>2747</v>
      </c>
      <c r="S173" t="s">
        <v>93</v>
      </c>
      <c r="T173" t="s">
        <v>558</v>
      </c>
      <c r="U173" t="s">
        <v>2436</v>
      </c>
      <c r="V173" t="s">
        <v>2607</v>
      </c>
      <c r="W173" t="s">
        <v>3448</v>
      </c>
      <c r="X173" t="s">
        <v>160</v>
      </c>
      <c r="Y173" t="s">
        <v>3449</v>
      </c>
      <c r="Z173" t="s">
        <v>2750</v>
      </c>
      <c r="AA173" t="s">
        <v>93</v>
      </c>
      <c r="AB173" t="s">
        <v>2751</v>
      </c>
      <c r="AC173" t="s">
        <v>3450</v>
      </c>
      <c r="AF173">
        <f>1*Tabela2[[#This Row],[kan_params]]</f>
        <v>14344</v>
      </c>
      <c r="AG173">
        <f>1*Tabela2[[#This Row],[kan_test_acc]]</f>
        <v>0.53333336114883401</v>
      </c>
      <c r="AH173">
        <f>1*Tabela2[[#This Row],[mlp_test_acc]]</f>
        <v>0.97777777777777697</v>
      </c>
      <c r="AI173">
        <f>1*Tabela2[[#This Row],[mlp2_test_acc]]</f>
        <v>0.93333333333333302</v>
      </c>
    </row>
    <row r="174" spans="1:35" x14ac:dyDescent="0.25">
      <c r="A174" t="s">
        <v>57</v>
      </c>
      <c r="B174" t="s">
        <v>959</v>
      </c>
      <c r="C174" t="s">
        <v>666</v>
      </c>
      <c r="D174" t="s">
        <v>666</v>
      </c>
      <c r="E174" t="s">
        <v>80</v>
      </c>
      <c r="F174" t="s">
        <v>66</v>
      </c>
      <c r="G174" t="s">
        <v>3573</v>
      </c>
      <c r="H174" t="s">
        <v>3574</v>
      </c>
      <c r="I174" t="s">
        <v>3575</v>
      </c>
      <c r="J174" t="s">
        <v>2715</v>
      </c>
      <c r="K174" t="s">
        <v>2619</v>
      </c>
      <c r="L174" t="s">
        <v>2815</v>
      </c>
      <c r="M174" t="s">
        <v>2436</v>
      </c>
      <c r="N174" t="s">
        <v>89</v>
      </c>
      <c r="O174" t="s">
        <v>89</v>
      </c>
      <c r="P174" t="s">
        <v>3569</v>
      </c>
      <c r="Q174" t="s">
        <v>3576</v>
      </c>
      <c r="R174" t="s">
        <v>2778</v>
      </c>
      <c r="S174" t="s">
        <v>93</v>
      </c>
      <c r="T174" t="s">
        <v>2779</v>
      </c>
      <c r="U174" t="s">
        <v>3179</v>
      </c>
      <c r="V174" t="s">
        <v>89</v>
      </c>
      <c r="W174" t="s">
        <v>3518</v>
      </c>
      <c r="X174" t="s">
        <v>2173</v>
      </c>
      <c r="Y174" t="s">
        <v>3577</v>
      </c>
      <c r="Z174" t="s">
        <v>2915</v>
      </c>
      <c r="AA174" t="s">
        <v>93</v>
      </c>
      <c r="AB174" t="s">
        <v>554</v>
      </c>
      <c r="AC174" t="s">
        <v>3578</v>
      </c>
      <c r="AF174">
        <f>1*Tabela2[[#This Row],[kan_params]]</f>
        <v>13982</v>
      </c>
      <c r="AG174">
        <f>1*Tabela2[[#This Row],[kan_test_acc]]</f>
        <v>0.53333336114883401</v>
      </c>
      <c r="AH174">
        <f>1*Tabela2[[#This Row],[mlp_test_acc]]</f>
        <v>0.93333333333333302</v>
      </c>
      <c r="AI174">
        <f>1*Tabela2[[#This Row],[mlp2_test_acc]]</f>
        <v>0.91111111111111098</v>
      </c>
    </row>
    <row r="175" spans="1:35" x14ac:dyDescent="0.25">
      <c r="A175" t="s">
        <v>57</v>
      </c>
      <c r="B175" t="s">
        <v>959</v>
      </c>
      <c r="C175" t="s">
        <v>666</v>
      </c>
      <c r="D175" t="s">
        <v>666</v>
      </c>
      <c r="E175" t="s">
        <v>80</v>
      </c>
      <c r="F175" t="s">
        <v>73</v>
      </c>
      <c r="G175" t="s">
        <v>3622</v>
      </c>
      <c r="H175" t="s">
        <v>3623</v>
      </c>
      <c r="I175" t="s">
        <v>3624</v>
      </c>
      <c r="J175" t="s">
        <v>2814</v>
      </c>
      <c r="K175" t="s">
        <v>2671</v>
      </c>
      <c r="L175" t="s">
        <v>2815</v>
      </c>
      <c r="M175" t="s">
        <v>3006</v>
      </c>
      <c r="N175" t="s">
        <v>2607</v>
      </c>
      <c r="O175" t="s">
        <v>89</v>
      </c>
      <c r="P175" t="s">
        <v>3618</v>
      </c>
      <c r="Q175" t="s">
        <v>3625</v>
      </c>
      <c r="R175" t="s">
        <v>2927</v>
      </c>
      <c r="S175" t="s">
        <v>93</v>
      </c>
      <c r="T175" t="s">
        <v>854</v>
      </c>
      <c r="U175" t="s">
        <v>3006</v>
      </c>
      <c r="V175" t="s">
        <v>2607</v>
      </c>
      <c r="W175" t="s">
        <v>3448</v>
      </c>
      <c r="X175" t="s">
        <v>160</v>
      </c>
      <c r="Y175" t="s">
        <v>3626</v>
      </c>
      <c r="Z175" t="s">
        <v>3497</v>
      </c>
      <c r="AA175" t="s">
        <v>93</v>
      </c>
      <c r="AB175" t="s">
        <v>857</v>
      </c>
      <c r="AC175" t="s">
        <v>3627</v>
      </c>
      <c r="AF175">
        <f>1*Tabela2[[#This Row],[kan_params]]</f>
        <v>16962</v>
      </c>
      <c r="AG175">
        <f>1*Tabela2[[#This Row],[kan_test_acc]]</f>
        <v>0.53333336114883401</v>
      </c>
      <c r="AH175">
        <f>1*Tabela2[[#This Row],[mlp_test_acc]]</f>
        <v>0.88888888888888795</v>
      </c>
      <c r="AI175">
        <f>1*Tabela2[[#This Row],[mlp2_test_acc]]</f>
        <v>0.88888888888888795</v>
      </c>
    </row>
    <row r="176" spans="1:35" x14ac:dyDescent="0.25">
      <c r="A176" t="s">
        <v>57</v>
      </c>
      <c r="B176" t="s">
        <v>1297</v>
      </c>
      <c r="C176" t="s">
        <v>1026</v>
      </c>
      <c r="D176" t="s">
        <v>898</v>
      </c>
      <c r="E176" t="s">
        <v>80</v>
      </c>
      <c r="F176" t="s">
        <v>62</v>
      </c>
      <c r="G176" t="s">
        <v>3844</v>
      </c>
      <c r="H176" t="s">
        <v>3845</v>
      </c>
      <c r="I176" t="s">
        <v>3846</v>
      </c>
      <c r="J176" t="s">
        <v>3386</v>
      </c>
      <c r="K176" t="s">
        <v>2641</v>
      </c>
      <c r="L176" t="s">
        <v>2815</v>
      </c>
      <c r="M176" t="s">
        <v>89</v>
      </c>
      <c r="N176" t="s">
        <v>2443</v>
      </c>
      <c r="O176" t="s">
        <v>89</v>
      </c>
      <c r="P176" t="s">
        <v>3847</v>
      </c>
      <c r="Q176" t="s">
        <v>3848</v>
      </c>
      <c r="R176" t="s">
        <v>2551</v>
      </c>
      <c r="S176" t="s">
        <v>93</v>
      </c>
      <c r="T176" t="s">
        <v>1860</v>
      </c>
      <c r="U176" t="s">
        <v>3006</v>
      </c>
      <c r="V176" t="s">
        <v>2443</v>
      </c>
      <c r="W176" t="s">
        <v>3441</v>
      </c>
      <c r="X176" t="s">
        <v>160</v>
      </c>
      <c r="Y176" t="s">
        <v>3849</v>
      </c>
      <c r="Z176" t="s">
        <v>2531</v>
      </c>
      <c r="AA176" t="s">
        <v>93</v>
      </c>
      <c r="AB176" t="s">
        <v>2098</v>
      </c>
      <c r="AC176" t="s">
        <v>3850</v>
      </c>
      <c r="AF176">
        <f>1*Tabela2[[#This Row],[kan_params]]</f>
        <v>10756</v>
      </c>
      <c r="AG176">
        <f>1*Tabela2[[#This Row],[kan_test_acc]]</f>
        <v>0.53333336114883401</v>
      </c>
      <c r="AH176">
        <f>1*Tabela2[[#This Row],[mlp_test_acc]]</f>
        <v>1</v>
      </c>
      <c r="AI176">
        <f>1*Tabela2[[#This Row],[mlp2_test_acc]]</f>
        <v>0.88888888888888795</v>
      </c>
    </row>
    <row r="177" spans="1:35" x14ac:dyDescent="0.25">
      <c r="A177" t="s">
        <v>57</v>
      </c>
      <c r="B177" t="s">
        <v>814</v>
      </c>
      <c r="C177" t="s">
        <v>79</v>
      </c>
      <c r="D177" t="s">
        <v>898</v>
      </c>
      <c r="E177" t="s">
        <v>80</v>
      </c>
      <c r="F177" t="s">
        <v>58</v>
      </c>
      <c r="G177" t="s">
        <v>2615</v>
      </c>
      <c r="H177" t="s">
        <v>2616</v>
      </c>
      <c r="I177" t="s">
        <v>2617</v>
      </c>
      <c r="J177" t="s">
        <v>2618</v>
      </c>
      <c r="K177" t="s">
        <v>2619</v>
      </c>
      <c r="L177" t="s">
        <v>2620</v>
      </c>
      <c r="M177" t="s">
        <v>2433</v>
      </c>
      <c r="N177" t="s">
        <v>89</v>
      </c>
      <c r="O177" t="s">
        <v>89</v>
      </c>
      <c r="P177" t="s">
        <v>2621</v>
      </c>
      <c r="Q177" t="s">
        <v>2622</v>
      </c>
      <c r="R177" t="s">
        <v>2479</v>
      </c>
      <c r="S177" t="s">
        <v>93</v>
      </c>
      <c r="T177" t="s">
        <v>2198</v>
      </c>
      <c r="U177" t="s">
        <v>2433</v>
      </c>
      <c r="V177" t="s">
        <v>89</v>
      </c>
      <c r="W177" t="s">
        <v>89</v>
      </c>
      <c r="X177" t="s">
        <v>2623</v>
      </c>
      <c r="Y177" t="s">
        <v>2624</v>
      </c>
      <c r="Z177" t="s">
        <v>2445</v>
      </c>
      <c r="AA177" t="s">
        <v>93</v>
      </c>
      <c r="AB177" t="s">
        <v>2446</v>
      </c>
      <c r="AC177" t="s">
        <v>2625</v>
      </c>
      <c r="AF177">
        <f>1*Tabela2[[#This Row],[kan_params]]</f>
        <v>7192</v>
      </c>
      <c r="AG177">
        <f>1*Tabela2[[#This Row],[kan_test_acc]]</f>
        <v>0.511111140251159</v>
      </c>
      <c r="AH177">
        <f>1*Tabela2[[#This Row],[mlp_test_acc]]</f>
        <v>0.95555555555555505</v>
      </c>
      <c r="AI177">
        <f>1*Tabela2[[#This Row],[mlp2_test_acc]]</f>
        <v>0.95555555555555505</v>
      </c>
    </row>
    <row r="178" spans="1:35" x14ac:dyDescent="0.25">
      <c r="A178" t="s">
        <v>57</v>
      </c>
      <c r="B178" t="s">
        <v>897</v>
      </c>
      <c r="C178" t="s">
        <v>666</v>
      </c>
      <c r="D178" t="s">
        <v>898</v>
      </c>
      <c r="E178" t="s">
        <v>80</v>
      </c>
      <c r="F178" t="s">
        <v>59</v>
      </c>
      <c r="G178" t="s">
        <v>3383</v>
      </c>
      <c r="H178" t="s">
        <v>3384</v>
      </c>
      <c r="I178" t="s">
        <v>3385</v>
      </c>
      <c r="J178" t="s">
        <v>3386</v>
      </c>
      <c r="K178" t="s">
        <v>2682</v>
      </c>
      <c r="L178" t="s">
        <v>2620</v>
      </c>
      <c r="M178" t="s">
        <v>2433</v>
      </c>
      <c r="N178" t="s">
        <v>2443</v>
      </c>
      <c r="O178" t="s">
        <v>89</v>
      </c>
      <c r="P178" t="s">
        <v>3387</v>
      </c>
      <c r="Q178" t="s">
        <v>3388</v>
      </c>
      <c r="R178" t="s">
        <v>2522</v>
      </c>
      <c r="S178" t="s">
        <v>93</v>
      </c>
      <c r="T178" t="s">
        <v>2523</v>
      </c>
      <c r="U178" t="s">
        <v>3133</v>
      </c>
      <c r="V178" t="s">
        <v>3290</v>
      </c>
      <c r="W178" t="s">
        <v>3229</v>
      </c>
      <c r="X178" t="s">
        <v>160</v>
      </c>
      <c r="Y178" t="s">
        <v>3389</v>
      </c>
      <c r="Z178" t="s">
        <v>2496</v>
      </c>
      <c r="AA178" t="s">
        <v>93</v>
      </c>
      <c r="AB178" t="s">
        <v>2497</v>
      </c>
      <c r="AC178" t="s">
        <v>3390</v>
      </c>
      <c r="AF178">
        <f>1*Tabela2[[#This Row],[kan_params]]</f>
        <v>9631</v>
      </c>
      <c r="AG178">
        <f>1*Tabela2[[#This Row],[kan_test_acc]]</f>
        <v>0.511111140251159</v>
      </c>
      <c r="AH178">
        <f>1*Tabela2[[#This Row],[mlp_test_acc]]</f>
        <v>0.95555555555555505</v>
      </c>
      <c r="AI178">
        <f>1*Tabela2[[#This Row],[mlp2_test_acc]]</f>
        <v>0.28888888888888797</v>
      </c>
    </row>
    <row r="179" spans="1:35" x14ac:dyDescent="0.25">
      <c r="A179" t="s">
        <v>57</v>
      </c>
      <c r="B179" t="s">
        <v>959</v>
      </c>
      <c r="C179" t="s">
        <v>666</v>
      </c>
      <c r="D179" t="s">
        <v>666</v>
      </c>
      <c r="E179" t="s">
        <v>80</v>
      </c>
      <c r="F179" t="s">
        <v>67</v>
      </c>
      <c r="G179" t="s">
        <v>3579</v>
      </c>
      <c r="H179" t="s">
        <v>3580</v>
      </c>
      <c r="I179" t="s">
        <v>3581</v>
      </c>
      <c r="J179" t="s">
        <v>3430</v>
      </c>
      <c r="K179" t="s">
        <v>2431</v>
      </c>
      <c r="L179" t="s">
        <v>2620</v>
      </c>
      <c r="M179" t="s">
        <v>2436</v>
      </c>
      <c r="N179" t="s">
        <v>89</v>
      </c>
      <c r="O179" t="s">
        <v>89</v>
      </c>
      <c r="P179" t="s">
        <v>3582</v>
      </c>
      <c r="Q179" t="s">
        <v>3583</v>
      </c>
      <c r="R179" t="s">
        <v>2792</v>
      </c>
      <c r="S179" t="s">
        <v>93</v>
      </c>
      <c r="T179" t="s">
        <v>624</v>
      </c>
      <c r="U179" t="s">
        <v>3179</v>
      </c>
      <c r="V179" t="s">
        <v>89</v>
      </c>
      <c r="W179" t="s">
        <v>3518</v>
      </c>
      <c r="X179" t="s">
        <v>160</v>
      </c>
      <c r="Y179" t="s">
        <v>3584</v>
      </c>
      <c r="Z179" t="s">
        <v>2925</v>
      </c>
      <c r="AA179" t="s">
        <v>93</v>
      </c>
      <c r="AB179" t="s">
        <v>629</v>
      </c>
      <c r="AC179" t="s">
        <v>3585</v>
      </c>
      <c r="AF179">
        <f>1*Tabela2[[#This Row],[kan_params]]</f>
        <v>16387</v>
      </c>
      <c r="AG179">
        <f>1*Tabela2[[#This Row],[kan_test_acc]]</f>
        <v>0.511111140251159</v>
      </c>
      <c r="AH179">
        <f>1*Tabela2[[#This Row],[mlp_test_acc]]</f>
        <v>0.93333333333333302</v>
      </c>
      <c r="AI179">
        <f>1*Tabela2[[#This Row],[mlp2_test_acc]]</f>
        <v>0.91111111111111098</v>
      </c>
    </row>
    <row r="180" spans="1:35" x14ac:dyDescent="0.25">
      <c r="A180" t="s">
        <v>57</v>
      </c>
      <c r="B180" t="s">
        <v>1297</v>
      </c>
      <c r="C180" t="s">
        <v>1026</v>
      </c>
      <c r="D180" t="s">
        <v>898</v>
      </c>
      <c r="E180" t="s">
        <v>80</v>
      </c>
      <c r="F180" t="s">
        <v>63</v>
      </c>
      <c r="G180" t="s">
        <v>3851</v>
      </c>
      <c r="H180" t="s">
        <v>3852</v>
      </c>
      <c r="I180" t="s">
        <v>3853</v>
      </c>
      <c r="J180" t="s">
        <v>3568</v>
      </c>
      <c r="K180" t="s">
        <v>2694</v>
      </c>
      <c r="L180" t="s">
        <v>2620</v>
      </c>
      <c r="M180" t="s">
        <v>89</v>
      </c>
      <c r="N180" t="s">
        <v>2443</v>
      </c>
      <c r="O180" t="s">
        <v>89</v>
      </c>
      <c r="P180" t="s">
        <v>3666</v>
      </c>
      <c r="Q180" t="s">
        <v>3854</v>
      </c>
      <c r="R180" t="s">
        <v>2592</v>
      </c>
      <c r="S180" t="s">
        <v>93</v>
      </c>
      <c r="T180" t="s">
        <v>2593</v>
      </c>
      <c r="U180" t="s">
        <v>3006</v>
      </c>
      <c r="V180" t="s">
        <v>2443</v>
      </c>
      <c r="W180" t="s">
        <v>3489</v>
      </c>
      <c r="X180" t="s">
        <v>160</v>
      </c>
      <c r="Y180" t="s">
        <v>3855</v>
      </c>
      <c r="Z180" t="s">
        <v>2596</v>
      </c>
      <c r="AA180" t="s">
        <v>93</v>
      </c>
      <c r="AB180" t="s">
        <v>2597</v>
      </c>
      <c r="AC180" t="s">
        <v>3856</v>
      </c>
      <c r="AF180">
        <f>1*Tabela2[[#This Row],[kan_params]]</f>
        <v>13011</v>
      </c>
      <c r="AG180">
        <f>1*Tabela2[[#This Row],[kan_test_acc]]</f>
        <v>0.511111140251159</v>
      </c>
      <c r="AH180">
        <f>1*Tabela2[[#This Row],[mlp_test_acc]]</f>
        <v>1</v>
      </c>
      <c r="AI180">
        <f>1*Tabela2[[#This Row],[mlp2_test_acc]]</f>
        <v>0.88888888888888795</v>
      </c>
    </row>
    <row r="181" spans="1:35" x14ac:dyDescent="0.25">
      <c r="A181" t="s">
        <v>57</v>
      </c>
      <c r="B181" t="s">
        <v>814</v>
      </c>
      <c r="C181" t="s">
        <v>79</v>
      </c>
      <c r="D181" t="s">
        <v>898</v>
      </c>
      <c r="E181" t="s">
        <v>80</v>
      </c>
      <c r="F181" t="s">
        <v>59</v>
      </c>
      <c r="G181" t="s">
        <v>2626</v>
      </c>
      <c r="H181" t="s">
        <v>2627</v>
      </c>
      <c r="I181" t="s">
        <v>2628</v>
      </c>
      <c r="J181" t="s">
        <v>2629</v>
      </c>
      <c r="K181" t="s">
        <v>2619</v>
      </c>
      <c r="L181" t="s">
        <v>2630</v>
      </c>
      <c r="M181" t="s">
        <v>2436</v>
      </c>
      <c r="N181" t="s">
        <v>2443</v>
      </c>
      <c r="O181" t="s">
        <v>89</v>
      </c>
      <c r="P181" t="s">
        <v>2631</v>
      </c>
      <c r="Q181" t="s">
        <v>2632</v>
      </c>
      <c r="R181" t="s">
        <v>2456</v>
      </c>
      <c r="S181" t="s">
        <v>93</v>
      </c>
      <c r="T181" t="s">
        <v>2257</v>
      </c>
      <c r="U181" t="s">
        <v>2433</v>
      </c>
      <c r="V181" t="s">
        <v>89</v>
      </c>
      <c r="W181" t="s">
        <v>89</v>
      </c>
      <c r="X181" t="s">
        <v>2633</v>
      </c>
      <c r="Y181" t="s">
        <v>2634</v>
      </c>
      <c r="Z181" t="s">
        <v>2459</v>
      </c>
      <c r="AA181" t="s">
        <v>93</v>
      </c>
      <c r="AB181" t="s">
        <v>2460</v>
      </c>
      <c r="AC181" t="s">
        <v>2635</v>
      </c>
      <c r="AF181">
        <f>1*Tabela2[[#This Row],[kan_params]]</f>
        <v>8717</v>
      </c>
      <c r="AG181">
        <f>1*Tabela2[[#This Row],[kan_test_acc]]</f>
        <v>0.488888889551162</v>
      </c>
      <c r="AH181">
        <f>1*Tabela2[[#This Row],[mlp_test_acc]]</f>
        <v>0.93333333333333302</v>
      </c>
      <c r="AI181">
        <f>1*Tabela2[[#This Row],[mlp2_test_acc]]</f>
        <v>0.95555555555555505</v>
      </c>
    </row>
    <row r="182" spans="1:35" x14ac:dyDescent="0.25">
      <c r="A182" t="s">
        <v>57</v>
      </c>
      <c r="B182" t="s">
        <v>814</v>
      </c>
      <c r="C182" t="s">
        <v>79</v>
      </c>
      <c r="D182" t="s">
        <v>898</v>
      </c>
      <c r="E182" t="s">
        <v>80</v>
      </c>
      <c r="F182" t="s">
        <v>69</v>
      </c>
      <c r="G182" t="s">
        <v>2732</v>
      </c>
      <c r="H182" t="s">
        <v>2733</v>
      </c>
      <c r="I182" t="s">
        <v>2734</v>
      </c>
      <c r="J182" t="s">
        <v>2735</v>
      </c>
      <c r="K182" t="s">
        <v>2682</v>
      </c>
      <c r="L182" t="s">
        <v>2630</v>
      </c>
      <c r="M182" t="s">
        <v>2433</v>
      </c>
      <c r="N182" t="s">
        <v>2443</v>
      </c>
      <c r="O182" t="s">
        <v>89</v>
      </c>
      <c r="P182" t="s">
        <v>2736</v>
      </c>
      <c r="Q182" t="s">
        <v>2737</v>
      </c>
      <c r="R182" t="s">
        <v>2557</v>
      </c>
      <c r="S182" t="s">
        <v>93</v>
      </c>
      <c r="T182" t="s">
        <v>374</v>
      </c>
      <c r="U182" t="s">
        <v>2436</v>
      </c>
      <c r="V182" t="s">
        <v>2443</v>
      </c>
      <c r="W182" t="s">
        <v>89</v>
      </c>
      <c r="X182" t="s">
        <v>2738</v>
      </c>
      <c r="Y182" t="s">
        <v>2739</v>
      </c>
      <c r="Z182" t="s">
        <v>2559</v>
      </c>
      <c r="AA182" t="s">
        <v>93</v>
      </c>
      <c r="AB182" t="s">
        <v>109</v>
      </c>
      <c r="AC182" t="s">
        <v>2740</v>
      </c>
      <c r="AF182">
        <f>1*Tabela2[[#This Row],[kan_params]]</f>
        <v>12257</v>
      </c>
      <c r="AG182">
        <f>1*Tabela2[[#This Row],[kan_test_acc]]</f>
        <v>0.488888889551162</v>
      </c>
      <c r="AH182">
        <f>1*Tabela2[[#This Row],[mlp_test_acc]]</f>
        <v>0.95555555555555505</v>
      </c>
      <c r="AI182">
        <f>1*Tabela2[[#This Row],[mlp2_test_acc]]</f>
        <v>0.93333333333333302</v>
      </c>
    </row>
    <row r="183" spans="1:35" x14ac:dyDescent="0.25">
      <c r="A183" t="s">
        <v>57</v>
      </c>
      <c r="B183" t="s">
        <v>897</v>
      </c>
      <c r="C183" t="s">
        <v>79</v>
      </c>
      <c r="D183" t="s">
        <v>666</v>
      </c>
      <c r="E183" t="s">
        <v>80</v>
      </c>
      <c r="F183" t="s">
        <v>59</v>
      </c>
      <c r="G183" t="s">
        <v>2483</v>
      </c>
      <c r="H183" t="s">
        <v>2821</v>
      </c>
      <c r="I183" t="s">
        <v>2822</v>
      </c>
      <c r="J183" t="s">
        <v>2726</v>
      </c>
      <c r="K183" t="s">
        <v>2619</v>
      </c>
      <c r="L183" t="s">
        <v>2630</v>
      </c>
      <c r="M183" t="s">
        <v>2436</v>
      </c>
      <c r="N183" t="s">
        <v>89</v>
      </c>
      <c r="O183" t="s">
        <v>89</v>
      </c>
      <c r="P183" t="s">
        <v>2823</v>
      </c>
      <c r="Q183" t="s">
        <v>2824</v>
      </c>
      <c r="R183" t="s">
        <v>2501</v>
      </c>
      <c r="S183" t="s">
        <v>93</v>
      </c>
      <c r="T183" t="s">
        <v>94</v>
      </c>
      <c r="U183" t="s">
        <v>2433</v>
      </c>
      <c r="V183" t="s">
        <v>89</v>
      </c>
      <c r="W183" t="s">
        <v>89</v>
      </c>
      <c r="X183" t="s">
        <v>2825</v>
      </c>
      <c r="Y183" t="s">
        <v>2826</v>
      </c>
      <c r="Z183" t="s">
        <v>2548</v>
      </c>
      <c r="AA183" t="s">
        <v>93</v>
      </c>
      <c r="AB183" t="s">
        <v>101</v>
      </c>
      <c r="AC183" t="s">
        <v>2827</v>
      </c>
      <c r="AF183">
        <f>1*Tabela2[[#This Row],[kan_params]]</f>
        <v>10088</v>
      </c>
      <c r="AG183">
        <f>1*Tabela2[[#This Row],[kan_test_acc]]</f>
        <v>0.488888889551162</v>
      </c>
      <c r="AH183">
        <f>1*Tabela2[[#This Row],[mlp_test_acc]]</f>
        <v>0.93333333333333302</v>
      </c>
      <c r="AI183">
        <f>1*Tabela2[[#This Row],[mlp2_test_acc]]</f>
        <v>0.95555555555555505</v>
      </c>
    </row>
    <row r="184" spans="1:35" x14ac:dyDescent="0.25">
      <c r="A184" t="s">
        <v>57</v>
      </c>
      <c r="B184" t="s">
        <v>897</v>
      </c>
      <c r="C184" t="s">
        <v>79</v>
      </c>
      <c r="D184" t="s">
        <v>666</v>
      </c>
      <c r="E184" t="s">
        <v>80</v>
      </c>
      <c r="F184" t="s">
        <v>63</v>
      </c>
      <c r="G184" t="s">
        <v>2855</v>
      </c>
      <c r="H184" t="s">
        <v>2856</v>
      </c>
      <c r="I184" t="s">
        <v>2857</v>
      </c>
      <c r="J184" t="s">
        <v>2670</v>
      </c>
      <c r="K184" t="s">
        <v>2641</v>
      </c>
      <c r="L184" t="s">
        <v>2630</v>
      </c>
      <c r="M184" t="s">
        <v>2433</v>
      </c>
      <c r="N184" t="s">
        <v>2607</v>
      </c>
      <c r="O184" t="s">
        <v>89</v>
      </c>
      <c r="P184" t="s">
        <v>2858</v>
      </c>
      <c r="Q184" t="s">
        <v>2859</v>
      </c>
      <c r="R184" t="s">
        <v>2585</v>
      </c>
      <c r="S184" t="s">
        <v>93</v>
      </c>
      <c r="T184" t="s">
        <v>820</v>
      </c>
      <c r="U184" t="s">
        <v>2436</v>
      </c>
      <c r="V184" t="s">
        <v>2443</v>
      </c>
      <c r="W184" t="s">
        <v>89</v>
      </c>
      <c r="X184" t="s">
        <v>2860</v>
      </c>
      <c r="Y184" t="s">
        <v>2861</v>
      </c>
      <c r="Z184" t="s">
        <v>2688</v>
      </c>
      <c r="AA184" t="s">
        <v>93</v>
      </c>
      <c r="AB184" t="s">
        <v>823</v>
      </c>
      <c r="AC184" t="s">
        <v>2862</v>
      </c>
      <c r="AF184">
        <f>1*Tabela2[[#This Row],[kan_params]]</f>
        <v>11454</v>
      </c>
      <c r="AG184">
        <f>1*Tabela2[[#This Row],[kan_test_acc]]</f>
        <v>0.488888889551162</v>
      </c>
      <c r="AH184">
        <f>1*Tabela2[[#This Row],[mlp_test_acc]]</f>
        <v>0.95555555555555505</v>
      </c>
      <c r="AI184">
        <f>1*Tabela2[[#This Row],[mlp2_test_acc]]</f>
        <v>0.93333333333333302</v>
      </c>
    </row>
    <row r="185" spans="1:35" x14ac:dyDescent="0.25">
      <c r="A185" t="s">
        <v>57</v>
      </c>
      <c r="B185" t="s">
        <v>897</v>
      </c>
      <c r="C185" t="s">
        <v>79</v>
      </c>
      <c r="D185" t="s">
        <v>666</v>
      </c>
      <c r="E185" t="s">
        <v>80</v>
      </c>
      <c r="F185" t="s">
        <v>70</v>
      </c>
      <c r="G185" t="s">
        <v>2920</v>
      </c>
      <c r="H185" t="s">
        <v>2921</v>
      </c>
      <c r="I185" t="s">
        <v>2922</v>
      </c>
      <c r="J185" t="s">
        <v>2715</v>
      </c>
      <c r="K185" t="s">
        <v>2640</v>
      </c>
      <c r="L185" t="s">
        <v>2630</v>
      </c>
      <c r="M185" t="s">
        <v>2498</v>
      </c>
      <c r="N185" t="s">
        <v>2607</v>
      </c>
      <c r="O185" t="s">
        <v>89</v>
      </c>
      <c r="P185" t="s">
        <v>2923</v>
      </c>
      <c r="Q185" t="s">
        <v>2924</v>
      </c>
      <c r="R185" t="s">
        <v>2925</v>
      </c>
      <c r="S185" t="s">
        <v>93</v>
      </c>
      <c r="T185" t="s">
        <v>629</v>
      </c>
      <c r="U185" t="s">
        <v>2885</v>
      </c>
      <c r="V185" t="s">
        <v>2897</v>
      </c>
      <c r="W185" t="s">
        <v>2906</v>
      </c>
      <c r="X185" t="s">
        <v>160</v>
      </c>
      <c r="Y185" t="s">
        <v>2926</v>
      </c>
      <c r="Z185" t="s">
        <v>2927</v>
      </c>
      <c r="AA185" t="s">
        <v>93</v>
      </c>
      <c r="AB185" t="s">
        <v>854</v>
      </c>
      <c r="AC185" t="s">
        <v>2928</v>
      </c>
      <c r="AF185">
        <f>1*Tabela2[[#This Row],[kan_params]]</f>
        <v>16611</v>
      </c>
      <c r="AG185">
        <f>1*Tabela2[[#This Row],[kan_test_acc]]</f>
        <v>0.488888889551162</v>
      </c>
      <c r="AH185">
        <f>1*Tabela2[[#This Row],[mlp_test_acc]]</f>
        <v>0.97777777777777697</v>
      </c>
      <c r="AI185">
        <f>1*Tabela2[[#This Row],[mlp2_test_acc]]</f>
        <v>0.71111111111111103</v>
      </c>
    </row>
    <row r="186" spans="1:35" x14ac:dyDescent="0.25">
      <c r="A186" t="s">
        <v>57</v>
      </c>
      <c r="B186" t="s">
        <v>959</v>
      </c>
      <c r="C186" t="s">
        <v>666</v>
      </c>
      <c r="D186" t="s">
        <v>666</v>
      </c>
      <c r="E186" t="s">
        <v>80</v>
      </c>
      <c r="F186" t="s">
        <v>58</v>
      </c>
      <c r="G186" t="s">
        <v>3512</v>
      </c>
      <c r="H186" t="s">
        <v>3513</v>
      </c>
      <c r="I186" t="s">
        <v>3514</v>
      </c>
      <c r="J186" t="s">
        <v>3515</v>
      </c>
      <c r="K186" t="s">
        <v>2682</v>
      </c>
      <c r="L186" t="s">
        <v>2630</v>
      </c>
      <c r="M186" t="s">
        <v>2498</v>
      </c>
      <c r="N186" t="s">
        <v>2443</v>
      </c>
      <c r="O186" t="s">
        <v>89</v>
      </c>
      <c r="P186" t="s">
        <v>3167</v>
      </c>
      <c r="Q186" t="s">
        <v>3516</v>
      </c>
      <c r="R186" t="s">
        <v>2459</v>
      </c>
      <c r="S186" t="s">
        <v>93</v>
      </c>
      <c r="T186" t="s">
        <v>2460</v>
      </c>
      <c r="U186" t="s">
        <v>3517</v>
      </c>
      <c r="V186" t="s">
        <v>2886</v>
      </c>
      <c r="W186" t="s">
        <v>3518</v>
      </c>
      <c r="X186" t="s">
        <v>160</v>
      </c>
      <c r="Y186" t="s">
        <v>3519</v>
      </c>
      <c r="Z186" t="s">
        <v>2519</v>
      </c>
      <c r="AA186" t="s">
        <v>93</v>
      </c>
      <c r="AB186" t="s">
        <v>2187</v>
      </c>
      <c r="AC186" t="s">
        <v>3520</v>
      </c>
      <c r="AF186">
        <f>1*Tabela2[[#This Row],[kan_params]]</f>
        <v>9077</v>
      </c>
      <c r="AG186">
        <f>1*Tabela2[[#This Row],[kan_test_acc]]</f>
        <v>0.488888889551162</v>
      </c>
      <c r="AH186">
        <f>1*Tabela2[[#This Row],[mlp_test_acc]]</f>
        <v>0.97777777777777697</v>
      </c>
      <c r="AI186">
        <f>1*Tabela2[[#This Row],[mlp2_test_acc]]</f>
        <v>0.8</v>
      </c>
    </row>
    <row r="187" spans="1:35" x14ac:dyDescent="0.25">
      <c r="A187" t="s">
        <v>57</v>
      </c>
      <c r="B187" t="s">
        <v>959</v>
      </c>
      <c r="C187" t="s">
        <v>666</v>
      </c>
      <c r="D187" t="s">
        <v>666</v>
      </c>
      <c r="E187" t="s">
        <v>80</v>
      </c>
      <c r="F187" t="s">
        <v>69</v>
      </c>
      <c r="G187" t="s">
        <v>3593</v>
      </c>
      <c r="H187" t="s">
        <v>3594</v>
      </c>
      <c r="I187" t="s">
        <v>3595</v>
      </c>
      <c r="J187" t="s">
        <v>3596</v>
      </c>
      <c r="K187" t="s">
        <v>2640</v>
      </c>
      <c r="L187" t="s">
        <v>2630</v>
      </c>
      <c r="M187" t="s">
        <v>2436</v>
      </c>
      <c r="N187" t="s">
        <v>89</v>
      </c>
      <c r="O187" t="s">
        <v>89</v>
      </c>
      <c r="P187" t="s">
        <v>3278</v>
      </c>
      <c r="Q187" t="s">
        <v>3597</v>
      </c>
      <c r="R187" t="s">
        <v>2899</v>
      </c>
      <c r="S187" t="s">
        <v>93</v>
      </c>
      <c r="T187" t="s">
        <v>127</v>
      </c>
      <c r="U187" t="s">
        <v>3179</v>
      </c>
      <c r="V187" t="s">
        <v>89</v>
      </c>
      <c r="W187" t="s">
        <v>3518</v>
      </c>
      <c r="X187" t="s">
        <v>160</v>
      </c>
      <c r="Y187" t="s">
        <v>3598</v>
      </c>
      <c r="Z187" t="s">
        <v>2788</v>
      </c>
      <c r="AA187" t="s">
        <v>93</v>
      </c>
      <c r="AB187" t="s">
        <v>2789</v>
      </c>
      <c r="AC187" t="s">
        <v>3599</v>
      </c>
      <c r="AF187">
        <f>1*Tabela2[[#This Row],[kan_params]]</f>
        <v>15472</v>
      </c>
      <c r="AG187">
        <f>1*Tabela2[[#This Row],[kan_test_acc]]</f>
        <v>0.488888889551162</v>
      </c>
      <c r="AH187">
        <f>1*Tabela2[[#This Row],[mlp_test_acc]]</f>
        <v>0.93333333333333302</v>
      </c>
      <c r="AI187">
        <f>1*Tabela2[[#This Row],[mlp2_test_acc]]</f>
        <v>0.91111111111111098</v>
      </c>
    </row>
    <row r="188" spans="1:35" x14ac:dyDescent="0.25">
      <c r="A188" t="s">
        <v>57</v>
      </c>
      <c r="B188" t="s">
        <v>959</v>
      </c>
      <c r="C188" t="s">
        <v>666</v>
      </c>
      <c r="D188" t="s">
        <v>666</v>
      </c>
      <c r="E188" t="s">
        <v>80</v>
      </c>
      <c r="F188" t="s">
        <v>74</v>
      </c>
      <c r="G188" t="s">
        <v>3628</v>
      </c>
      <c r="H188" t="s">
        <v>3629</v>
      </c>
      <c r="I188" t="s">
        <v>3630</v>
      </c>
      <c r="J188" t="s">
        <v>2912</v>
      </c>
      <c r="K188" t="s">
        <v>3631</v>
      </c>
      <c r="L188" t="s">
        <v>2630</v>
      </c>
      <c r="M188" t="s">
        <v>3006</v>
      </c>
      <c r="N188" t="s">
        <v>2607</v>
      </c>
      <c r="O188" t="s">
        <v>89</v>
      </c>
      <c r="P188" t="s">
        <v>1798</v>
      </c>
      <c r="Q188" t="s">
        <v>3632</v>
      </c>
      <c r="R188" t="s">
        <v>3633</v>
      </c>
      <c r="S188" t="s">
        <v>93</v>
      </c>
      <c r="T188" t="s">
        <v>864</v>
      </c>
      <c r="U188" t="s">
        <v>3006</v>
      </c>
      <c r="V188" t="s">
        <v>3006</v>
      </c>
      <c r="W188" t="s">
        <v>3489</v>
      </c>
      <c r="X188" t="s">
        <v>160</v>
      </c>
      <c r="Y188" t="s">
        <v>3634</v>
      </c>
      <c r="Z188" t="s">
        <v>3635</v>
      </c>
      <c r="AA188" t="s">
        <v>93</v>
      </c>
      <c r="AB188" t="s">
        <v>228</v>
      </c>
      <c r="AC188" t="s">
        <v>3636</v>
      </c>
      <c r="AF188">
        <f>1*Tabela2[[#This Row],[kan_params]]</f>
        <v>19847</v>
      </c>
      <c r="AG188">
        <f>1*Tabela2[[#This Row],[kan_test_acc]]</f>
        <v>0.488888889551162</v>
      </c>
      <c r="AH188">
        <f>1*Tabela2[[#This Row],[mlp_test_acc]]</f>
        <v>0.88888888888888795</v>
      </c>
      <c r="AI188">
        <f>1*Tabela2[[#This Row],[mlp2_test_acc]]</f>
        <v>0.88888888888888795</v>
      </c>
    </row>
    <row r="189" spans="1:35" x14ac:dyDescent="0.25">
      <c r="A189" t="s">
        <v>57</v>
      </c>
      <c r="B189" t="s">
        <v>1297</v>
      </c>
      <c r="C189" t="s">
        <v>1026</v>
      </c>
      <c r="D189" t="s">
        <v>898</v>
      </c>
      <c r="E189" t="s">
        <v>80</v>
      </c>
      <c r="F189" t="s">
        <v>59</v>
      </c>
      <c r="G189" t="s">
        <v>3826</v>
      </c>
      <c r="H189" t="s">
        <v>3827</v>
      </c>
      <c r="I189" t="s">
        <v>3828</v>
      </c>
      <c r="J189" t="s">
        <v>3603</v>
      </c>
      <c r="K189" t="s">
        <v>2671</v>
      </c>
      <c r="L189" t="s">
        <v>2630</v>
      </c>
      <c r="M189" t="s">
        <v>3006</v>
      </c>
      <c r="N189" t="s">
        <v>2607</v>
      </c>
      <c r="O189" t="s">
        <v>89</v>
      </c>
      <c r="P189" t="s">
        <v>3618</v>
      </c>
      <c r="Q189" t="s">
        <v>3829</v>
      </c>
      <c r="R189" t="s">
        <v>2585</v>
      </c>
      <c r="S189" t="s">
        <v>93</v>
      </c>
      <c r="T189" t="s">
        <v>820</v>
      </c>
      <c r="U189" t="s">
        <v>3179</v>
      </c>
      <c r="V189" t="s">
        <v>2607</v>
      </c>
      <c r="W189" t="s">
        <v>3395</v>
      </c>
      <c r="X189" t="s">
        <v>160</v>
      </c>
      <c r="Y189" t="s">
        <v>3830</v>
      </c>
      <c r="Z189" t="s">
        <v>2688</v>
      </c>
      <c r="AA189" t="s">
        <v>93</v>
      </c>
      <c r="AB189" t="s">
        <v>823</v>
      </c>
      <c r="AC189" t="s">
        <v>3831</v>
      </c>
      <c r="AF189">
        <f>1*Tabela2[[#This Row],[kan_params]]</f>
        <v>11459</v>
      </c>
      <c r="AG189">
        <f>1*Tabela2[[#This Row],[kan_test_acc]]</f>
        <v>0.488888889551162</v>
      </c>
      <c r="AH189">
        <f>1*Tabela2[[#This Row],[mlp_test_acc]]</f>
        <v>0.88888888888888795</v>
      </c>
      <c r="AI189">
        <f>1*Tabela2[[#This Row],[mlp2_test_acc]]</f>
        <v>0.91111111111111098</v>
      </c>
    </row>
    <row r="190" spans="1:35" x14ac:dyDescent="0.25">
      <c r="A190" t="s">
        <v>57</v>
      </c>
      <c r="B190" t="s">
        <v>1297</v>
      </c>
      <c r="C190" t="s">
        <v>1026</v>
      </c>
      <c r="D190" t="s">
        <v>898</v>
      </c>
      <c r="E190" t="s">
        <v>80</v>
      </c>
      <c r="F190" t="s">
        <v>70</v>
      </c>
      <c r="G190" t="s">
        <v>3899</v>
      </c>
      <c r="H190" t="s">
        <v>3900</v>
      </c>
      <c r="I190" t="s">
        <v>3901</v>
      </c>
      <c r="J190" t="s">
        <v>2660</v>
      </c>
      <c r="K190" t="s">
        <v>2671</v>
      </c>
      <c r="L190" t="s">
        <v>2630</v>
      </c>
      <c r="M190" t="s">
        <v>89</v>
      </c>
      <c r="N190" t="s">
        <v>89</v>
      </c>
      <c r="O190" t="s">
        <v>89</v>
      </c>
      <c r="P190" t="s">
        <v>2110</v>
      </c>
      <c r="Q190" t="s">
        <v>3902</v>
      </c>
      <c r="R190" t="s">
        <v>3903</v>
      </c>
      <c r="S190" t="s">
        <v>93</v>
      </c>
      <c r="T190" t="s">
        <v>3904</v>
      </c>
      <c r="U190" t="s">
        <v>2498</v>
      </c>
      <c r="V190" t="s">
        <v>89</v>
      </c>
      <c r="W190" t="s">
        <v>89</v>
      </c>
      <c r="X190" t="s">
        <v>3905</v>
      </c>
      <c r="Y190" t="s">
        <v>3906</v>
      </c>
      <c r="Z190" t="s">
        <v>3907</v>
      </c>
      <c r="AA190" t="s">
        <v>93</v>
      </c>
      <c r="AB190" t="s">
        <v>3748</v>
      </c>
      <c r="AC190" t="s">
        <v>3908</v>
      </c>
      <c r="AF190">
        <f>1*Tabela2[[#This Row],[kan_params]]</f>
        <v>18870</v>
      </c>
      <c r="AG190">
        <f>1*Tabela2[[#This Row],[kan_test_acc]]</f>
        <v>0.488888889551162</v>
      </c>
      <c r="AH190">
        <f>1*Tabela2[[#This Row],[mlp_test_acc]]</f>
        <v>1</v>
      </c>
      <c r="AI190">
        <f>1*Tabela2[[#This Row],[mlp2_test_acc]]</f>
        <v>0.97777777777777697</v>
      </c>
    </row>
    <row r="191" spans="1:35" x14ac:dyDescent="0.25">
      <c r="A191" t="s">
        <v>57</v>
      </c>
      <c r="B191" t="s">
        <v>2351</v>
      </c>
      <c r="C191" t="s">
        <v>1026</v>
      </c>
      <c r="D191" t="s">
        <v>666</v>
      </c>
      <c r="E191" t="s">
        <v>80</v>
      </c>
      <c r="F191" t="s">
        <v>67</v>
      </c>
      <c r="G191" t="s">
        <v>4013</v>
      </c>
      <c r="H191" t="s">
        <v>4014</v>
      </c>
      <c r="I191" t="s">
        <v>4015</v>
      </c>
      <c r="J191" t="s">
        <v>3603</v>
      </c>
      <c r="K191" t="s">
        <v>2694</v>
      </c>
      <c r="L191" t="s">
        <v>2630</v>
      </c>
      <c r="M191" t="s">
        <v>3179</v>
      </c>
      <c r="N191" t="s">
        <v>89</v>
      </c>
      <c r="O191" t="s">
        <v>89</v>
      </c>
      <c r="P191" t="s">
        <v>1798</v>
      </c>
      <c r="Q191" t="s">
        <v>4016</v>
      </c>
      <c r="R191" t="s">
        <v>3907</v>
      </c>
      <c r="S191" t="s">
        <v>93</v>
      </c>
      <c r="T191" t="s">
        <v>3748</v>
      </c>
      <c r="U191" t="s">
        <v>3006</v>
      </c>
      <c r="V191" t="s">
        <v>89</v>
      </c>
      <c r="W191" t="s">
        <v>3896</v>
      </c>
      <c r="X191" t="s">
        <v>101</v>
      </c>
      <c r="Y191" t="s">
        <v>4017</v>
      </c>
      <c r="Z191" t="s">
        <v>3633</v>
      </c>
      <c r="AA191" t="s">
        <v>93</v>
      </c>
      <c r="AB191" t="s">
        <v>864</v>
      </c>
      <c r="AC191" t="s">
        <v>4018</v>
      </c>
      <c r="AF191">
        <f>1*Tabela2[[#This Row],[kan_params]]</f>
        <v>19111</v>
      </c>
      <c r="AG191">
        <f>1*Tabela2[[#This Row],[kan_test_acc]]</f>
        <v>0.488888889551162</v>
      </c>
      <c r="AH191">
        <f>1*Tabela2[[#This Row],[mlp_test_acc]]</f>
        <v>0.91111111111111098</v>
      </c>
      <c r="AI191">
        <f>1*Tabela2[[#This Row],[mlp2_test_acc]]</f>
        <v>0.88888888888888795</v>
      </c>
    </row>
    <row r="192" spans="1:35" x14ac:dyDescent="0.25">
      <c r="A192" t="s">
        <v>57</v>
      </c>
      <c r="B192" t="s">
        <v>2351</v>
      </c>
      <c r="C192" t="s">
        <v>1026</v>
      </c>
      <c r="D192" t="s">
        <v>666</v>
      </c>
      <c r="E192" t="s">
        <v>80</v>
      </c>
      <c r="F192" t="s">
        <v>70</v>
      </c>
      <c r="G192" t="s">
        <v>4033</v>
      </c>
      <c r="H192" t="s">
        <v>4034</v>
      </c>
      <c r="I192" t="s">
        <v>4035</v>
      </c>
      <c r="J192" t="s">
        <v>4036</v>
      </c>
      <c r="K192" t="s">
        <v>2682</v>
      </c>
      <c r="L192" t="s">
        <v>2630</v>
      </c>
      <c r="M192" t="s">
        <v>2436</v>
      </c>
      <c r="N192" t="s">
        <v>89</v>
      </c>
      <c r="O192" t="s">
        <v>89</v>
      </c>
      <c r="P192" t="s">
        <v>4037</v>
      </c>
      <c r="Q192" t="s">
        <v>4038</v>
      </c>
      <c r="R192" t="s">
        <v>3934</v>
      </c>
      <c r="S192" t="s">
        <v>93</v>
      </c>
      <c r="T192" t="s">
        <v>3365</v>
      </c>
      <c r="U192" t="s">
        <v>2436</v>
      </c>
      <c r="V192" t="s">
        <v>89</v>
      </c>
      <c r="W192" t="s">
        <v>89</v>
      </c>
      <c r="X192" t="s">
        <v>4039</v>
      </c>
      <c r="Y192" t="s">
        <v>4040</v>
      </c>
      <c r="Z192" t="s">
        <v>4041</v>
      </c>
      <c r="AA192" t="s">
        <v>93</v>
      </c>
      <c r="AB192" t="s">
        <v>4042</v>
      </c>
      <c r="AC192" t="s">
        <v>4043</v>
      </c>
      <c r="AF192">
        <f>1*Tabela2[[#This Row],[kan_params]]</f>
        <v>21129</v>
      </c>
      <c r="AG192">
        <f>1*Tabela2[[#This Row],[kan_test_acc]]</f>
        <v>0.488888889551162</v>
      </c>
      <c r="AH192">
        <f>1*Tabela2[[#This Row],[mlp_test_acc]]</f>
        <v>0.93333333333333302</v>
      </c>
      <c r="AI192">
        <f>1*Tabela2[[#This Row],[mlp2_test_acc]]</f>
        <v>0.93333333333333302</v>
      </c>
    </row>
    <row r="193" spans="1:35" x14ac:dyDescent="0.25">
      <c r="A193" t="s">
        <v>57</v>
      </c>
      <c r="B193" t="s">
        <v>2351</v>
      </c>
      <c r="C193" t="s">
        <v>1026</v>
      </c>
      <c r="D193" t="s">
        <v>666</v>
      </c>
      <c r="E193" t="s">
        <v>80</v>
      </c>
      <c r="F193" t="s">
        <v>72</v>
      </c>
      <c r="G193" t="s">
        <v>4052</v>
      </c>
      <c r="H193" t="s">
        <v>4053</v>
      </c>
      <c r="I193" t="s">
        <v>4054</v>
      </c>
      <c r="J193" t="s">
        <v>2904</v>
      </c>
      <c r="K193" t="s">
        <v>2619</v>
      </c>
      <c r="L193" t="s">
        <v>2630</v>
      </c>
      <c r="M193" t="s">
        <v>2436</v>
      </c>
      <c r="N193" t="s">
        <v>89</v>
      </c>
      <c r="O193" t="s">
        <v>89</v>
      </c>
      <c r="P193" t="s">
        <v>4055</v>
      </c>
      <c r="Q193" t="s">
        <v>4056</v>
      </c>
      <c r="R193" t="s">
        <v>2792</v>
      </c>
      <c r="S193" t="s">
        <v>93</v>
      </c>
      <c r="T193" t="s">
        <v>624</v>
      </c>
      <c r="U193" t="s">
        <v>3410</v>
      </c>
      <c r="V193" t="s">
        <v>89</v>
      </c>
      <c r="W193" t="s">
        <v>4057</v>
      </c>
      <c r="X193" t="s">
        <v>711</v>
      </c>
      <c r="Y193" t="s">
        <v>4058</v>
      </c>
      <c r="Z193" t="s">
        <v>2925</v>
      </c>
      <c r="AA193" t="s">
        <v>93</v>
      </c>
      <c r="AB193" t="s">
        <v>629</v>
      </c>
      <c r="AC193" t="s">
        <v>4059</v>
      </c>
      <c r="AF193">
        <f>1*Tabela2[[#This Row],[kan_params]]</f>
        <v>16417</v>
      </c>
      <c r="AG193">
        <f>1*Tabela2[[#This Row],[kan_test_acc]]</f>
        <v>0.488888889551162</v>
      </c>
      <c r="AH193">
        <f>1*Tabela2[[#This Row],[mlp_test_acc]]</f>
        <v>0.93333333333333302</v>
      </c>
      <c r="AI193">
        <f>1*Tabela2[[#This Row],[mlp2_test_acc]]</f>
        <v>0.844444444444444</v>
      </c>
    </row>
    <row r="194" spans="1:35" x14ac:dyDescent="0.25">
      <c r="A194" t="s">
        <v>57</v>
      </c>
      <c r="B194" t="s">
        <v>814</v>
      </c>
      <c r="C194" t="s">
        <v>79</v>
      </c>
      <c r="D194" t="s">
        <v>898</v>
      </c>
      <c r="E194" t="s">
        <v>80</v>
      </c>
      <c r="F194" t="s">
        <v>63</v>
      </c>
      <c r="G194" t="s">
        <v>2667</v>
      </c>
      <c r="H194" t="s">
        <v>2668</v>
      </c>
      <c r="I194" t="s">
        <v>2669</v>
      </c>
      <c r="J194" t="s">
        <v>2670</v>
      </c>
      <c r="K194" t="s">
        <v>2671</v>
      </c>
      <c r="L194" t="s">
        <v>2672</v>
      </c>
      <c r="M194" t="s">
        <v>2433</v>
      </c>
      <c r="N194" t="s">
        <v>2607</v>
      </c>
      <c r="O194" t="s">
        <v>89</v>
      </c>
      <c r="P194" t="s">
        <v>2673</v>
      </c>
      <c r="Q194" t="s">
        <v>2674</v>
      </c>
      <c r="R194" t="s">
        <v>2496</v>
      </c>
      <c r="S194" t="s">
        <v>93</v>
      </c>
      <c r="T194" t="s">
        <v>2497</v>
      </c>
      <c r="U194" t="s">
        <v>2436</v>
      </c>
      <c r="V194" t="s">
        <v>2607</v>
      </c>
      <c r="W194" t="s">
        <v>89</v>
      </c>
      <c r="X194" t="s">
        <v>2675</v>
      </c>
      <c r="Y194" t="s">
        <v>2676</v>
      </c>
      <c r="Z194" t="s">
        <v>2501</v>
      </c>
      <c r="AA194" t="s">
        <v>93</v>
      </c>
      <c r="AB194" t="s">
        <v>94</v>
      </c>
      <c r="AC194" t="s">
        <v>2677</v>
      </c>
      <c r="AF194">
        <f>1*Tabela2[[#This Row],[kan_params]]</f>
        <v>9897</v>
      </c>
      <c r="AG194">
        <f>1*Tabela2[[#This Row],[kan_test_acc]]</f>
        <v>0.46666666865348799</v>
      </c>
      <c r="AH194">
        <f>1*Tabela2[[#This Row],[mlp_test_acc]]</f>
        <v>0.95555555555555505</v>
      </c>
      <c r="AI194">
        <f>1*Tabela2[[#This Row],[mlp2_test_acc]]</f>
        <v>0.93333333333333302</v>
      </c>
    </row>
    <row r="195" spans="1:35" x14ac:dyDescent="0.25">
      <c r="A195" t="s">
        <v>57</v>
      </c>
      <c r="B195" t="s">
        <v>814</v>
      </c>
      <c r="C195" t="s">
        <v>79</v>
      </c>
      <c r="D195" t="s">
        <v>898</v>
      </c>
      <c r="E195" t="s">
        <v>80</v>
      </c>
      <c r="F195" t="s">
        <v>68</v>
      </c>
      <c r="G195" t="s">
        <v>2723</v>
      </c>
      <c r="H195" t="s">
        <v>2724</v>
      </c>
      <c r="I195" t="s">
        <v>2725</v>
      </c>
      <c r="J195" t="s">
        <v>2726</v>
      </c>
      <c r="K195" t="s">
        <v>2619</v>
      </c>
      <c r="L195" t="s">
        <v>2672</v>
      </c>
      <c r="M195" t="s">
        <v>2436</v>
      </c>
      <c r="N195" t="s">
        <v>2443</v>
      </c>
      <c r="O195" t="s">
        <v>89</v>
      </c>
      <c r="P195" t="s">
        <v>2727</v>
      </c>
      <c r="Q195" t="s">
        <v>2728</v>
      </c>
      <c r="R195" t="s">
        <v>2501</v>
      </c>
      <c r="S195" t="s">
        <v>93</v>
      </c>
      <c r="T195" t="s">
        <v>94</v>
      </c>
      <c r="U195" t="s">
        <v>2436</v>
      </c>
      <c r="V195" t="s">
        <v>2443</v>
      </c>
      <c r="W195" t="s">
        <v>89</v>
      </c>
      <c r="X195" t="s">
        <v>2729</v>
      </c>
      <c r="Y195" t="s">
        <v>2730</v>
      </c>
      <c r="Z195" t="s">
        <v>2548</v>
      </c>
      <c r="AA195" t="s">
        <v>93</v>
      </c>
      <c r="AB195" t="s">
        <v>101</v>
      </c>
      <c r="AC195" t="s">
        <v>2731</v>
      </c>
      <c r="AF195">
        <f>1*Tabela2[[#This Row],[kan_params]]</f>
        <v>10162</v>
      </c>
      <c r="AG195">
        <f>1*Tabela2[[#This Row],[kan_test_acc]]</f>
        <v>0.46666666865348799</v>
      </c>
      <c r="AH195">
        <f>1*Tabela2[[#This Row],[mlp_test_acc]]</f>
        <v>0.93333333333333302</v>
      </c>
      <c r="AI195">
        <f>1*Tabela2[[#This Row],[mlp2_test_acc]]</f>
        <v>0.93333333333333302</v>
      </c>
    </row>
    <row r="196" spans="1:35" x14ac:dyDescent="0.25">
      <c r="A196" t="s">
        <v>57</v>
      </c>
      <c r="B196" t="s">
        <v>897</v>
      </c>
      <c r="C196" t="s">
        <v>79</v>
      </c>
      <c r="D196" t="s">
        <v>666</v>
      </c>
      <c r="E196" t="s">
        <v>80</v>
      </c>
      <c r="F196" t="s">
        <v>68</v>
      </c>
      <c r="G196" t="s">
        <v>2901</v>
      </c>
      <c r="H196" t="s">
        <v>2902</v>
      </c>
      <c r="I196" t="s">
        <v>2903</v>
      </c>
      <c r="J196" t="s">
        <v>2904</v>
      </c>
      <c r="K196" t="s">
        <v>2705</v>
      </c>
      <c r="L196" t="s">
        <v>2672</v>
      </c>
      <c r="M196" t="s">
        <v>2498</v>
      </c>
      <c r="N196" t="s">
        <v>2607</v>
      </c>
      <c r="O196" t="s">
        <v>89</v>
      </c>
      <c r="P196" t="s">
        <v>2883</v>
      </c>
      <c r="Q196" t="s">
        <v>2905</v>
      </c>
      <c r="R196" t="s">
        <v>2688</v>
      </c>
      <c r="S196" t="s">
        <v>93</v>
      </c>
      <c r="T196" t="s">
        <v>823</v>
      </c>
      <c r="U196" t="s">
        <v>2885</v>
      </c>
      <c r="V196" t="s">
        <v>2897</v>
      </c>
      <c r="W196" t="s">
        <v>2906</v>
      </c>
      <c r="X196" t="s">
        <v>160</v>
      </c>
      <c r="Y196" t="s">
        <v>2907</v>
      </c>
      <c r="Z196" t="s">
        <v>2557</v>
      </c>
      <c r="AA196" t="s">
        <v>93</v>
      </c>
      <c r="AB196" t="s">
        <v>374</v>
      </c>
      <c r="AC196" t="s">
        <v>2908</v>
      </c>
      <c r="AF196">
        <f>1*Tabela2[[#This Row],[kan_params]]</f>
        <v>11761</v>
      </c>
      <c r="AG196">
        <f>1*Tabela2[[#This Row],[kan_test_acc]]</f>
        <v>0.46666666865348799</v>
      </c>
      <c r="AH196">
        <f>1*Tabela2[[#This Row],[mlp_test_acc]]</f>
        <v>0.97777777777777697</v>
      </c>
      <c r="AI196">
        <f>1*Tabela2[[#This Row],[mlp2_test_acc]]</f>
        <v>0.71111111111111103</v>
      </c>
    </row>
    <row r="197" spans="1:35" x14ac:dyDescent="0.25">
      <c r="A197" t="s">
        <v>57</v>
      </c>
      <c r="B197" t="s">
        <v>897</v>
      </c>
      <c r="C197" t="s">
        <v>79</v>
      </c>
      <c r="D197" t="s">
        <v>666</v>
      </c>
      <c r="E197" t="s">
        <v>80</v>
      </c>
      <c r="F197" t="s">
        <v>73</v>
      </c>
      <c r="G197" t="s">
        <v>2947</v>
      </c>
      <c r="H197" t="s">
        <v>2948</v>
      </c>
      <c r="I197" t="s">
        <v>2949</v>
      </c>
      <c r="J197" t="s">
        <v>2735</v>
      </c>
      <c r="K197" t="s">
        <v>2431</v>
      </c>
      <c r="L197" t="s">
        <v>2672</v>
      </c>
      <c r="M197" t="s">
        <v>2498</v>
      </c>
      <c r="N197" t="s">
        <v>2607</v>
      </c>
      <c r="O197" t="s">
        <v>89</v>
      </c>
      <c r="P197" t="s">
        <v>965</v>
      </c>
      <c r="Q197" t="s">
        <v>2950</v>
      </c>
      <c r="R197" t="s">
        <v>2899</v>
      </c>
      <c r="S197" t="s">
        <v>93</v>
      </c>
      <c r="T197" t="s">
        <v>127</v>
      </c>
      <c r="U197" t="s">
        <v>2885</v>
      </c>
      <c r="V197" t="s">
        <v>2897</v>
      </c>
      <c r="W197" t="s">
        <v>2944</v>
      </c>
      <c r="X197" t="s">
        <v>160</v>
      </c>
      <c r="Y197" t="s">
        <v>2951</v>
      </c>
      <c r="Z197" t="s">
        <v>2788</v>
      </c>
      <c r="AA197" t="s">
        <v>93</v>
      </c>
      <c r="AB197" t="s">
        <v>2789</v>
      </c>
      <c r="AC197" t="s">
        <v>2952</v>
      </c>
      <c r="AF197">
        <f>1*Tabela2[[#This Row],[kan_params]]</f>
        <v>15552</v>
      </c>
      <c r="AG197">
        <f>1*Tabela2[[#This Row],[kan_test_acc]]</f>
        <v>0.46666666865348799</v>
      </c>
      <c r="AH197">
        <f>1*Tabela2[[#This Row],[mlp_test_acc]]</f>
        <v>0.97777777777777697</v>
      </c>
      <c r="AI197">
        <f>1*Tabela2[[#This Row],[mlp2_test_acc]]</f>
        <v>0.71111111111111103</v>
      </c>
    </row>
    <row r="198" spans="1:35" x14ac:dyDescent="0.25">
      <c r="A198" t="s">
        <v>57</v>
      </c>
      <c r="B198" t="s">
        <v>959</v>
      </c>
      <c r="C198" t="s">
        <v>666</v>
      </c>
      <c r="D198" t="s">
        <v>666</v>
      </c>
      <c r="E198" t="s">
        <v>80</v>
      </c>
      <c r="F198" t="s">
        <v>63</v>
      </c>
      <c r="G198" t="s">
        <v>3552</v>
      </c>
      <c r="H198" t="s">
        <v>3553</v>
      </c>
      <c r="I198" t="s">
        <v>3554</v>
      </c>
      <c r="J198" t="s">
        <v>3386</v>
      </c>
      <c r="K198" t="s">
        <v>2705</v>
      </c>
      <c r="L198" t="s">
        <v>2672</v>
      </c>
      <c r="M198" t="s">
        <v>2436</v>
      </c>
      <c r="N198" t="s">
        <v>89</v>
      </c>
      <c r="O198" t="s">
        <v>89</v>
      </c>
      <c r="P198" t="s">
        <v>3555</v>
      </c>
      <c r="Q198" t="s">
        <v>3556</v>
      </c>
      <c r="R198" t="s">
        <v>2559</v>
      </c>
      <c r="S198" t="s">
        <v>93</v>
      </c>
      <c r="T198" t="s">
        <v>109</v>
      </c>
      <c r="U198" t="s">
        <v>3006</v>
      </c>
      <c r="V198" t="s">
        <v>89</v>
      </c>
      <c r="W198" t="s">
        <v>3518</v>
      </c>
      <c r="X198" t="s">
        <v>2140</v>
      </c>
      <c r="Y198" t="s">
        <v>3557</v>
      </c>
      <c r="Z198" t="s">
        <v>2719</v>
      </c>
      <c r="AA198" t="s">
        <v>93</v>
      </c>
      <c r="AB198" t="s">
        <v>113</v>
      </c>
      <c r="AC198" t="s">
        <v>3558</v>
      </c>
      <c r="AF198">
        <f>1*Tabela2[[#This Row],[kan_params]]</f>
        <v>12492</v>
      </c>
      <c r="AG198">
        <f>1*Tabela2[[#This Row],[kan_test_acc]]</f>
        <v>0.46666666865348799</v>
      </c>
      <c r="AH198">
        <f>1*Tabela2[[#This Row],[mlp_test_acc]]</f>
        <v>0.93333333333333302</v>
      </c>
      <c r="AI198">
        <f>1*Tabela2[[#This Row],[mlp2_test_acc]]</f>
        <v>0.88888888888888795</v>
      </c>
    </row>
    <row r="199" spans="1:35" x14ac:dyDescent="0.25">
      <c r="A199" t="s">
        <v>57</v>
      </c>
      <c r="B199" t="s">
        <v>959</v>
      </c>
      <c r="C199" t="s">
        <v>666</v>
      </c>
      <c r="D199" t="s">
        <v>666</v>
      </c>
      <c r="E199" t="s">
        <v>80</v>
      </c>
      <c r="F199" t="s">
        <v>70</v>
      </c>
      <c r="G199" t="s">
        <v>3600</v>
      </c>
      <c r="H199" t="s">
        <v>3601</v>
      </c>
      <c r="I199" t="s">
        <v>3602</v>
      </c>
      <c r="J199" t="s">
        <v>3603</v>
      </c>
      <c r="K199" t="s">
        <v>2619</v>
      </c>
      <c r="L199" t="s">
        <v>2672</v>
      </c>
      <c r="M199" t="s">
        <v>3179</v>
      </c>
      <c r="N199" t="s">
        <v>89</v>
      </c>
      <c r="O199" t="s">
        <v>3604</v>
      </c>
      <c r="P199" t="s">
        <v>2299</v>
      </c>
      <c r="Q199" t="s">
        <v>3605</v>
      </c>
      <c r="R199" t="s">
        <v>2959</v>
      </c>
      <c r="S199" t="s">
        <v>93</v>
      </c>
      <c r="T199" t="s">
        <v>221</v>
      </c>
      <c r="U199" t="s">
        <v>3179</v>
      </c>
      <c r="V199" t="s">
        <v>89</v>
      </c>
      <c r="W199" t="s">
        <v>3518</v>
      </c>
      <c r="X199" t="s">
        <v>2299</v>
      </c>
      <c r="Y199" t="s">
        <v>3606</v>
      </c>
      <c r="Z199" t="s">
        <v>2961</v>
      </c>
      <c r="AA199" t="s">
        <v>93</v>
      </c>
      <c r="AB199" t="s">
        <v>639</v>
      </c>
      <c r="AC199" t="s">
        <v>3607</v>
      </c>
      <c r="AF199">
        <f>1*Tabela2[[#This Row],[kan_params]]</f>
        <v>18117</v>
      </c>
      <c r="AG199">
        <f>1*Tabela2[[#This Row],[kan_test_acc]]</f>
        <v>0.46666666865348799</v>
      </c>
      <c r="AH199">
        <f>1*Tabela2[[#This Row],[mlp_test_acc]]</f>
        <v>0.91111111111111098</v>
      </c>
      <c r="AI199">
        <f>1*Tabela2[[#This Row],[mlp2_test_acc]]</f>
        <v>0.91111111111111098</v>
      </c>
    </row>
    <row r="200" spans="1:35" x14ac:dyDescent="0.25">
      <c r="A200" t="s">
        <v>57</v>
      </c>
      <c r="B200" t="s">
        <v>1297</v>
      </c>
      <c r="C200" t="s">
        <v>1026</v>
      </c>
      <c r="D200" t="s">
        <v>898</v>
      </c>
      <c r="E200" t="s">
        <v>80</v>
      </c>
      <c r="F200" t="s">
        <v>65</v>
      </c>
      <c r="G200" t="s">
        <v>3864</v>
      </c>
      <c r="H200" t="s">
        <v>3865</v>
      </c>
      <c r="I200" t="s">
        <v>3866</v>
      </c>
      <c r="J200" t="s">
        <v>3532</v>
      </c>
      <c r="K200" t="s">
        <v>2671</v>
      </c>
      <c r="L200" t="s">
        <v>2672</v>
      </c>
      <c r="M200" t="s">
        <v>89</v>
      </c>
      <c r="N200" t="s">
        <v>89</v>
      </c>
      <c r="O200" t="s">
        <v>89</v>
      </c>
      <c r="P200" t="s">
        <v>3867</v>
      </c>
      <c r="Q200" t="s">
        <v>3868</v>
      </c>
      <c r="R200" t="s">
        <v>2557</v>
      </c>
      <c r="S200" t="s">
        <v>93</v>
      </c>
      <c r="T200" t="s">
        <v>374</v>
      </c>
      <c r="U200" t="s">
        <v>2436</v>
      </c>
      <c r="V200" t="s">
        <v>89</v>
      </c>
      <c r="W200" t="s">
        <v>89</v>
      </c>
      <c r="X200" t="s">
        <v>3869</v>
      </c>
      <c r="Y200" t="s">
        <v>3870</v>
      </c>
      <c r="Z200" t="s">
        <v>2559</v>
      </c>
      <c r="AA200" t="s">
        <v>93</v>
      </c>
      <c r="AB200" t="s">
        <v>109</v>
      </c>
      <c r="AC200" t="s">
        <v>3871</v>
      </c>
      <c r="AF200">
        <f>1*Tabela2[[#This Row],[kan_params]]</f>
        <v>12058</v>
      </c>
      <c r="AG200">
        <f>1*Tabela2[[#This Row],[kan_test_acc]]</f>
        <v>0.46666666865348799</v>
      </c>
      <c r="AH200">
        <f>1*Tabela2[[#This Row],[mlp_test_acc]]</f>
        <v>1</v>
      </c>
      <c r="AI200">
        <f>1*Tabela2[[#This Row],[mlp2_test_acc]]</f>
        <v>0.93333333333333302</v>
      </c>
    </row>
    <row r="201" spans="1:35" x14ac:dyDescent="0.25">
      <c r="A201" t="s">
        <v>57</v>
      </c>
      <c r="B201" t="s">
        <v>2351</v>
      </c>
      <c r="C201" t="s">
        <v>1026</v>
      </c>
      <c r="D201" t="s">
        <v>666</v>
      </c>
      <c r="E201" t="s">
        <v>80</v>
      </c>
      <c r="F201" t="s">
        <v>59</v>
      </c>
      <c r="G201" t="s">
        <v>3420</v>
      </c>
      <c r="H201" t="s">
        <v>3956</v>
      </c>
      <c r="I201" t="s">
        <v>3957</v>
      </c>
      <c r="J201" t="s">
        <v>2715</v>
      </c>
      <c r="K201" t="s">
        <v>2694</v>
      </c>
      <c r="L201" t="s">
        <v>2672</v>
      </c>
      <c r="M201" t="s">
        <v>3179</v>
      </c>
      <c r="N201" t="s">
        <v>89</v>
      </c>
      <c r="O201" t="s">
        <v>89</v>
      </c>
      <c r="P201" t="s">
        <v>3958</v>
      </c>
      <c r="Q201" t="s">
        <v>3959</v>
      </c>
      <c r="R201" t="s">
        <v>2719</v>
      </c>
      <c r="S201" t="s">
        <v>93</v>
      </c>
      <c r="T201" t="s">
        <v>113</v>
      </c>
      <c r="U201" t="s">
        <v>3179</v>
      </c>
      <c r="V201" t="s">
        <v>89</v>
      </c>
      <c r="W201" t="s">
        <v>89</v>
      </c>
      <c r="X201" t="s">
        <v>1698</v>
      </c>
      <c r="Y201" t="s">
        <v>3960</v>
      </c>
      <c r="Z201" t="s">
        <v>2592</v>
      </c>
      <c r="AA201" t="s">
        <v>93</v>
      </c>
      <c r="AB201" t="s">
        <v>2593</v>
      </c>
      <c r="AC201" t="s">
        <v>3961</v>
      </c>
      <c r="AF201">
        <f>1*Tabela2[[#This Row],[kan_params]]</f>
        <v>12830</v>
      </c>
      <c r="AG201">
        <f>1*Tabela2[[#This Row],[kan_test_acc]]</f>
        <v>0.46666666865348799</v>
      </c>
      <c r="AH201">
        <f>1*Tabela2[[#This Row],[mlp_test_acc]]</f>
        <v>0.91111111111111098</v>
      </c>
      <c r="AI201">
        <f>1*Tabela2[[#This Row],[mlp2_test_acc]]</f>
        <v>0.91111111111111098</v>
      </c>
    </row>
    <row r="202" spans="1:35" x14ac:dyDescent="0.25">
      <c r="A202" t="s">
        <v>57</v>
      </c>
      <c r="B202" t="s">
        <v>2351</v>
      </c>
      <c r="C202" t="s">
        <v>1026</v>
      </c>
      <c r="D202" t="s">
        <v>666</v>
      </c>
      <c r="E202" t="s">
        <v>80</v>
      </c>
      <c r="F202" t="s">
        <v>63</v>
      </c>
      <c r="G202" t="s">
        <v>3985</v>
      </c>
      <c r="H202" t="s">
        <v>3986</v>
      </c>
      <c r="I202" t="s">
        <v>3987</v>
      </c>
      <c r="J202" t="s">
        <v>3917</v>
      </c>
      <c r="K202" t="s">
        <v>2682</v>
      </c>
      <c r="L202" t="s">
        <v>2672</v>
      </c>
      <c r="M202" t="s">
        <v>3179</v>
      </c>
      <c r="N202" t="s">
        <v>89</v>
      </c>
      <c r="O202" t="s">
        <v>89</v>
      </c>
      <c r="P202" t="s">
        <v>3988</v>
      </c>
      <c r="Q202" t="s">
        <v>3989</v>
      </c>
      <c r="R202" t="s">
        <v>2747</v>
      </c>
      <c r="S202" t="s">
        <v>93</v>
      </c>
      <c r="T202" t="s">
        <v>558</v>
      </c>
      <c r="U202" t="s">
        <v>3006</v>
      </c>
      <c r="V202" t="s">
        <v>89</v>
      </c>
      <c r="W202" t="s">
        <v>89</v>
      </c>
      <c r="X202" t="s">
        <v>3990</v>
      </c>
      <c r="Y202" t="s">
        <v>3991</v>
      </c>
      <c r="Z202" t="s">
        <v>2750</v>
      </c>
      <c r="AA202" t="s">
        <v>93</v>
      </c>
      <c r="AB202" t="s">
        <v>2751</v>
      </c>
      <c r="AC202" t="s">
        <v>3992</v>
      </c>
      <c r="AF202">
        <f>1*Tabela2[[#This Row],[kan_params]]</f>
        <v>14568</v>
      </c>
      <c r="AG202">
        <f>1*Tabela2[[#This Row],[kan_test_acc]]</f>
        <v>0.46666666865348799</v>
      </c>
      <c r="AH202">
        <f>1*Tabela2[[#This Row],[mlp_test_acc]]</f>
        <v>0.91111111111111098</v>
      </c>
      <c r="AI202">
        <f>1*Tabela2[[#This Row],[mlp2_test_acc]]</f>
        <v>0.88888888888888795</v>
      </c>
    </row>
    <row r="203" spans="1:35" x14ac:dyDescent="0.25">
      <c r="A203" t="s">
        <v>57</v>
      </c>
      <c r="B203" t="s">
        <v>2351</v>
      </c>
      <c r="C203" t="s">
        <v>1026</v>
      </c>
      <c r="D203" t="s">
        <v>666</v>
      </c>
      <c r="E203" t="s">
        <v>80</v>
      </c>
      <c r="F203" t="s">
        <v>66</v>
      </c>
      <c r="G203" t="s">
        <v>4007</v>
      </c>
      <c r="H203" t="s">
        <v>4008</v>
      </c>
      <c r="I203" t="s">
        <v>4009</v>
      </c>
      <c r="J203" t="s">
        <v>3532</v>
      </c>
      <c r="K203" t="s">
        <v>2682</v>
      </c>
      <c r="L203" t="s">
        <v>2672</v>
      </c>
      <c r="M203" t="s">
        <v>3179</v>
      </c>
      <c r="N203" t="s">
        <v>89</v>
      </c>
      <c r="O203" t="s">
        <v>89</v>
      </c>
      <c r="P203" t="s">
        <v>1798</v>
      </c>
      <c r="Q203" t="s">
        <v>4010</v>
      </c>
      <c r="R203" t="s">
        <v>2792</v>
      </c>
      <c r="S203" t="s">
        <v>93</v>
      </c>
      <c r="T203" t="s">
        <v>624</v>
      </c>
      <c r="U203" t="s">
        <v>3179</v>
      </c>
      <c r="V203" t="s">
        <v>89</v>
      </c>
      <c r="W203" t="s">
        <v>3489</v>
      </c>
      <c r="X203" t="s">
        <v>2173</v>
      </c>
      <c r="Y203" t="s">
        <v>4011</v>
      </c>
      <c r="Z203" t="s">
        <v>2925</v>
      </c>
      <c r="AA203" t="s">
        <v>93</v>
      </c>
      <c r="AB203" t="s">
        <v>629</v>
      </c>
      <c r="AC203" t="s">
        <v>4012</v>
      </c>
      <c r="AF203">
        <f>1*Tabela2[[#This Row],[kan_params]]</f>
        <v>16306</v>
      </c>
      <c r="AG203">
        <f>1*Tabela2[[#This Row],[kan_test_acc]]</f>
        <v>0.46666666865348799</v>
      </c>
      <c r="AH203">
        <f>1*Tabela2[[#This Row],[mlp_test_acc]]</f>
        <v>0.91111111111111098</v>
      </c>
      <c r="AI203">
        <f>1*Tabela2[[#This Row],[mlp2_test_acc]]</f>
        <v>0.91111111111111098</v>
      </c>
    </row>
    <row r="204" spans="1:35" x14ac:dyDescent="0.25">
      <c r="A204" t="s">
        <v>57</v>
      </c>
      <c r="B204" t="s">
        <v>2351</v>
      </c>
      <c r="C204" t="s">
        <v>1026</v>
      </c>
      <c r="D204" t="s">
        <v>666</v>
      </c>
      <c r="E204" t="s">
        <v>80</v>
      </c>
      <c r="F204" t="s">
        <v>73</v>
      </c>
      <c r="G204" t="s">
        <v>4060</v>
      </c>
      <c r="H204" t="s">
        <v>4061</v>
      </c>
      <c r="I204" t="s">
        <v>4062</v>
      </c>
      <c r="J204" t="s">
        <v>4036</v>
      </c>
      <c r="K204" t="s">
        <v>2682</v>
      </c>
      <c r="L204" t="s">
        <v>2672</v>
      </c>
      <c r="M204" t="s">
        <v>2433</v>
      </c>
      <c r="N204" t="s">
        <v>89</v>
      </c>
      <c r="O204" t="s">
        <v>89</v>
      </c>
      <c r="P204" t="s">
        <v>4063</v>
      </c>
      <c r="Q204" t="s">
        <v>4064</v>
      </c>
      <c r="R204" t="s">
        <v>3633</v>
      </c>
      <c r="S204" t="s">
        <v>93</v>
      </c>
      <c r="T204" t="s">
        <v>864</v>
      </c>
      <c r="U204" t="s">
        <v>3179</v>
      </c>
      <c r="V204" t="s">
        <v>89</v>
      </c>
      <c r="W204" t="s">
        <v>2453</v>
      </c>
      <c r="X204" t="s">
        <v>544</v>
      </c>
      <c r="Y204" t="s">
        <v>4065</v>
      </c>
      <c r="Z204" t="s">
        <v>3635</v>
      </c>
      <c r="AA204" t="s">
        <v>93</v>
      </c>
      <c r="AB204" t="s">
        <v>228</v>
      </c>
      <c r="AC204" t="s">
        <v>4066</v>
      </c>
      <c r="AF204">
        <f>1*Tabela2[[#This Row],[kan_params]]</f>
        <v>19782</v>
      </c>
      <c r="AG204">
        <f>1*Tabela2[[#This Row],[kan_test_acc]]</f>
        <v>0.46666666865348799</v>
      </c>
      <c r="AH204">
        <f>1*Tabela2[[#This Row],[mlp_test_acc]]</f>
        <v>0.95555555555555505</v>
      </c>
      <c r="AI204">
        <f>1*Tabela2[[#This Row],[mlp2_test_acc]]</f>
        <v>0.91111111111111098</v>
      </c>
    </row>
    <row r="205" spans="1:35" x14ac:dyDescent="0.25">
      <c r="A205" t="s">
        <v>57</v>
      </c>
      <c r="B205" t="s">
        <v>814</v>
      </c>
      <c r="C205" t="s">
        <v>79</v>
      </c>
      <c r="D205" t="s">
        <v>898</v>
      </c>
      <c r="E205" t="s">
        <v>80</v>
      </c>
      <c r="F205" t="s">
        <v>67</v>
      </c>
      <c r="G205" t="s">
        <v>2712</v>
      </c>
      <c r="H205" t="s">
        <v>2713</v>
      </c>
      <c r="I205" t="s">
        <v>2714</v>
      </c>
      <c r="J205" t="s">
        <v>2715</v>
      </c>
      <c r="K205" t="s">
        <v>2619</v>
      </c>
      <c r="L205" t="s">
        <v>2716</v>
      </c>
      <c r="M205" t="s">
        <v>2436</v>
      </c>
      <c r="N205" t="s">
        <v>2443</v>
      </c>
      <c r="O205" t="s">
        <v>89</v>
      </c>
      <c r="P205" t="s">
        <v>2717</v>
      </c>
      <c r="Q205" t="s">
        <v>2718</v>
      </c>
      <c r="R205" t="s">
        <v>2719</v>
      </c>
      <c r="S205" t="s">
        <v>93</v>
      </c>
      <c r="T205" t="s">
        <v>113</v>
      </c>
      <c r="U205" t="s">
        <v>2436</v>
      </c>
      <c r="V205" t="s">
        <v>2443</v>
      </c>
      <c r="W205" t="s">
        <v>89</v>
      </c>
      <c r="X205" t="s">
        <v>2720</v>
      </c>
      <c r="Y205" t="s">
        <v>2721</v>
      </c>
      <c r="Z205" t="s">
        <v>2592</v>
      </c>
      <c r="AA205" t="s">
        <v>93</v>
      </c>
      <c r="AB205" t="s">
        <v>2593</v>
      </c>
      <c r="AC205" t="s">
        <v>2722</v>
      </c>
      <c r="AF205">
        <f>1*Tabela2[[#This Row],[kan_params]]</f>
        <v>12982</v>
      </c>
      <c r="AG205">
        <f>1*Tabela2[[#This Row],[kan_test_acc]]</f>
        <v>0.44444444775581299</v>
      </c>
      <c r="AH205">
        <f>1*Tabela2[[#This Row],[mlp_test_acc]]</f>
        <v>0.93333333333333302</v>
      </c>
      <c r="AI205">
        <f>1*Tabela2[[#This Row],[mlp2_test_acc]]</f>
        <v>0.93333333333333302</v>
      </c>
    </row>
    <row r="206" spans="1:35" x14ac:dyDescent="0.25">
      <c r="A206" t="s">
        <v>57</v>
      </c>
      <c r="B206" t="s">
        <v>897</v>
      </c>
      <c r="C206" t="s">
        <v>666</v>
      </c>
      <c r="D206" t="s">
        <v>898</v>
      </c>
      <c r="E206" t="s">
        <v>80</v>
      </c>
      <c r="F206" t="s">
        <v>63</v>
      </c>
      <c r="G206" t="s">
        <v>3414</v>
      </c>
      <c r="H206" t="s">
        <v>3415</v>
      </c>
      <c r="I206" t="s">
        <v>3416</v>
      </c>
      <c r="J206" t="s">
        <v>1575</v>
      </c>
      <c r="K206" t="s">
        <v>2682</v>
      </c>
      <c r="L206" t="s">
        <v>2716</v>
      </c>
      <c r="M206" t="s">
        <v>2498</v>
      </c>
      <c r="N206" t="s">
        <v>2443</v>
      </c>
      <c r="O206" t="s">
        <v>89</v>
      </c>
      <c r="P206" t="s">
        <v>3148</v>
      </c>
      <c r="Q206" t="s">
        <v>3417</v>
      </c>
      <c r="R206" t="s">
        <v>2531</v>
      </c>
      <c r="S206" t="s">
        <v>93</v>
      </c>
      <c r="T206" t="s">
        <v>2098</v>
      </c>
      <c r="U206" t="s">
        <v>3179</v>
      </c>
      <c r="V206" t="s">
        <v>2607</v>
      </c>
      <c r="W206" t="s">
        <v>3395</v>
      </c>
      <c r="X206" t="s">
        <v>160</v>
      </c>
      <c r="Y206" t="s">
        <v>3418</v>
      </c>
      <c r="Z206" t="s">
        <v>2533</v>
      </c>
      <c r="AA206" t="s">
        <v>93</v>
      </c>
      <c r="AB206" t="s">
        <v>2534</v>
      </c>
      <c r="AC206" t="s">
        <v>3419</v>
      </c>
      <c r="AF206">
        <f>1*Tabela2[[#This Row],[kan_params]]</f>
        <v>10935</v>
      </c>
      <c r="AG206">
        <f>1*Tabela2[[#This Row],[kan_test_acc]]</f>
        <v>0.44444444775581299</v>
      </c>
      <c r="AH206">
        <f>1*Tabela2[[#This Row],[mlp_test_acc]]</f>
        <v>0.97777777777777697</v>
      </c>
      <c r="AI206">
        <f>1*Tabela2[[#This Row],[mlp2_test_acc]]</f>
        <v>0.91111111111111098</v>
      </c>
    </row>
    <row r="207" spans="1:35" x14ac:dyDescent="0.25">
      <c r="A207" t="s">
        <v>57</v>
      </c>
      <c r="B207" t="s">
        <v>959</v>
      </c>
      <c r="C207" t="s">
        <v>666</v>
      </c>
      <c r="D207" t="s">
        <v>666</v>
      </c>
      <c r="E207" t="s">
        <v>80</v>
      </c>
      <c r="F207" t="s">
        <v>59</v>
      </c>
      <c r="G207" t="s">
        <v>3521</v>
      </c>
      <c r="H207" t="s">
        <v>3522</v>
      </c>
      <c r="I207" t="s">
        <v>3523</v>
      </c>
      <c r="J207" t="s">
        <v>2904</v>
      </c>
      <c r="K207" t="s">
        <v>2619</v>
      </c>
      <c r="L207" t="s">
        <v>2716</v>
      </c>
      <c r="M207" t="s">
        <v>2498</v>
      </c>
      <c r="N207" t="s">
        <v>2443</v>
      </c>
      <c r="O207" t="s">
        <v>89</v>
      </c>
      <c r="P207" t="s">
        <v>3379</v>
      </c>
      <c r="Q207" t="s">
        <v>3524</v>
      </c>
      <c r="R207" t="s">
        <v>2531</v>
      </c>
      <c r="S207" t="s">
        <v>93</v>
      </c>
      <c r="T207" t="s">
        <v>2098</v>
      </c>
      <c r="U207" t="s">
        <v>3525</v>
      </c>
      <c r="V207" t="s">
        <v>2886</v>
      </c>
      <c r="W207" t="s">
        <v>3526</v>
      </c>
      <c r="X207" t="s">
        <v>160</v>
      </c>
      <c r="Y207" t="s">
        <v>3527</v>
      </c>
      <c r="Z207" t="s">
        <v>2533</v>
      </c>
      <c r="AA207" t="s">
        <v>93</v>
      </c>
      <c r="AB207" t="s">
        <v>2534</v>
      </c>
      <c r="AC207" t="s">
        <v>3528</v>
      </c>
      <c r="AF207">
        <f>1*Tabela2[[#This Row],[kan_params]]</f>
        <v>11002</v>
      </c>
      <c r="AG207">
        <f>1*Tabela2[[#This Row],[kan_test_acc]]</f>
        <v>0.44444444775581299</v>
      </c>
      <c r="AH207">
        <f>1*Tabela2[[#This Row],[mlp_test_acc]]</f>
        <v>0.97777777777777697</v>
      </c>
      <c r="AI207">
        <f>1*Tabela2[[#This Row],[mlp2_test_acc]]</f>
        <v>0.77777777777777701</v>
      </c>
    </row>
    <row r="208" spans="1:35" x14ac:dyDescent="0.25">
      <c r="A208" t="s">
        <v>57</v>
      </c>
      <c r="B208" t="s">
        <v>1297</v>
      </c>
      <c r="C208" t="s">
        <v>1026</v>
      </c>
      <c r="D208" t="s">
        <v>898</v>
      </c>
      <c r="E208" t="s">
        <v>80</v>
      </c>
      <c r="F208" t="s">
        <v>67</v>
      </c>
      <c r="G208" t="s">
        <v>3878</v>
      </c>
      <c r="H208" t="s">
        <v>3879</v>
      </c>
      <c r="I208" t="s">
        <v>3880</v>
      </c>
      <c r="J208" t="s">
        <v>2956</v>
      </c>
      <c r="K208" t="s">
        <v>2671</v>
      </c>
      <c r="L208" t="s">
        <v>2716</v>
      </c>
      <c r="M208" t="s">
        <v>89</v>
      </c>
      <c r="N208" t="s">
        <v>89</v>
      </c>
      <c r="O208" t="s">
        <v>89</v>
      </c>
      <c r="P208" t="s">
        <v>3666</v>
      </c>
      <c r="Q208" t="s">
        <v>3881</v>
      </c>
      <c r="R208" t="s">
        <v>2927</v>
      </c>
      <c r="S208" t="s">
        <v>93</v>
      </c>
      <c r="T208" t="s">
        <v>854</v>
      </c>
      <c r="U208" t="s">
        <v>2433</v>
      </c>
      <c r="V208" t="s">
        <v>89</v>
      </c>
      <c r="W208" t="s">
        <v>3395</v>
      </c>
      <c r="X208" t="s">
        <v>2081</v>
      </c>
      <c r="Y208" t="s">
        <v>3882</v>
      </c>
      <c r="Z208" t="s">
        <v>3497</v>
      </c>
      <c r="AA208" t="s">
        <v>93</v>
      </c>
      <c r="AB208" t="s">
        <v>857</v>
      </c>
      <c r="AC208" t="s">
        <v>3883</v>
      </c>
      <c r="AF208">
        <f>1*Tabela2[[#This Row],[kan_params]]</f>
        <v>17068</v>
      </c>
      <c r="AG208">
        <f>1*Tabela2[[#This Row],[kan_test_acc]]</f>
        <v>0.44444444775581299</v>
      </c>
      <c r="AH208">
        <f>1*Tabela2[[#This Row],[mlp_test_acc]]</f>
        <v>1</v>
      </c>
      <c r="AI208">
        <f>1*Tabela2[[#This Row],[mlp2_test_acc]]</f>
        <v>0.95555555555555505</v>
      </c>
    </row>
    <row r="209" spans="1:35" x14ac:dyDescent="0.25">
      <c r="A209" t="s">
        <v>57</v>
      </c>
      <c r="B209" t="s">
        <v>1297</v>
      </c>
      <c r="C209" t="s">
        <v>1026</v>
      </c>
      <c r="D209" t="s">
        <v>898</v>
      </c>
      <c r="E209" t="s">
        <v>80</v>
      </c>
      <c r="F209" t="s">
        <v>68</v>
      </c>
      <c r="G209" t="s">
        <v>3884</v>
      </c>
      <c r="H209" t="s">
        <v>3885</v>
      </c>
      <c r="I209" t="s">
        <v>3886</v>
      </c>
      <c r="J209" t="s">
        <v>2904</v>
      </c>
      <c r="K209" t="s">
        <v>2682</v>
      </c>
      <c r="L209" t="s">
        <v>2716</v>
      </c>
      <c r="M209" t="s">
        <v>89</v>
      </c>
      <c r="N209" t="s">
        <v>89</v>
      </c>
      <c r="O209" t="s">
        <v>89</v>
      </c>
      <c r="P209" t="s">
        <v>3847</v>
      </c>
      <c r="Q209" t="s">
        <v>3887</v>
      </c>
      <c r="R209" t="s">
        <v>2596</v>
      </c>
      <c r="S209" t="s">
        <v>93</v>
      </c>
      <c r="T209" t="s">
        <v>2597</v>
      </c>
      <c r="U209" t="s">
        <v>89</v>
      </c>
      <c r="V209" t="s">
        <v>89</v>
      </c>
      <c r="W209" t="s">
        <v>89</v>
      </c>
      <c r="X209" t="s">
        <v>3888</v>
      </c>
      <c r="Y209" t="s">
        <v>3889</v>
      </c>
      <c r="Z209" t="s">
        <v>2778</v>
      </c>
      <c r="AA209" t="s">
        <v>93</v>
      </c>
      <c r="AB209" t="s">
        <v>2779</v>
      </c>
      <c r="AC209" t="s">
        <v>3890</v>
      </c>
      <c r="AF209">
        <f>1*Tabela2[[#This Row],[kan_params]]</f>
        <v>13360</v>
      </c>
      <c r="AG209">
        <f>1*Tabela2[[#This Row],[kan_test_acc]]</f>
        <v>0.44444444775581299</v>
      </c>
      <c r="AH209">
        <f>1*Tabela2[[#This Row],[mlp_test_acc]]</f>
        <v>1</v>
      </c>
      <c r="AI209">
        <f>1*Tabela2[[#This Row],[mlp2_test_acc]]</f>
        <v>1</v>
      </c>
    </row>
    <row r="210" spans="1:35" x14ac:dyDescent="0.25">
      <c r="A210" t="s">
        <v>57</v>
      </c>
      <c r="B210" t="s">
        <v>1297</v>
      </c>
      <c r="C210" t="s">
        <v>1026</v>
      </c>
      <c r="D210" t="s">
        <v>898</v>
      </c>
      <c r="E210" t="s">
        <v>80</v>
      </c>
      <c r="F210" t="s">
        <v>74</v>
      </c>
      <c r="G210" t="s">
        <v>3928</v>
      </c>
      <c r="H210" t="s">
        <v>3929</v>
      </c>
      <c r="I210" t="s">
        <v>3930</v>
      </c>
      <c r="J210" t="s">
        <v>2670</v>
      </c>
      <c r="K210" t="s">
        <v>2694</v>
      </c>
      <c r="L210" t="s">
        <v>2716</v>
      </c>
      <c r="M210" t="s">
        <v>2433</v>
      </c>
      <c r="N210" t="s">
        <v>89</v>
      </c>
      <c r="O210" t="s">
        <v>89</v>
      </c>
      <c r="P210" t="s">
        <v>3618</v>
      </c>
      <c r="Q210" t="s">
        <v>3931</v>
      </c>
      <c r="R210" t="s">
        <v>3932</v>
      </c>
      <c r="S210" t="s">
        <v>93</v>
      </c>
      <c r="T210" t="s">
        <v>1263</v>
      </c>
      <c r="U210" t="s">
        <v>2498</v>
      </c>
      <c r="V210" t="s">
        <v>89</v>
      </c>
      <c r="W210" t="s">
        <v>3925</v>
      </c>
      <c r="X210" t="s">
        <v>160</v>
      </c>
      <c r="Y210" t="s">
        <v>3933</v>
      </c>
      <c r="Z210" t="s">
        <v>3934</v>
      </c>
      <c r="AA210" t="s">
        <v>93</v>
      </c>
      <c r="AB210" t="s">
        <v>3365</v>
      </c>
      <c r="AC210" t="s">
        <v>3935</v>
      </c>
      <c r="AF210">
        <f>1*Tabela2[[#This Row],[kan_params]]</f>
        <v>20672</v>
      </c>
      <c r="AG210">
        <f>1*Tabela2[[#This Row],[kan_test_acc]]</f>
        <v>0.44444444775581299</v>
      </c>
      <c r="AH210">
        <f>1*Tabela2[[#This Row],[mlp_test_acc]]</f>
        <v>0.95555555555555505</v>
      </c>
      <c r="AI210">
        <f>1*Tabela2[[#This Row],[mlp2_test_acc]]</f>
        <v>0.97777777777777697</v>
      </c>
    </row>
    <row r="211" spans="1:35" x14ac:dyDescent="0.25">
      <c r="A211" t="s">
        <v>57</v>
      </c>
      <c r="B211" t="s">
        <v>2351</v>
      </c>
      <c r="C211" t="s">
        <v>1026</v>
      </c>
      <c r="D211" t="s">
        <v>666</v>
      </c>
      <c r="E211" t="s">
        <v>80</v>
      </c>
      <c r="F211" t="s">
        <v>58</v>
      </c>
      <c r="G211" t="s">
        <v>3949</v>
      </c>
      <c r="H211" t="s">
        <v>3950</v>
      </c>
      <c r="I211" t="s">
        <v>2371</v>
      </c>
      <c r="J211" t="s">
        <v>3603</v>
      </c>
      <c r="K211" t="s">
        <v>3631</v>
      </c>
      <c r="L211" t="s">
        <v>2716</v>
      </c>
      <c r="M211" t="s">
        <v>3179</v>
      </c>
      <c r="N211" t="s">
        <v>89</v>
      </c>
      <c r="O211" t="s">
        <v>89</v>
      </c>
      <c r="P211" t="s">
        <v>3951</v>
      </c>
      <c r="Q211" t="s">
        <v>3952</v>
      </c>
      <c r="R211" t="s">
        <v>2551</v>
      </c>
      <c r="S211" t="s">
        <v>93</v>
      </c>
      <c r="T211" t="s">
        <v>1860</v>
      </c>
      <c r="U211" t="s">
        <v>3179</v>
      </c>
      <c r="V211" t="s">
        <v>89</v>
      </c>
      <c r="W211" t="s">
        <v>89</v>
      </c>
      <c r="X211" t="s">
        <v>3953</v>
      </c>
      <c r="Y211" t="s">
        <v>3954</v>
      </c>
      <c r="Z211" t="s">
        <v>2531</v>
      </c>
      <c r="AA211" t="s">
        <v>93</v>
      </c>
      <c r="AB211" t="s">
        <v>2098</v>
      </c>
      <c r="AC211" t="s">
        <v>3955</v>
      </c>
      <c r="AF211">
        <f>1*Tabela2[[#This Row],[kan_params]]</f>
        <v>10585</v>
      </c>
      <c r="AG211">
        <f>1*Tabela2[[#This Row],[kan_test_acc]]</f>
        <v>0.44444444775581299</v>
      </c>
      <c r="AH211">
        <f>1*Tabela2[[#This Row],[mlp_test_acc]]</f>
        <v>0.91111111111111098</v>
      </c>
      <c r="AI211">
        <f>1*Tabela2[[#This Row],[mlp2_test_acc]]</f>
        <v>0.91111111111111098</v>
      </c>
    </row>
    <row r="212" spans="1:35" x14ac:dyDescent="0.25">
      <c r="A212" t="s">
        <v>57</v>
      </c>
      <c r="B212" t="s">
        <v>2351</v>
      </c>
      <c r="C212" t="s">
        <v>1026</v>
      </c>
      <c r="D212" t="s">
        <v>666</v>
      </c>
      <c r="E212" t="s">
        <v>80</v>
      </c>
      <c r="F212" t="s">
        <v>65</v>
      </c>
      <c r="G212" t="s">
        <v>4001</v>
      </c>
      <c r="H212" t="s">
        <v>4002</v>
      </c>
      <c r="I212" t="s">
        <v>4003</v>
      </c>
      <c r="J212" t="s">
        <v>3603</v>
      </c>
      <c r="K212" t="s">
        <v>2619</v>
      </c>
      <c r="L212" t="s">
        <v>2716</v>
      </c>
      <c r="M212" t="s">
        <v>3179</v>
      </c>
      <c r="N212" t="s">
        <v>89</v>
      </c>
      <c r="O212" t="s">
        <v>89</v>
      </c>
      <c r="P212" t="s">
        <v>3618</v>
      </c>
      <c r="Q212" t="s">
        <v>4004</v>
      </c>
      <c r="R212" t="s">
        <v>2596</v>
      </c>
      <c r="S212" t="s">
        <v>93</v>
      </c>
      <c r="T212" t="s">
        <v>2597</v>
      </c>
      <c r="U212" t="s">
        <v>3179</v>
      </c>
      <c r="V212" t="s">
        <v>89</v>
      </c>
      <c r="W212" t="s">
        <v>3448</v>
      </c>
      <c r="X212" t="s">
        <v>2257</v>
      </c>
      <c r="Y212" t="s">
        <v>4005</v>
      </c>
      <c r="Z212" t="s">
        <v>2778</v>
      </c>
      <c r="AA212" t="s">
        <v>93</v>
      </c>
      <c r="AB212" t="s">
        <v>2779</v>
      </c>
      <c r="AC212" t="s">
        <v>4006</v>
      </c>
      <c r="AF212">
        <f>1*Tabela2[[#This Row],[kan_params]]</f>
        <v>13501</v>
      </c>
      <c r="AG212">
        <f>1*Tabela2[[#This Row],[kan_test_acc]]</f>
        <v>0.44444444775581299</v>
      </c>
      <c r="AH212">
        <f>1*Tabela2[[#This Row],[mlp_test_acc]]</f>
        <v>0.91111111111111098</v>
      </c>
      <c r="AI212">
        <f>1*Tabela2[[#This Row],[mlp2_test_acc]]</f>
        <v>0.91111111111111098</v>
      </c>
    </row>
    <row r="213" spans="1:35" x14ac:dyDescent="0.25">
      <c r="A213" t="s">
        <v>57</v>
      </c>
      <c r="B213" t="s">
        <v>959</v>
      </c>
      <c r="C213" t="s">
        <v>666</v>
      </c>
      <c r="D213" t="s">
        <v>666</v>
      </c>
      <c r="E213" t="s">
        <v>80</v>
      </c>
      <c r="F213" t="s">
        <v>60</v>
      </c>
      <c r="G213" t="s">
        <v>3529</v>
      </c>
      <c r="H213" t="s">
        <v>3530</v>
      </c>
      <c r="I213" t="s">
        <v>3531</v>
      </c>
      <c r="J213" t="s">
        <v>3532</v>
      </c>
      <c r="K213" t="s">
        <v>2671</v>
      </c>
      <c r="L213" t="s">
        <v>3533</v>
      </c>
      <c r="M213" t="s">
        <v>89</v>
      </c>
      <c r="N213" t="s">
        <v>89</v>
      </c>
      <c r="O213" t="s">
        <v>89</v>
      </c>
      <c r="P213" t="s">
        <v>3379</v>
      </c>
      <c r="Q213" t="s">
        <v>3534</v>
      </c>
      <c r="R213" t="s">
        <v>2719</v>
      </c>
      <c r="S213" t="s">
        <v>93</v>
      </c>
      <c r="T213" t="s">
        <v>113</v>
      </c>
      <c r="U213" t="s">
        <v>3440</v>
      </c>
      <c r="V213" t="s">
        <v>89</v>
      </c>
      <c r="W213" t="s">
        <v>3448</v>
      </c>
      <c r="X213" t="s">
        <v>160</v>
      </c>
      <c r="Y213" t="s">
        <v>3535</v>
      </c>
      <c r="Z213" t="s">
        <v>2592</v>
      </c>
      <c r="AA213" t="s">
        <v>93</v>
      </c>
      <c r="AB213" t="s">
        <v>2593</v>
      </c>
      <c r="AC213" t="s">
        <v>3536</v>
      </c>
      <c r="AF213">
        <f>1*Tabela2[[#This Row],[kan_params]]</f>
        <v>12927</v>
      </c>
      <c r="AG213">
        <f>1*Tabela2[[#This Row],[kan_test_acc]]</f>
        <v>0.42222222685813898</v>
      </c>
      <c r="AH213">
        <f>1*Tabela2[[#This Row],[mlp_test_acc]]</f>
        <v>1</v>
      </c>
      <c r="AI213">
        <f>1*Tabela2[[#This Row],[mlp2_test_acc]]</f>
        <v>0.86666666666666603</v>
      </c>
    </row>
    <row r="214" spans="1:35" x14ac:dyDescent="0.25">
      <c r="A214" t="s">
        <v>57</v>
      </c>
      <c r="B214" t="s">
        <v>1297</v>
      </c>
      <c r="C214" t="s">
        <v>1026</v>
      </c>
      <c r="D214" t="s">
        <v>898</v>
      </c>
      <c r="E214" t="s">
        <v>80</v>
      </c>
      <c r="F214" t="s">
        <v>60</v>
      </c>
      <c r="G214" t="s">
        <v>3832</v>
      </c>
      <c r="H214" t="s">
        <v>3833</v>
      </c>
      <c r="I214" t="s">
        <v>3834</v>
      </c>
      <c r="J214" t="s">
        <v>3386</v>
      </c>
      <c r="K214" t="s">
        <v>3631</v>
      </c>
      <c r="L214" t="s">
        <v>3533</v>
      </c>
      <c r="M214" t="s">
        <v>89</v>
      </c>
      <c r="N214" t="s">
        <v>2443</v>
      </c>
      <c r="O214" t="s">
        <v>89</v>
      </c>
      <c r="P214" t="s">
        <v>2110</v>
      </c>
      <c r="Q214" t="s">
        <v>3835</v>
      </c>
      <c r="R214" t="s">
        <v>2596</v>
      </c>
      <c r="S214" t="s">
        <v>93</v>
      </c>
      <c r="T214" t="s">
        <v>2597</v>
      </c>
      <c r="U214" t="s">
        <v>3006</v>
      </c>
      <c r="V214" t="s">
        <v>2443</v>
      </c>
      <c r="W214" t="s">
        <v>3448</v>
      </c>
      <c r="X214" t="s">
        <v>160</v>
      </c>
      <c r="Y214" t="s">
        <v>3836</v>
      </c>
      <c r="Z214" t="s">
        <v>2778</v>
      </c>
      <c r="AA214" t="s">
        <v>93</v>
      </c>
      <c r="AB214" t="s">
        <v>2779</v>
      </c>
      <c r="AC214" t="s">
        <v>3837</v>
      </c>
      <c r="AF214">
        <f>1*Tabela2[[#This Row],[kan_params]]</f>
        <v>13464</v>
      </c>
      <c r="AG214">
        <f>1*Tabela2[[#This Row],[kan_test_acc]]</f>
        <v>0.42222222685813898</v>
      </c>
      <c r="AH214">
        <f>1*Tabela2[[#This Row],[mlp_test_acc]]</f>
        <v>1</v>
      </c>
      <c r="AI214">
        <f>1*Tabela2[[#This Row],[mlp2_test_acc]]</f>
        <v>0.88888888888888795</v>
      </c>
    </row>
    <row r="215" spans="1:35" x14ac:dyDescent="0.25">
      <c r="A215" t="s">
        <v>57</v>
      </c>
      <c r="B215" t="s">
        <v>1297</v>
      </c>
      <c r="C215" t="s">
        <v>1026</v>
      </c>
      <c r="D215" t="s">
        <v>898</v>
      </c>
      <c r="E215" t="s">
        <v>80</v>
      </c>
      <c r="F215" t="s">
        <v>64</v>
      </c>
      <c r="G215" t="s">
        <v>2703</v>
      </c>
      <c r="H215" t="s">
        <v>3857</v>
      </c>
      <c r="I215" t="s">
        <v>3858</v>
      </c>
      <c r="J215" t="s">
        <v>3859</v>
      </c>
      <c r="K215" t="s">
        <v>3631</v>
      </c>
      <c r="L215" t="s">
        <v>3533</v>
      </c>
      <c r="M215" t="s">
        <v>89</v>
      </c>
      <c r="N215" t="s">
        <v>89</v>
      </c>
      <c r="O215" t="s">
        <v>89</v>
      </c>
      <c r="P215" t="s">
        <v>3847</v>
      </c>
      <c r="Q215" t="s">
        <v>3860</v>
      </c>
      <c r="R215" t="s">
        <v>2896</v>
      </c>
      <c r="S215" t="s">
        <v>93</v>
      </c>
      <c r="T215" t="s">
        <v>123</v>
      </c>
      <c r="U215" t="s">
        <v>89</v>
      </c>
      <c r="V215" t="s">
        <v>2443</v>
      </c>
      <c r="W215" t="s">
        <v>89</v>
      </c>
      <c r="X215" t="s">
        <v>3861</v>
      </c>
      <c r="Y215" t="s">
        <v>3862</v>
      </c>
      <c r="Z215" t="s">
        <v>2899</v>
      </c>
      <c r="AA215" t="s">
        <v>93</v>
      </c>
      <c r="AB215" t="s">
        <v>127</v>
      </c>
      <c r="AC215" t="s">
        <v>3863</v>
      </c>
      <c r="AF215">
        <f>1*Tabela2[[#This Row],[kan_params]]</f>
        <v>15266</v>
      </c>
      <c r="AG215">
        <f>1*Tabela2[[#This Row],[kan_test_acc]]</f>
        <v>0.42222222685813898</v>
      </c>
      <c r="AH215">
        <f>1*Tabela2[[#This Row],[mlp_test_acc]]</f>
        <v>1</v>
      </c>
      <c r="AI215">
        <f>1*Tabela2[[#This Row],[mlp2_test_acc]]</f>
        <v>1</v>
      </c>
    </row>
    <row r="216" spans="1:35" x14ac:dyDescent="0.25">
      <c r="A216" t="s">
        <v>57</v>
      </c>
      <c r="B216" t="s">
        <v>1297</v>
      </c>
      <c r="C216" t="s">
        <v>1026</v>
      </c>
      <c r="D216" t="s">
        <v>898</v>
      </c>
      <c r="E216" t="s">
        <v>80</v>
      </c>
      <c r="F216" t="s">
        <v>66</v>
      </c>
      <c r="G216" t="s">
        <v>3872</v>
      </c>
      <c r="H216" t="s">
        <v>3873</v>
      </c>
      <c r="I216" t="s">
        <v>3874</v>
      </c>
      <c r="J216" t="s">
        <v>2670</v>
      </c>
      <c r="K216" t="s">
        <v>3631</v>
      </c>
      <c r="L216" t="s">
        <v>3533</v>
      </c>
      <c r="M216" t="s">
        <v>89</v>
      </c>
      <c r="N216" t="s">
        <v>2443</v>
      </c>
      <c r="O216" t="s">
        <v>89</v>
      </c>
      <c r="P216" t="s">
        <v>278</v>
      </c>
      <c r="Q216" t="s">
        <v>3875</v>
      </c>
      <c r="R216" t="s">
        <v>2747</v>
      </c>
      <c r="S216" t="s">
        <v>93</v>
      </c>
      <c r="T216" t="s">
        <v>558</v>
      </c>
      <c r="U216" t="s">
        <v>2433</v>
      </c>
      <c r="V216" t="s">
        <v>2443</v>
      </c>
      <c r="W216" t="s">
        <v>89</v>
      </c>
      <c r="X216" t="s">
        <v>278</v>
      </c>
      <c r="Y216" t="s">
        <v>3876</v>
      </c>
      <c r="Z216" t="s">
        <v>2750</v>
      </c>
      <c r="AA216" t="s">
        <v>93</v>
      </c>
      <c r="AB216" t="s">
        <v>2751</v>
      </c>
      <c r="AC216" t="s">
        <v>3877</v>
      </c>
      <c r="AF216">
        <f>1*Tabela2[[#This Row],[kan_params]]</f>
        <v>14563</v>
      </c>
      <c r="AG216">
        <f>1*Tabela2[[#This Row],[kan_test_acc]]</f>
        <v>0.42222222685813898</v>
      </c>
      <c r="AH216">
        <f>1*Tabela2[[#This Row],[mlp_test_acc]]</f>
        <v>1</v>
      </c>
      <c r="AI216">
        <f>1*Tabela2[[#This Row],[mlp2_test_acc]]</f>
        <v>0.95555555555555505</v>
      </c>
    </row>
    <row r="217" spans="1:35" x14ac:dyDescent="0.25">
      <c r="A217" t="s">
        <v>57</v>
      </c>
      <c r="B217" t="s">
        <v>1297</v>
      </c>
      <c r="C217" t="s">
        <v>1026</v>
      </c>
      <c r="D217" t="s">
        <v>898</v>
      </c>
      <c r="E217" t="s">
        <v>80</v>
      </c>
      <c r="F217" t="s">
        <v>72</v>
      </c>
      <c r="G217" t="s">
        <v>3914</v>
      </c>
      <c r="H217" t="s">
        <v>3915</v>
      </c>
      <c r="I217" t="s">
        <v>3916</v>
      </c>
      <c r="J217" t="s">
        <v>3917</v>
      </c>
      <c r="K217" t="s">
        <v>2694</v>
      </c>
      <c r="L217" t="s">
        <v>3533</v>
      </c>
      <c r="M217" t="s">
        <v>2498</v>
      </c>
      <c r="N217" t="s">
        <v>89</v>
      </c>
      <c r="O217" t="s">
        <v>89</v>
      </c>
      <c r="P217" t="s">
        <v>3618</v>
      </c>
      <c r="Q217" t="s">
        <v>3918</v>
      </c>
      <c r="R217" t="s">
        <v>2747</v>
      </c>
      <c r="S217" t="s">
        <v>93</v>
      </c>
      <c r="T217" t="s">
        <v>558</v>
      </c>
      <c r="U217" t="s">
        <v>89</v>
      </c>
      <c r="V217" t="s">
        <v>89</v>
      </c>
      <c r="W217" t="s">
        <v>3489</v>
      </c>
      <c r="X217" t="s">
        <v>160</v>
      </c>
      <c r="Y217" t="s">
        <v>3919</v>
      </c>
      <c r="Z217" t="s">
        <v>2750</v>
      </c>
      <c r="AA217" t="s">
        <v>93</v>
      </c>
      <c r="AB217" t="s">
        <v>2751</v>
      </c>
      <c r="AC217" t="s">
        <v>3920</v>
      </c>
      <c r="AF217">
        <f>1*Tabela2[[#This Row],[kan_params]]</f>
        <v>14662</v>
      </c>
      <c r="AG217">
        <f>1*Tabela2[[#This Row],[kan_test_acc]]</f>
        <v>0.42222222685813898</v>
      </c>
      <c r="AH217">
        <f>1*Tabela2[[#This Row],[mlp_test_acc]]</f>
        <v>0.97777777777777697</v>
      </c>
      <c r="AI217">
        <f>1*Tabela2[[#This Row],[mlp2_test_acc]]</f>
        <v>1</v>
      </c>
    </row>
    <row r="218" spans="1:35" x14ac:dyDescent="0.25">
      <c r="A218" t="s">
        <v>57</v>
      </c>
      <c r="B218" t="s">
        <v>2351</v>
      </c>
      <c r="C218" t="s">
        <v>1026</v>
      </c>
      <c r="D218" t="s">
        <v>666</v>
      </c>
      <c r="E218" t="s">
        <v>80</v>
      </c>
      <c r="F218" t="s">
        <v>62</v>
      </c>
      <c r="G218" t="s">
        <v>3978</v>
      </c>
      <c r="H218" t="s">
        <v>3979</v>
      </c>
      <c r="I218" t="s">
        <v>1755</v>
      </c>
      <c r="J218" t="s">
        <v>2618</v>
      </c>
      <c r="K218" t="s">
        <v>2694</v>
      </c>
      <c r="L218" t="s">
        <v>3533</v>
      </c>
      <c r="M218" t="s">
        <v>3179</v>
      </c>
      <c r="N218" t="s">
        <v>89</v>
      </c>
      <c r="O218" t="s">
        <v>89</v>
      </c>
      <c r="P218" t="s">
        <v>3980</v>
      </c>
      <c r="Q218" t="s">
        <v>3981</v>
      </c>
      <c r="R218" t="s">
        <v>2688</v>
      </c>
      <c r="S218" t="s">
        <v>93</v>
      </c>
      <c r="T218" t="s">
        <v>823</v>
      </c>
      <c r="U218" t="s">
        <v>3179</v>
      </c>
      <c r="V218" t="s">
        <v>89</v>
      </c>
      <c r="W218" t="s">
        <v>89</v>
      </c>
      <c r="X218" t="s">
        <v>3982</v>
      </c>
      <c r="Y218" t="s">
        <v>3983</v>
      </c>
      <c r="Z218" t="s">
        <v>2557</v>
      </c>
      <c r="AA218" t="s">
        <v>93</v>
      </c>
      <c r="AB218" t="s">
        <v>374</v>
      </c>
      <c r="AC218" t="s">
        <v>3984</v>
      </c>
      <c r="AF218">
        <f>1*Tabela2[[#This Row],[kan_params]]</f>
        <v>12043</v>
      </c>
      <c r="AG218">
        <f>1*Tabela2[[#This Row],[kan_test_acc]]</f>
        <v>0.42222222685813898</v>
      </c>
      <c r="AH218">
        <f>1*Tabela2[[#This Row],[mlp_test_acc]]</f>
        <v>0.91111111111111098</v>
      </c>
      <c r="AI218">
        <f>1*Tabela2[[#This Row],[mlp2_test_acc]]</f>
        <v>0.91111111111111098</v>
      </c>
    </row>
    <row r="219" spans="1:35" x14ac:dyDescent="0.25">
      <c r="A219" t="s">
        <v>57</v>
      </c>
      <c r="B219" t="s">
        <v>2351</v>
      </c>
      <c r="C219" t="s">
        <v>1026</v>
      </c>
      <c r="D219" t="s">
        <v>666</v>
      </c>
      <c r="E219" t="s">
        <v>80</v>
      </c>
      <c r="F219" t="s">
        <v>64</v>
      </c>
      <c r="G219" t="s">
        <v>3993</v>
      </c>
      <c r="H219" t="s">
        <v>3994</v>
      </c>
      <c r="I219" t="s">
        <v>3995</v>
      </c>
      <c r="J219" t="s">
        <v>3996</v>
      </c>
      <c r="K219" t="s">
        <v>2694</v>
      </c>
      <c r="L219" t="s">
        <v>3533</v>
      </c>
      <c r="M219" t="s">
        <v>3179</v>
      </c>
      <c r="N219" t="s">
        <v>89</v>
      </c>
      <c r="O219" t="s">
        <v>89</v>
      </c>
      <c r="P219" t="s">
        <v>3618</v>
      </c>
      <c r="Q219" t="s">
        <v>3997</v>
      </c>
      <c r="R219" t="s">
        <v>2927</v>
      </c>
      <c r="S219" t="s">
        <v>93</v>
      </c>
      <c r="T219" t="s">
        <v>854</v>
      </c>
      <c r="U219" t="s">
        <v>3179</v>
      </c>
      <c r="V219" t="s">
        <v>89</v>
      </c>
      <c r="W219" t="s">
        <v>89</v>
      </c>
      <c r="X219" t="s">
        <v>3998</v>
      </c>
      <c r="Y219" t="s">
        <v>3999</v>
      </c>
      <c r="Z219" t="s">
        <v>3497</v>
      </c>
      <c r="AA219" t="s">
        <v>93</v>
      </c>
      <c r="AB219" t="s">
        <v>857</v>
      </c>
      <c r="AC219" t="s">
        <v>4000</v>
      </c>
      <c r="AF219">
        <f>1*Tabela2[[#This Row],[kan_params]]</f>
        <v>17093</v>
      </c>
      <c r="AG219">
        <f>1*Tabela2[[#This Row],[kan_test_acc]]</f>
        <v>0.42222222685813898</v>
      </c>
      <c r="AH219">
        <f>1*Tabela2[[#This Row],[mlp_test_acc]]</f>
        <v>0.91111111111111098</v>
      </c>
      <c r="AI219">
        <f>1*Tabela2[[#This Row],[mlp2_test_acc]]</f>
        <v>0.91111111111111098</v>
      </c>
    </row>
    <row r="220" spans="1:35" x14ac:dyDescent="0.25">
      <c r="A220" t="s">
        <v>57</v>
      </c>
      <c r="B220" t="s">
        <v>897</v>
      </c>
      <c r="C220" t="s">
        <v>79</v>
      </c>
      <c r="D220" t="s">
        <v>666</v>
      </c>
      <c r="E220" t="s">
        <v>80</v>
      </c>
      <c r="F220" t="s">
        <v>65</v>
      </c>
      <c r="G220" t="s">
        <v>2871</v>
      </c>
      <c r="H220" t="s">
        <v>2872</v>
      </c>
      <c r="I220" t="s">
        <v>2873</v>
      </c>
      <c r="J220" t="s">
        <v>2670</v>
      </c>
      <c r="K220" t="s">
        <v>2619</v>
      </c>
      <c r="L220" t="s">
        <v>2874</v>
      </c>
      <c r="M220" t="s">
        <v>2498</v>
      </c>
      <c r="N220" t="s">
        <v>2607</v>
      </c>
      <c r="O220" t="s">
        <v>89</v>
      </c>
      <c r="P220" t="s">
        <v>2875</v>
      </c>
      <c r="Q220" t="s">
        <v>2876</v>
      </c>
      <c r="R220" t="s">
        <v>2551</v>
      </c>
      <c r="S220" t="s">
        <v>93</v>
      </c>
      <c r="T220" t="s">
        <v>1860</v>
      </c>
      <c r="U220" t="s">
        <v>2436</v>
      </c>
      <c r="V220" t="s">
        <v>2607</v>
      </c>
      <c r="W220" t="s">
        <v>89</v>
      </c>
      <c r="X220" t="s">
        <v>2877</v>
      </c>
      <c r="Y220" t="s">
        <v>2878</v>
      </c>
      <c r="Z220" t="s">
        <v>2531</v>
      </c>
      <c r="AA220" t="s">
        <v>93</v>
      </c>
      <c r="AB220" t="s">
        <v>2098</v>
      </c>
      <c r="AC220" t="s">
        <v>2879</v>
      </c>
      <c r="AF220">
        <f>1*Tabela2[[#This Row],[kan_params]]</f>
        <v>10615</v>
      </c>
      <c r="AG220">
        <f>1*Tabela2[[#This Row],[kan_test_acc]]</f>
        <v>0.40000000596046398</v>
      </c>
      <c r="AH220">
        <f>1*Tabela2[[#This Row],[mlp_test_acc]]</f>
        <v>0.97777777777777697</v>
      </c>
      <c r="AI220">
        <f>1*Tabela2[[#This Row],[mlp2_test_acc]]</f>
        <v>0.93333333333333302</v>
      </c>
    </row>
    <row r="221" spans="1:35" x14ac:dyDescent="0.25">
      <c r="A221" t="s">
        <v>57</v>
      </c>
      <c r="B221" t="s">
        <v>959</v>
      </c>
      <c r="C221" t="s">
        <v>666</v>
      </c>
      <c r="D221" t="s">
        <v>666</v>
      </c>
      <c r="E221" t="s">
        <v>80</v>
      </c>
      <c r="F221" t="s">
        <v>62</v>
      </c>
      <c r="G221" t="s">
        <v>3545</v>
      </c>
      <c r="H221" t="s">
        <v>3546</v>
      </c>
      <c r="I221" t="s">
        <v>3547</v>
      </c>
      <c r="J221" t="s">
        <v>3548</v>
      </c>
      <c r="K221" t="s">
        <v>2682</v>
      </c>
      <c r="L221" t="s">
        <v>2874</v>
      </c>
      <c r="M221" t="s">
        <v>2498</v>
      </c>
      <c r="N221" t="s">
        <v>89</v>
      </c>
      <c r="O221" t="s">
        <v>89</v>
      </c>
      <c r="P221" t="s">
        <v>3401</v>
      </c>
      <c r="Q221" t="s">
        <v>3549</v>
      </c>
      <c r="R221" t="s">
        <v>2548</v>
      </c>
      <c r="S221" t="s">
        <v>93</v>
      </c>
      <c r="T221" t="s">
        <v>101</v>
      </c>
      <c r="U221" t="s">
        <v>3006</v>
      </c>
      <c r="V221" t="s">
        <v>89</v>
      </c>
      <c r="W221" t="s">
        <v>3518</v>
      </c>
      <c r="X221" t="s">
        <v>2476</v>
      </c>
      <c r="Y221" t="s">
        <v>3550</v>
      </c>
      <c r="Z221" t="s">
        <v>2551</v>
      </c>
      <c r="AA221" t="s">
        <v>93</v>
      </c>
      <c r="AB221" t="s">
        <v>1860</v>
      </c>
      <c r="AC221" t="s">
        <v>3551</v>
      </c>
      <c r="AF221">
        <f>1*Tabela2[[#This Row],[kan_params]]</f>
        <v>10327</v>
      </c>
      <c r="AG221">
        <f>1*Tabela2[[#This Row],[kan_test_acc]]</f>
        <v>0.40000000596046398</v>
      </c>
      <c r="AH221">
        <f>1*Tabela2[[#This Row],[mlp_test_acc]]</f>
        <v>0.97777777777777697</v>
      </c>
      <c r="AI221">
        <f>1*Tabela2[[#This Row],[mlp2_test_acc]]</f>
        <v>0.88888888888888795</v>
      </c>
    </row>
    <row r="222" spans="1:35" x14ac:dyDescent="0.25">
      <c r="A222" t="s">
        <v>57</v>
      </c>
      <c r="B222" t="s">
        <v>959</v>
      </c>
      <c r="C222" t="s">
        <v>666</v>
      </c>
      <c r="D222" t="s">
        <v>666</v>
      </c>
      <c r="E222" t="s">
        <v>80</v>
      </c>
      <c r="F222" t="s">
        <v>65</v>
      </c>
      <c r="G222" t="s">
        <v>3565</v>
      </c>
      <c r="H222" t="s">
        <v>3566</v>
      </c>
      <c r="I222" t="s">
        <v>3567</v>
      </c>
      <c r="J222" t="s">
        <v>3568</v>
      </c>
      <c r="K222" t="s">
        <v>2682</v>
      </c>
      <c r="L222" t="s">
        <v>2874</v>
      </c>
      <c r="M222" t="s">
        <v>2436</v>
      </c>
      <c r="N222" t="s">
        <v>89</v>
      </c>
      <c r="O222" t="s">
        <v>89</v>
      </c>
      <c r="P222" t="s">
        <v>3569</v>
      </c>
      <c r="Q222" t="s">
        <v>3570</v>
      </c>
      <c r="R222" t="s">
        <v>2585</v>
      </c>
      <c r="S222" t="s">
        <v>93</v>
      </c>
      <c r="T222" t="s">
        <v>820</v>
      </c>
      <c r="U222" t="s">
        <v>3179</v>
      </c>
      <c r="V222" t="s">
        <v>89</v>
      </c>
      <c r="W222" t="s">
        <v>3526</v>
      </c>
      <c r="X222" t="s">
        <v>160</v>
      </c>
      <c r="Y222" t="s">
        <v>3571</v>
      </c>
      <c r="Z222" t="s">
        <v>2688</v>
      </c>
      <c r="AA222" t="s">
        <v>93</v>
      </c>
      <c r="AB222" t="s">
        <v>823</v>
      </c>
      <c r="AC222" t="s">
        <v>3572</v>
      </c>
      <c r="AF222">
        <f>1*Tabela2[[#This Row],[kan_params]]</f>
        <v>11577</v>
      </c>
      <c r="AG222">
        <f>1*Tabela2[[#This Row],[kan_test_acc]]</f>
        <v>0.40000000596046398</v>
      </c>
      <c r="AH222">
        <f>1*Tabela2[[#This Row],[mlp_test_acc]]</f>
        <v>0.93333333333333302</v>
      </c>
      <c r="AI222">
        <f>1*Tabela2[[#This Row],[mlp2_test_acc]]</f>
        <v>0.91111111111111098</v>
      </c>
    </row>
    <row r="223" spans="1:35" x14ac:dyDescent="0.25">
      <c r="A223" t="s">
        <v>57</v>
      </c>
      <c r="B223" t="s">
        <v>959</v>
      </c>
      <c r="C223" t="s">
        <v>666</v>
      </c>
      <c r="D223" t="s">
        <v>666</v>
      </c>
      <c r="E223" t="s">
        <v>80</v>
      </c>
      <c r="F223" t="s">
        <v>68</v>
      </c>
      <c r="G223" t="s">
        <v>3586</v>
      </c>
      <c r="H223" t="s">
        <v>3587</v>
      </c>
      <c r="I223" t="s">
        <v>3588</v>
      </c>
      <c r="J223" t="s">
        <v>2912</v>
      </c>
      <c r="K223" t="s">
        <v>2682</v>
      </c>
      <c r="L223" t="s">
        <v>2874</v>
      </c>
      <c r="M223" t="s">
        <v>2433</v>
      </c>
      <c r="N223" t="s">
        <v>89</v>
      </c>
      <c r="O223" t="s">
        <v>89</v>
      </c>
      <c r="P223" t="s">
        <v>3589</v>
      </c>
      <c r="Q223" t="s">
        <v>3590</v>
      </c>
      <c r="R223" t="s">
        <v>2719</v>
      </c>
      <c r="S223" t="s">
        <v>93</v>
      </c>
      <c r="T223" t="s">
        <v>113</v>
      </c>
      <c r="U223" t="s">
        <v>3006</v>
      </c>
      <c r="V223" t="s">
        <v>89</v>
      </c>
      <c r="W223" t="s">
        <v>3518</v>
      </c>
      <c r="X223" t="s">
        <v>160</v>
      </c>
      <c r="Y223" t="s">
        <v>3591</v>
      </c>
      <c r="Z223" t="s">
        <v>2592</v>
      </c>
      <c r="AA223" t="s">
        <v>93</v>
      </c>
      <c r="AB223" t="s">
        <v>2593</v>
      </c>
      <c r="AC223" t="s">
        <v>3592</v>
      </c>
      <c r="AF223">
        <f>1*Tabela2[[#This Row],[kan_params]]</f>
        <v>12827</v>
      </c>
      <c r="AG223">
        <f>1*Tabela2[[#This Row],[kan_test_acc]]</f>
        <v>0.40000000596046398</v>
      </c>
      <c r="AH223">
        <f>1*Tabela2[[#This Row],[mlp_test_acc]]</f>
        <v>0.95555555555555505</v>
      </c>
      <c r="AI223">
        <f>1*Tabela2[[#This Row],[mlp2_test_acc]]</f>
        <v>0.88888888888888795</v>
      </c>
    </row>
    <row r="224" spans="1:35" x14ac:dyDescent="0.25">
      <c r="A224" t="s">
        <v>57</v>
      </c>
      <c r="B224" t="s">
        <v>959</v>
      </c>
      <c r="C224" t="s">
        <v>666</v>
      </c>
      <c r="D224" t="s">
        <v>666</v>
      </c>
      <c r="E224" t="s">
        <v>80</v>
      </c>
      <c r="F224" t="s">
        <v>72</v>
      </c>
      <c r="G224" t="s">
        <v>3616</v>
      </c>
      <c r="H224" t="s">
        <v>3617</v>
      </c>
      <c r="I224" t="s">
        <v>3387</v>
      </c>
      <c r="J224" t="s">
        <v>3568</v>
      </c>
      <c r="K224" t="s">
        <v>2619</v>
      </c>
      <c r="L224" t="s">
        <v>2874</v>
      </c>
      <c r="M224" t="s">
        <v>3006</v>
      </c>
      <c r="N224" t="s">
        <v>89</v>
      </c>
      <c r="O224" t="s">
        <v>89</v>
      </c>
      <c r="P224" t="s">
        <v>3618</v>
      </c>
      <c r="Q224" t="s">
        <v>3619</v>
      </c>
      <c r="R224" t="s">
        <v>2915</v>
      </c>
      <c r="S224" t="s">
        <v>93</v>
      </c>
      <c r="T224" t="s">
        <v>554</v>
      </c>
      <c r="U224" t="s">
        <v>3006</v>
      </c>
      <c r="V224" t="s">
        <v>89</v>
      </c>
      <c r="W224" t="s">
        <v>3441</v>
      </c>
      <c r="X224" t="s">
        <v>160</v>
      </c>
      <c r="Y224" t="s">
        <v>3620</v>
      </c>
      <c r="Z224" t="s">
        <v>2747</v>
      </c>
      <c r="AA224" t="s">
        <v>93</v>
      </c>
      <c r="AB224" t="s">
        <v>558</v>
      </c>
      <c r="AC224" t="s">
        <v>3621</v>
      </c>
      <c r="AF224">
        <f>1*Tabela2[[#This Row],[kan_params]]</f>
        <v>14077</v>
      </c>
      <c r="AG224">
        <f>1*Tabela2[[#This Row],[kan_test_acc]]</f>
        <v>0.40000000596046398</v>
      </c>
      <c r="AH224">
        <f>1*Tabela2[[#This Row],[mlp_test_acc]]</f>
        <v>0.88888888888888795</v>
      </c>
      <c r="AI224">
        <f>1*Tabela2[[#This Row],[mlp2_test_acc]]</f>
        <v>0.88888888888888795</v>
      </c>
    </row>
    <row r="225" spans="1:35" x14ac:dyDescent="0.25">
      <c r="A225" t="s">
        <v>57</v>
      </c>
      <c r="B225" t="s">
        <v>1297</v>
      </c>
      <c r="C225" t="s">
        <v>1026</v>
      </c>
      <c r="D225" t="s">
        <v>898</v>
      </c>
      <c r="E225" t="s">
        <v>80</v>
      </c>
      <c r="F225" t="s">
        <v>58</v>
      </c>
      <c r="G225" t="s">
        <v>3820</v>
      </c>
      <c r="H225" t="s">
        <v>3821</v>
      </c>
      <c r="I225" t="s">
        <v>3822</v>
      </c>
      <c r="J225" t="s">
        <v>2912</v>
      </c>
      <c r="K225" t="s">
        <v>3631</v>
      </c>
      <c r="L225" t="s">
        <v>2874</v>
      </c>
      <c r="M225" t="s">
        <v>3006</v>
      </c>
      <c r="N225" t="s">
        <v>2607</v>
      </c>
      <c r="O225" t="s">
        <v>89</v>
      </c>
      <c r="P225" t="s">
        <v>2211</v>
      </c>
      <c r="Q225" t="s">
        <v>3823</v>
      </c>
      <c r="R225" t="s">
        <v>2522</v>
      </c>
      <c r="S225" t="s">
        <v>93</v>
      </c>
      <c r="T225" t="s">
        <v>2523</v>
      </c>
      <c r="U225" t="s">
        <v>3488</v>
      </c>
      <c r="V225" t="s">
        <v>2886</v>
      </c>
      <c r="W225" t="s">
        <v>3604</v>
      </c>
      <c r="X225" t="s">
        <v>160</v>
      </c>
      <c r="Y225" t="s">
        <v>3824</v>
      </c>
      <c r="Z225" t="s">
        <v>2496</v>
      </c>
      <c r="AA225" t="s">
        <v>93</v>
      </c>
      <c r="AB225" t="s">
        <v>2497</v>
      </c>
      <c r="AC225" t="s">
        <v>3825</v>
      </c>
      <c r="AF225">
        <f>1*Tabela2[[#This Row],[kan_params]]</f>
        <v>9454</v>
      </c>
      <c r="AG225">
        <f>1*Tabela2[[#This Row],[kan_test_acc]]</f>
        <v>0.40000000596046398</v>
      </c>
      <c r="AH225">
        <f>1*Tabela2[[#This Row],[mlp_test_acc]]</f>
        <v>0.88888888888888795</v>
      </c>
      <c r="AI225">
        <f>1*Tabela2[[#This Row],[mlp2_test_acc]]</f>
        <v>0.82222222222222197</v>
      </c>
    </row>
    <row r="226" spans="1:35" x14ac:dyDescent="0.25">
      <c r="A226" t="s">
        <v>57</v>
      </c>
      <c r="B226" t="s">
        <v>1297</v>
      </c>
      <c r="C226" t="s">
        <v>1026</v>
      </c>
      <c r="D226" t="s">
        <v>898</v>
      </c>
      <c r="E226" t="s">
        <v>80</v>
      </c>
      <c r="F226" t="s">
        <v>73</v>
      </c>
      <c r="G226" t="s">
        <v>3921</v>
      </c>
      <c r="H226" t="s">
        <v>3922</v>
      </c>
      <c r="I226" t="s">
        <v>3923</v>
      </c>
      <c r="J226" t="s">
        <v>3548</v>
      </c>
      <c r="K226" t="s">
        <v>2694</v>
      </c>
      <c r="L226" t="s">
        <v>2874</v>
      </c>
      <c r="M226" t="s">
        <v>2498</v>
      </c>
      <c r="N226" t="s">
        <v>89</v>
      </c>
      <c r="O226" t="s">
        <v>89</v>
      </c>
      <c r="P226" t="s">
        <v>3618</v>
      </c>
      <c r="Q226" t="s">
        <v>3924</v>
      </c>
      <c r="R226" t="s">
        <v>3499</v>
      </c>
      <c r="S226" t="s">
        <v>93</v>
      </c>
      <c r="T226" t="s">
        <v>216</v>
      </c>
      <c r="U226" t="s">
        <v>89</v>
      </c>
      <c r="V226" t="s">
        <v>89</v>
      </c>
      <c r="W226" t="s">
        <v>3925</v>
      </c>
      <c r="X226" t="s">
        <v>2173</v>
      </c>
      <c r="Y226" t="s">
        <v>3926</v>
      </c>
      <c r="Z226" t="s">
        <v>2959</v>
      </c>
      <c r="AA226" t="s">
        <v>93</v>
      </c>
      <c r="AB226" t="s">
        <v>221</v>
      </c>
      <c r="AC226" t="s">
        <v>3927</v>
      </c>
      <c r="AF226">
        <f>1*Tabela2[[#This Row],[kan_params]]</f>
        <v>17667</v>
      </c>
      <c r="AG226">
        <f>1*Tabela2[[#This Row],[kan_test_acc]]</f>
        <v>0.40000000596046398</v>
      </c>
      <c r="AH226">
        <f>1*Tabela2[[#This Row],[mlp_test_acc]]</f>
        <v>0.97777777777777697</v>
      </c>
      <c r="AI226">
        <f>1*Tabela2[[#This Row],[mlp2_test_acc]]</f>
        <v>1</v>
      </c>
    </row>
    <row r="227" spans="1:35" x14ac:dyDescent="0.25">
      <c r="A227" t="s">
        <v>57</v>
      </c>
      <c r="B227" t="s">
        <v>2351</v>
      </c>
      <c r="C227" t="s">
        <v>1026</v>
      </c>
      <c r="D227" t="s">
        <v>666</v>
      </c>
      <c r="E227" t="s">
        <v>80</v>
      </c>
      <c r="F227" t="s">
        <v>60</v>
      </c>
      <c r="G227" t="s">
        <v>3962</v>
      </c>
      <c r="H227" t="s">
        <v>3963</v>
      </c>
      <c r="I227" t="s">
        <v>3964</v>
      </c>
      <c r="J227" t="s">
        <v>3603</v>
      </c>
      <c r="K227" t="s">
        <v>2671</v>
      </c>
      <c r="L227" t="s">
        <v>2874</v>
      </c>
      <c r="M227" t="s">
        <v>3179</v>
      </c>
      <c r="N227" t="s">
        <v>89</v>
      </c>
      <c r="O227" t="s">
        <v>89</v>
      </c>
      <c r="P227" t="s">
        <v>3965</v>
      </c>
      <c r="Q227" t="s">
        <v>3966</v>
      </c>
      <c r="R227" t="s">
        <v>2896</v>
      </c>
      <c r="S227" t="s">
        <v>93</v>
      </c>
      <c r="T227" t="s">
        <v>123</v>
      </c>
      <c r="U227" t="s">
        <v>2436</v>
      </c>
      <c r="V227" t="s">
        <v>89</v>
      </c>
      <c r="W227" t="s">
        <v>89</v>
      </c>
      <c r="X227" t="s">
        <v>3967</v>
      </c>
      <c r="Y227" t="s">
        <v>3968</v>
      </c>
      <c r="Z227" t="s">
        <v>2899</v>
      </c>
      <c r="AA227" t="s">
        <v>93</v>
      </c>
      <c r="AB227" t="s">
        <v>127</v>
      </c>
      <c r="AC227" t="s">
        <v>3969</v>
      </c>
      <c r="AF227">
        <f>1*Tabela2[[#This Row],[kan_params]]</f>
        <v>15075</v>
      </c>
      <c r="AG227">
        <f>1*Tabela2[[#This Row],[kan_test_acc]]</f>
        <v>0.40000000596046398</v>
      </c>
      <c r="AH227">
        <f>1*Tabela2[[#This Row],[mlp_test_acc]]</f>
        <v>0.91111111111111098</v>
      </c>
      <c r="AI227">
        <f>1*Tabela2[[#This Row],[mlp2_test_acc]]</f>
        <v>0.93333333333333302</v>
      </c>
    </row>
    <row r="228" spans="1:35" x14ac:dyDescent="0.25">
      <c r="A228" t="s">
        <v>57</v>
      </c>
      <c r="B228" t="s">
        <v>897</v>
      </c>
      <c r="C228" t="s">
        <v>79</v>
      </c>
      <c r="D228" t="s">
        <v>666</v>
      </c>
      <c r="E228" t="s">
        <v>80</v>
      </c>
      <c r="F228" t="s">
        <v>62</v>
      </c>
      <c r="G228" t="s">
        <v>2846</v>
      </c>
      <c r="H228" t="s">
        <v>2847</v>
      </c>
      <c r="I228" t="s">
        <v>2848</v>
      </c>
      <c r="J228" t="s">
        <v>2639</v>
      </c>
      <c r="K228" t="s">
        <v>2682</v>
      </c>
      <c r="L228" t="s">
        <v>2849</v>
      </c>
      <c r="M228" t="s">
        <v>2436</v>
      </c>
      <c r="N228" t="s">
        <v>2443</v>
      </c>
      <c r="O228" t="s">
        <v>89</v>
      </c>
      <c r="P228" t="s">
        <v>2850</v>
      </c>
      <c r="Q228" t="s">
        <v>2851</v>
      </c>
      <c r="R228" t="s">
        <v>2522</v>
      </c>
      <c r="S228" t="s">
        <v>93</v>
      </c>
      <c r="T228" t="s">
        <v>2523</v>
      </c>
      <c r="U228" t="s">
        <v>2436</v>
      </c>
      <c r="V228" t="s">
        <v>2607</v>
      </c>
      <c r="W228" t="s">
        <v>89</v>
      </c>
      <c r="X228" t="s">
        <v>2852</v>
      </c>
      <c r="Y228" t="s">
        <v>2853</v>
      </c>
      <c r="Z228" t="s">
        <v>2496</v>
      </c>
      <c r="AA228" t="s">
        <v>93</v>
      </c>
      <c r="AB228" t="s">
        <v>2497</v>
      </c>
      <c r="AC228" t="s">
        <v>2854</v>
      </c>
      <c r="AF228">
        <f>1*Tabela2[[#This Row],[kan_params]]</f>
        <v>9469</v>
      </c>
      <c r="AG228">
        <f>1*Tabela2[[#This Row],[kan_test_acc]]</f>
        <v>0.37777778506278897</v>
      </c>
      <c r="AH228">
        <f>1*Tabela2[[#This Row],[mlp_test_acc]]</f>
        <v>0.93333333333333302</v>
      </c>
      <c r="AI228">
        <f>1*Tabela2[[#This Row],[mlp2_test_acc]]</f>
        <v>0.93333333333333302</v>
      </c>
    </row>
    <row r="229" spans="1:35" x14ac:dyDescent="0.25">
      <c r="A229" t="s">
        <v>57</v>
      </c>
      <c r="B229" t="s">
        <v>897</v>
      </c>
      <c r="C229" t="s">
        <v>79</v>
      </c>
      <c r="D229" t="s">
        <v>666</v>
      </c>
      <c r="E229" t="s">
        <v>80</v>
      </c>
      <c r="F229" t="s">
        <v>69</v>
      </c>
      <c r="G229" t="s">
        <v>2909</v>
      </c>
      <c r="H229" t="s">
        <v>2910</v>
      </c>
      <c r="I229" t="s">
        <v>2911</v>
      </c>
      <c r="J229" t="s">
        <v>2912</v>
      </c>
      <c r="K229" t="s">
        <v>2682</v>
      </c>
      <c r="L229" t="s">
        <v>2913</v>
      </c>
      <c r="M229" t="s">
        <v>2498</v>
      </c>
      <c r="N229" t="s">
        <v>2607</v>
      </c>
      <c r="O229" t="s">
        <v>89</v>
      </c>
      <c r="P229" t="s">
        <v>2894</v>
      </c>
      <c r="Q229" t="s">
        <v>2914</v>
      </c>
      <c r="R229" t="s">
        <v>2915</v>
      </c>
      <c r="S229" t="s">
        <v>93</v>
      </c>
      <c r="T229" t="s">
        <v>554</v>
      </c>
      <c r="U229" t="s">
        <v>2916</v>
      </c>
      <c r="V229" t="s">
        <v>2897</v>
      </c>
      <c r="W229" t="s">
        <v>2917</v>
      </c>
      <c r="X229" t="s">
        <v>160</v>
      </c>
      <c r="Y229" t="s">
        <v>2918</v>
      </c>
      <c r="Z229" t="s">
        <v>2747</v>
      </c>
      <c r="AA229" t="s">
        <v>93</v>
      </c>
      <c r="AB229" t="s">
        <v>558</v>
      </c>
      <c r="AC229" t="s">
        <v>2919</v>
      </c>
      <c r="AF229">
        <f>1*Tabela2[[#This Row],[kan_params]]</f>
        <v>14186</v>
      </c>
      <c r="AG229">
        <f>1*Tabela2[[#This Row],[kan_test_acc]]</f>
        <v>0.35555556416511502</v>
      </c>
      <c r="AH229">
        <f>1*Tabela2[[#This Row],[mlp_test_acc]]</f>
        <v>0.97777777777777697</v>
      </c>
      <c r="AI229">
        <f>1*Tabela2[[#This Row],[mlp2_test_acc]]</f>
        <v>0.688888888888888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A84149-E33C-4682-87D7-111BA13188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27_text_logs_full_output max</vt:lpstr>
      <vt:lpstr>Cancer</vt:lpstr>
      <vt:lpstr>Iris</vt:lpstr>
      <vt:lpstr>Wine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Chadała</dc:creator>
  <cp:lastModifiedBy>Marta Chadała</cp:lastModifiedBy>
  <dcterms:created xsi:type="dcterms:W3CDTF">2025-07-17T05:06:53Z</dcterms:created>
  <dcterms:modified xsi:type="dcterms:W3CDTF">2025-09-04T06:42:53Z</dcterms:modified>
</cp:coreProperties>
</file>